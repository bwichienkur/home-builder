
<file path=[Content_Types].xml><?xml version="1.0" encoding="utf-8"?>
<Types xmlns="http://schemas.openxmlformats.org/package/2006/content-type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https://ols100-my.sharepoint.com/personal/tragno_olsencustomhomes_com/Documents/Desktop/"/>
    </mc:Choice>
  </mc:AlternateContent>
  <xr:revisionPtr revIDLastSave="1305" documentId="8_{ED0330FB-057F-470F-8C91-EE1DE1BCCA9E}" xr6:coauthVersionLast="47" xr6:coauthVersionMax="47" xr10:uidLastSave="{3A29B752-F061-4E4E-AE48-255930640D02}"/>
  <bookViews>
    <workbookView xWindow="28680" yWindow="-120" windowWidth="38640" windowHeight="15840" activeTab="4" xr2:uid="{00000000-000D-0000-FFFF-FFFF00000000}"/>
  </bookViews>
  <sheets>
    <sheet name="Customer Option Cover Page" sheetId="1" r:id="rId1"/>
    <sheet name="Allowances" sheetId="2" r:id="rId2"/>
    <sheet name="Options" sheetId="3" r:id="rId3"/>
    <sheet name="Countertops" sheetId="5" r:id="rId4"/>
    <sheet name="Tile-Floor" sheetId="9" r:id="rId5"/>
    <sheet name="Tile Product Lists" sheetId="10" r:id="rId6"/>
    <sheet name="Cabinets" sheetId="4" r:id="rId7"/>
    <sheet name="Pavers" sheetId="6" r:id="rId8"/>
    <sheet name="Stone" sheetId="7" r:id="rId9"/>
    <sheet name="Summer Kitchen" sheetId="8" r:id="rId10"/>
    <sheet name="Sheet8" sheetId="11" r:id="rId11"/>
    <sheet name="Sheet9" sheetId="12" r:id="rId12"/>
    <sheet name="Sheet10" sheetId="13" r:id="rId13"/>
    <sheet name="Sheet11" sheetId="14" r:id="rId14"/>
  </sheets>
  <externalReferences>
    <externalReference r:id="rId15"/>
  </externalReferences>
  <definedNames>
    <definedName name="Tile_Level_Carpet">'Tile Product Lists'!$K$2:$K$30</definedName>
    <definedName name="Tile_Level_Curb">'Tile Product Lists'!$J$2:$J$30</definedName>
    <definedName name="Tile_Level_Floor_Tile">'Tile Product Lists'!$D$2:$D$30</definedName>
    <definedName name="Tile_Level_Kitchen_Backsplash">'Tile Product Lists'!$C$2:$C$30</definedName>
    <definedName name="Tile_Level_Knee_Wall_Cap">'Tile Product Lists'!$I$2:$I$30</definedName>
    <definedName name="Tile_Level_List" localSheetId="5">'Tile Product Lists'!$B$2:$B$30</definedName>
    <definedName name="Tile_Level_Listel">'Tile Product Lists'!$E$2:$E$30</definedName>
    <definedName name="Tile_Level_LVP">'Tile Product Lists'!$L$2:$L$30</definedName>
    <definedName name="Tile_Level_Shower_Pan_Tile">'Tile Product Lists'!$F$2:$F$30</definedName>
    <definedName name="Tile_Level_Shower_Tub_Wall_Tile">'Tile Product Lists'!$G$2:$G$30</definedName>
    <definedName name="Tile_Level_Sill">'Tile Product Lists'!$H$2:$H$30</definedName>
    <definedName name="Tile_Level_Wood">'Tile Product Lists'!$M$2:$M$30</definedName>
    <definedName name="Tile_Product_Carpet_Level_1">'Tile Product Lists'!$BD$2:$BD$30</definedName>
    <definedName name="Tile_Product_Curb_Level_1">'Tile Product Lists'!$BC$2:$BC$30</definedName>
    <definedName name="Tile_Product_Floor_Tile_Level_1">'Tile Product Lists'!$Y$2:$Y$30</definedName>
    <definedName name="Tile_Product_Floor_Tile_Level_2">'Tile Product Lists'!$Z$2:$Z$30</definedName>
    <definedName name="Tile_Product_Floor_Tile_Level_3">'Tile Product Lists'!$AA$2:$AA$30</definedName>
    <definedName name="Tile_Product_Floor_Tile_Level_4">'Tile Product Lists'!$AB$2:$AB$30</definedName>
    <definedName name="Tile_Product_Floor_Tile_Level_5">'Tile Product Lists'!$AC$2:$AC$30</definedName>
    <definedName name="Tile_Product_Floor_Tile_Level_6">'Tile Product Lists'!$AD$2:$AD$30</definedName>
    <definedName name="Tile_Product_Floor_Tile_Level_7">'Tile Product Lists'!$AE$2:$AE$30</definedName>
    <definedName name="Tile_Product_Floor_Tile_Level_8">'Tile Product Lists'!$AF$2:$AF$30</definedName>
    <definedName name="Tile_Product_Floor_Tile_Level_9">'Tile Product Lists'!$AG$2:$AG$30</definedName>
    <definedName name="Tile_Product_Kitchen_Backsplash_Level_1">'Tile Product Lists'!$P$2:$P$30</definedName>
    <definedName name="Tile_Product_Kitchen_Backsplash_Level_2">'Tile Product Lists'!$Q$2:$Q$30</definedName>
    <definedName name="Tile_Product_Kitchen_Backsplash_Level_3">'Tile Product Lists'!$R$2:$R$30</definedName>
    <definedName name="Tile_Product_Kitchen_Backsplash_Level_4">'Tile Product Lists'!$S$2:$S$30</definedName>
    <definedName name="Tile_Product_Kitchen_Backsplash_Level_5">'Tile Product Lists'!$T$2:$T$30</definedName>
    <definedName name="Tile_Product_Kitchen_Backsplash_Level_6">'Tile Product Lists'!$U$2:$U$30</definedName>
    <definedName name="Tile_Product_Kitchen_Backsplash_Level_7">'Tile Product Lists'!$V$2:$V$30</definedName>
    <definedName name="Tile_Product_Kitchen_Backsplash_Level_8">'Tile Product Lists'!$W$2:$W$30</definedName>
    <definedName name="Tile_Product_Kitchen_Backsplash_Level_9">'Tile Product Lists'!$X$2:$X$30</definedName>
    <definedName name="Tile_Product_Knee_Wall_Cap_Level_1">'Tile Product Lists'!$BB$2:$BB$30</definedName>
    <definedName name="Tile_Product_List" localSheetId="5">_xlfn.LET(     _xlpm.tileType,'[1]Tile-Floor'!$C1,     _xlpm.tileLevel,'[1]Tile-Floor'!$D1,     _xlfn._xlws.FILTER(         [1]!TileTable[Item_Name],         ([1]!TileTable[Section]=_xlpm.tileType)*([1]!TileTable[Level]=_xlpm.tileLevel),         "No matching tile"     ) )</definedName>
    <definedName name="Tile_Product_Listel_Level_1">'Tile Product Lists'!$AH$2:$AH$30</definedName>
    <definedName name="Tile_Product_Listel_Level_2">'Tile Product Lists'!$AI$2:$AI$30</definedName>
    <definedName name="Tile_Product_Listel_Level_3">'Tile Product Lists'!$AJ$2:$AJ29</definedName>
    <definedName name="Tile_Product_Listel_Level_4">'Tile Product Lists'!$AK$2:$AK$30</definedName>
    <definedName name="Tile_Product_Listel_Level_5">'Tile Product Lists'!$AL$2:$AL$30</definedName>
    <definedName name="Tile_Product_LVP_Level_1">'Tile Product Lists'!$BE$2:$BE$30</definedName>
    <definedName name="Tile_Product_Shower_Pan_Tile_Level_1">'Tile Product Lists'!$AM$2:$AM$30</definedName>
    <definedName name="Tile_Product_Shower_Pan_Tile_Level_2">'Tile Product Lists'!$AN$2:$AN$30</definedName>
    <definedName name="Tile_Product_Shower_Pan_Tile_Level_3">'Tile Product Lists'!$AO$2:$AO$30</definedName>
    <definedName name="Tile_Product_Shower_Pan_Tile_Level_4">'Tile Product Lists'!$AP$2:$AP$30</definedName>
    <definedName name="Tile_Product_Shower_Pan_Tile_Level_5">'Tile Product Lists'!$AQ$2:$AQ$30</definedName>
    <definedName name="Tile_Product_Shower_Tub_Wall_Tile_Level_1">'Tile Product Lists'!$AR$2:$AR$30</definedName>
    <definedName name="Tile_Product_Shower_Tub_Wall_Tile_Level_2">'Tile Product Lists'!$AS$2:$AS$30</definedName>
    <definedName name="Tile_Product_Shower_Tub_Wall_Tile_Level_3">'Tile Product Lists'!$AT$2:$AT$30</definedName>
    <definedName name="Tile_Product_Shower_Tub_Wall_Tile_Level_4">'Tile Product Lists'!$AU$2:$AU$30</definedName>
    <definedName name="Tile_Product_Shower_Tub_Wall_Tile_Level_5">'Tile Product Lists'!$AV$2:$AV$30</definedName>
    <definedName name="Tile_Product_Shower_Tub_Wall_Tile_Level_6">'Tile Product Lists'!$AW$2:$AW$30</definedName>
    <definedName name="Tile_Product_Shower_Tub_Wall_Tile_Level_7">'Tile Product Lists'!$AX$2:$AX$30</definedName>
    <definedName name="Tile_Product_Shower_Tub_Wall_Tile_Level_8">'Tile Product Lists'!$AY$2:$AY$30</definedName>
    <definedName name="Tile_Product_Shower_Tub_Wall_Tile_Level_9">'Tile Product Lists'!$AZ$2:$AZ$30</definedName>
    <definedName name="Tile_Product_Sill_Level_1">'Tile Product Lists'!$BA$2:$BA$30</definedName>
    <definedName name="Tile_Product_Wood_Level_1">'Tile Product Lists'!$BF$2:$BF$30</definedName>
    <definedName name="Tile_Section_List">'Tile Product Lists'!$A$2:$A$30</definedName>
  </definedName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16" i="5" l="1"/>
  <c r="U15" i="5"/>
  <c r="U14" i="5"/>
  <c r="L136" i="5"/>
  <c r="F136" i="5"/>
  <c r="N136" i="5" s="1"/>
  <c r="L135" i="5"/>
  <c r="F135" i="5"/>
  <c r="N135" i="5" s="1"/>
  <c r="L134" i="5"/>
  <c r="F134" i="5"/>
  <c r="N134" i="5" s="1"/>
  <c r="L133" i="5"/>
  <c r="F133" i="5"/>
  <c r="N133" i="5" s="1"/>
  <c r="L132" i="5"/>
  <c r="F132" i="5"/>
  <c r="N132" i="5" s="1"/>
  <c r="L131" i="5"/>
  <c r="F131" i="5"/>
  <c r="N131" i="5" s="1"/>
  <c r="L130" i="5"/>
  <c r="F130" i="5"/>
  <c r="N130" i="5" s="1"/>
  <c r="L129" i="5"/>
  <c r="F129" i="5"/>
  <c r="N129" i="5" s="1"/>
  <c r="L128" i="5"/>
  <c r="F128" i="5"/>
  <c r="N128" i="5" s="1"/>
  <c r="L127" i="5"/>
  <c r="F127" i="5"/>
  <c r="N127" i="5" s="1"/>
  <c r="L126" i="5"/>
  <c r="F126" i="5"/>
  <c r="N126" i="5" s="1"/>
  <c r="L125" i="5"/>
  <c r="F125" i="5"/>
  <c r="N125" i="5" s="1"/>
  <c r="L124" i="5"/>
  <c r="F124" i="5"/>
  <c r="N124" i="5" s="1"/>
  <c r="L123" i="5"/>
  <c r="F123" i="5"/>
  <c r="N123" i="5" s="1"/>
  <c r="L120" i="5"/>
  <c r="F120" i="5"/>
  <c r="N120" i="5" s="1"/>
  <c r="L119" i="5"/>
  <c r="F119" i="5"/>
  <c r="N119" i="5" s="1"/>
  <c r="L118" i="5"/>
  <c r="F118" i="5"/>
  <c r="N118" i="5" s="1"/>
  <c r="L117" i="5"/>
  <c r="F117" i="5"/>
  <c r="N117" i="5" s="1"/>
  <c r="L116" i="5"/>
  <c r="F116" i="5"/>
  <c r="N116" i="5" s="1"/>
  <c r="L115" i="5"/>
  <c r="F115" i="5"/>
  <c r="N115" i="5" s="1"/>
  <c r="L114" i="5"/>
  <c r="F114" i="5"/>
  <c r="N114" i="5" s="1"/>
  <c r="L113" i="5"/>
  <c r="F113" i="5"/>
  <c r="N113" i="5" s="1"/>
  <c r="L112" i="5"/>
  <c r="F112" i="5"/>
  <c r="N112" i="5" s="1"/>
  <c r="L111" i="5"/>
  <c r="F111" i="5"/>
  <c r="N111" i="5" s="1"/>
  <c r="L110" i="5"/>
  <c r="F110" i="5"/>
  <c r="N110" i="5" s="1"/>
  <c r="L109" i="5"/>
  <c r="F109" i="5"/>
  <c r="N109" i="5" s="1"/>
  <c r="L108" i="5"/>
  <c r="F108" i="5"/>
  <c r="N108" i="5" s="1"/>
  <c r="L107" i="5"/>
  <c r="F107" i="5"/>
  <c r="N107" i="5" s="1"/>
  <c r="L104" i="5"/>
  <c r="F104" i="5"/>
  <c r="N104" i="5" s="1"/>
  <c r="L103" i="5"/>
  <c r="F103" i="5"/>
  <c r="N103" i="5" s="1"/>
  <c r="L102" i="5"/>
  <c r="F102" i="5"/>
  <c r="N102" i="5" s="1"/>
  <c r="L101" i="5"/>
  <c r="F101" i="5"/>
  <c r="N101" i="5" s="1"/>
  <c r="L100" i="5"/>
  <c r="F100" i="5"/>
  <c r="N100" i="5" s="1"/>
  <c r="L99" i="5"/>
  <c r="F99" i="5"/>
  <c r="N99" i="5" s="1"/>
  <c r="L98" i="5"/>
  <c r="F98" i="5"/>
  <c r="N98" i="5" s="1"/>
  <c r="L97" i="5"/>
  <c r="F97" i="5"/>
  <c r="N97" i="5" s="1"/>
  <c r="L96" i="5"/>
  <c r="F96" i="5"/>
  <c r="N96" i="5" s="1"/>
  <c r="L95" i="5"/>
  <c r="F95" i="5"/>
  <c r="N95" i="5" s="1"/>
  <c r="L94" i="5"/>
  <c r="F94" i="5"/>
  <c r="N94" i="5" s="1"/>
  <c r="L93" i="5"/>
  <c r="F93" i="5"/>
  <c r="N93" i="5" s="1"/>
  <c r="L92" i="5"/>
  <c r="F92" i="5"/>
  <c r="N92" i="5" s="1"/>
  <c r="L91" i="5"/>
  <c r="F91" i="5"/>
  <c r="N91" i="5" s="1"/>
  <c r="F40" i="5"/>
  <c r="N40" i="5" s="1"/>
  <c r="L40" i="5"/>
  <c r="U12" i="5"/>
  <c r="U11" i="5"/>
  <c r="U10" i="5"/>
  <c r="U9" i="5"/>
  <c r="L88" i="5"/>
  <c r="F88" i="5"/>
  <c r="N88" i="5" s="1"/>
  <c r="L87" i="5"/>
  <c r="F87" i="5"/>
  <c r="N87" i="5" s="1"/>
  <c r="L86" i="5"/>
  <c r="F86" i="5"/>
  <c r="N86" i="5" s="1"/>
  <c r="L85" i="5"/>
  <c r="F85" i="5"/>
  <c r="N85" i="5" s="1"/>
  <c r="L84" i="5"/>
  <c r="F84" i="5"/>
  <c r="N84" i="5" s="1"/>
  <c r="L83" i="5"/>
  <c r="F83" i="5"/>
  <c r="N83" i="5" s="1"/>
  <c r="L82" i="5"/>
  <c r="F82" i="5"/>
  <c r="N82" i="5" s="1"/>
  <c r="L81" i="5"/>
  <c r="F81" i="5"/>
  <c r="N81" i="5" s="1"/>
  <c r="L80" i="5"/>
  <c r="F80" i="5"/>
  <c r="N80" i="5" s="1"/>
  <c r="L79" i="5"/>
  <c r="F79" i="5"/>
  <c r="N79" i="5" s="1"/>
  <c r="L78" i="5"/>
  <c r="F78" i="5"/>
  <c r="N78" i="5" s="1"/>
  <c r="L77" i="5"/>
  <c r="F77" i="5"/>
  <c r="N77" i="5" s="1"/>
  <c r="L76" i="5"/>
  <c r="F76" i="5"/>
  <c r="N76" i="5" s="1"/>
  <c r="L75" i="5"/>
  <c r="F75" i="5"/>
  <c r="N75" i="5" s="1"/>
  <c r="L72" i="5"/>
  <c r="F72" i="5"/>
  <c r="N72" i="5" s="1"/>
  <c r="L71" i="5"/>
  <c r="F71" i="5"/>
  <c r="N71" i="5" s="1"/>
  <c r="L70" i="5"/>
  <c r="F70" i="5"/>
  <c r="N70" i="5" s="1"/>
  <c r="L69" i="5"/>
  <c r="F69" i="5"/>
  <c r="N69" i="5" s="1"/>
  <c r="L68" i="5"/>
  <c r="F68" i="5"/>
  <c r="N68" i="5" s="1"/>
  <c r="L67" i="5"/>
  <c r="F67" i="5"/>
  <c r="N67" i="5" s="1"/>
  <c r="L66" i="5"/>
  <c r="F66" i="5"/>
  <c r="N66" i="5" s="1"/>
  <c r="L65" i="5"/>
  <c r="F65" i="5"/>
  <c r="N65" i="5" s="1"/>
  <c r="L64" i="5"/>
  <c r="F64" i="5"/>
  <c r="N64" i="5" s="1"/>
  <c r="L63" i="5"/>
  <c r="F63" i="5"/>
  <c r="N63" i="5" s="1"/>
  <c r="L62" i="5"/>
  <c r="F62" i="5"/>
  <c r="N62" i="5" s="1"/>
  <c r="L61" i="5"/>
  <c r="F61" i="5"/>
  <c r="N61" i="5" s="1"/>
  <c r="L60" i="5"/>
  <c r="F60" i="5"/>
  <c r="N60" i="5" s="1"/>
  <c r="L59" i="5"/>
  <c r="F59" i="5"/>
  <c r="N59" i="5" s="1"/>
  <c r="L56" i="5"/>
  <c r="F56" i="5"/>
  <c r="N56" i="5" s="1"/>
  <c r="L55" i="5"/>
  <c r="F55" i="5"/>
  <c r="N55" i="5" s="1"/>
  <c r="L54" i="5"/>
  <c r="F54" i="5"/>
  <c r="N54" i="5" s="1"/>
  <c r="L53" i="5"/>
  <c r="F53" i="5"/>
  <c r="N53" i="5" s="1"/>
  <c r="L52" i="5"/>
  <c r="F52" i="5"/>
  <c r="N52" i="5" s="1"/>
  <c r="L51" i="5"/>
  <c r="F51" i="5"/>
  <c r="N51" i="5" s="1"/>
  <c r="L50" i="5"/>
  <c r="F50" i="5"/>
  <c r="N50" i="5" s="1"/>
  <c r="L49" i="5"/>
  <c r="F49" i="5"/>
  <c r="N49" i="5" s="1"/>
  <c r="L48" i="5"/>
  <c r="F48" i="5"/>
  <c r="N48" i="5" s="1"/>
  <c r="L47" i="5"/>
  <c r="F47" i="5"/>
  <c r="N47" i="5" s="1"/>
  <c r="L46" i="5"/>
  <c r="F46" i="5"/>
  <c r="N46" i="5" s="1"/>
  <c r="L45" i="5"/>
  <c r="F45" i="5"/>
  <c r="N45" i="5" s="1"/>
  <c r="L44" i="5"/>
  <c r="F44" i="5"/>
  <c r="N44" i="5" s="1"/>
  <c r="L43" i="5"/>
  <c r="F43" i="5"/>
  <c r="N43" i="5" s="1"/>
  <c r="L39" i="5"/>
  <c r="F39" i="5"/>
  <c r="N39" i="5" s="1"/>
  <c r="L38" i="5"/>
  <c r="F38" i="5"/>
  <c r="N38" i="5" s="1"/>
  <c r="L37" i="5"/>
  <c r="F37" i="5"/>
  <c r="N37" i="5" s="1"/>
  <c r="L36" i="5"/>
  <c r="F36" i="5"/>
  <c r="N36" i="5" s="1"/>
  <c r="L35" i="5"/>
  <c r="F35" i="5"/>
  <c r="N35" i="5" s="1"/>
  <c r="L34" i="5"/>
  <c r="F34" i="5"/>
  <c r="N34" i="5" s="1"/>
  <c r="L33" i="5"/>
  <c r="F33" i="5"/>
  <c r="N33" i="5" s="1"/>
  <c r="L32" i="5"/>
  <c r="F32" i="5"/>
  <c r="N32" i="5" s="1"/>
  <c r="L31" i="5"/>
  <c r="F31" i="5"/>
  <c r="N31" i="5" s="1"/>
  <c r="L30" i="5"/>
  <c r="F30" i="5"/>
  <c r="N30" i="5" s="1"/>
  <c r="L29" i="5"/>
  <c r="F29" i="5"/>
  <c r="N29" i="5" s="1"/>
  <c r="L28" i="5"/>
  <c r="F28" i="5"/>
  <c r="N28" i="5" s="1"/>
  <c r="L27" i="5"/>
  <c r="F27" i="5"/>
  <c r="N27" i="5" s="1"/>
  <c r="F11" i="5"/>
  <c r="N11" i="5" s="1"/>
  <c r="L11" i="5"/>
  <c r="F12" i="5"/>
  <c r="N12" i="5" s="1"/>
  <c r="L12" i="5"/>
  <c r="F13" i="5"/>
  <c r="N13" i="5" s="1"/>
  <c r="L13" i="5"/>
  <c r="F14" i="5"/>
  <c r="N14" i="5" s="1"/>
  <c r="L14" i="5"/>
  <c r="F9" i="5"/>
  <c r="N9" i="5" s="1"/>
  <c r="L9" i="5"/>
  <c r="F10" i="5"/>
  <c r="N10" i="5" s="1"/>
  <c r="L10" i="5"/>
  <c r="F15" i="5"/>
  <c r="N15" i="5" s="1"/>
  <c r="L15" i="5"/>
  <c r="F16" i="5"/>
  <c r="N16" i="5" s="1"/>
  <c r="L16" i="5"/>
  <c r="F17" i="5"/>
  <c r="N17" i="5" s="1"/>
  <c r="L17" i="5"/>
  <c r="F18" i="5"/>
  <c r="N18" i="5" s="1"/>
  <c r="L18" i="5"/>
  <c r="F19" i="5"/>
  <c r="N19" i="5" s="1"/>
  <c r="L19" i="5"/>
  <c r="F20" i="5"/>
  <c r="N20" i="5" s="1"/>
  <c r="L20" i="5"/>
  <c r="F21" i="5"/>
  <c r="N21" i="5" s="1"/>
  <c r="L21" i="5"/>
  <c r="L8" i="5"/>
  <c r="U13" i="5"/>
  <c r="U8" i="5"/>
  <c r="P126" i="5" l="1"/>
  <c r="P132" i="5"/>
  <c r="P134" i="5"/>
  <c r="P127" i="5"/>
  <c r="P125" i="5"/>
  <c r="P131" i="5"/>
  <c r="P128" i="5"/>
  <c r="P129" i="5"/>
  <c r="P124" i="5"/>
  <c r="P130" i="5"/>
  <c r="P136" i="5"/>
  <c r="P135" i="5"/>
  <c r="P133" i="5"/>
  <c r="P123" i="5"/>
  <c r="P107" i="5"/>
  <c r="P111" i="5"/>
  <c r="P117" i="5"/>
  <c r="P112" i="5"/>
  <c r="P108" i="5"/>
  <c r="P114" i="5"/>
  <c r="P120" i="5"/>
  <c r="P109" i="5"/>
  <c r="P115" i="5"/>
  <c r="P110" i="5"/>
  <c r="P116" i="5"/>
  <c r="P119" i="5"/>
  <c r="P118" i="5"/>
  <c r="P113" i="5"/>
  <c r="P93" i="5"/>
  <c r="P97" i="5"/>
  <c r="P103" i="5"/>
  <c r="P92" i="5"/>
  <c r="P98" i="5"/>
  <c r="P104" i="5"/>
  <c r="P99" i="5"/>
  <c r="P95" i="5"/>
  <c r="P96" i="5"/>
  <c r="P100" i="5"/>
  <c r="P101" i="5"/>
  <c r="P91" i="5"/>
  <c r="P102" i="5"/>
  <c r="P94" i="5"/>
  <c r="P78" i="5"/>
  <c r="P80" i="5"/>
  <c r="P86" i="5"/>
  <c r="P76" i="5"/>
  <c r="P82" i="5"/>
  <c r="P88" i="5"/>
  <c r="P77" i="5"/>
  <c r="P79" i="5"/>
  <c r="P85" i="5"/>
  <c r="P87" i="5"/>
  <c r="P75" i="5"/>
  <c r="P84" i="5"/>
  <c r="P83" i="5"/>
  <c r="P81" i="5"/>
  <c r="P61" i="5"/>
  <c r="P60" i="5"/>
  <c r="P66" i="5"/>
  <c r="P72" i="5"/>
  <c r="P62" i="5"/>
  <c r="P63" i="5"/>
  <c r="P69" i="5"/>
  <c r="P64" i="5"/>
  <c r="P65" i="5"/>
  <c r="P71" i="5"/>
  <c r="P70" i="5"/>
  <c r="P67" i="5"/>
  <c r="P68" i="5"/>
  <c r="P59" i="5"/>
  <c r="P50" i="5"/>
  <c r="O115" i="5"/>
  <c r="P46" i="5"/>
  <c r="P53" i="5"/>
  <c r="P52" i="5"/>
  <c r="P48" i="5"/>
  <c r="P54" i="5"/>
  <c r="P49" i="5"/>
  <c r="P55" i="5"/>
  <c r="P44" i="5"/>
  <c r="P56" i="5"/>
  <c r="P45" i="5"/>
  <c r="P47" i="5"/>
  <c r="P51" i="5"/>
  <c r="P43" i="5"/>
  <c r="P27" i="5"/>
  <c r="P31" i="5"/>
  <c r="P37" i="5"/>
  <c r="P32" i="5"/>
  <c r="P28" i="5"/>
  <c r="P33" i="5"/>
  <c r="P40" i="5"/>
  <c r="P30" i="5"/>
  <c r="P36" i="5"/>
  <c r="P34" i="5"/>
  <c r="P38" i="5"/>
  <c r="P35" i="5"/>
  <c r="P29" i="5"/>
  <c r="P39" i="5"/>
  <c r="P16" i="5"/>
  <c r="P9" i="5"/>
  <c r="P15" i="5"/>
  <c r="P11" i="5"/>
  <c r="P19" i="5"/>
  <c r="P14" i="5"/>
  <c r="P10" i="5"/>
  <c r="P18" i="5"/>
  <c r="P13" i="5"/>
  <c r="P20" i="5"/>
  <c r="P17" i="5"/>
  <c r="P12" i="5"/>
  <c r="P21" i="5"/>
  <c r="P8" i="5"/>
  <c r="O123" i="5"/>
  <c r="O119" i="5"/>
  <c r="O127" i="5"/>
  <c r="O134" i="5"/>
  <c r="O135" i="5"/>
  <c r="O114" i="5"/>
  <c r="O126" i="5"/>
  <c r="O131" i="5"/>
  <c r="O128" i="5"/>
  <c r="O132" i="5"/>
  <c r="O130" i="5"/>
  <c r="O125" i="5"/>
  <c r="O107" i="5"/>
  <c r="O129" i="5"/>
  <c r="O120" i="5"/>
  <c r="O124" i="5"/>
  <c r="O136" i="5"/>
  <c r="O133" i="5"/>
  <c r="O110" i="5"/>
  <c r="O113" i="5"/>
  <c r="O108" i="5"/>
  <c r="O112" i="5"/>
  <c r="O96" i="5"/>
  <c r="O116" i="5"/>
  <c r="O109" i="5"/>
  <c r="O111" i="5"/>
  <c r="O93" i="5"/>
  <c r="O118" i="5"/>
  <c r="O117" i="5"/>
  <c r="O91" i="5"/>
  <c r="O101" i="5"/>
  <c r="O97" i="5"/>
  <c r="O103" i="5"/>
  <c r="O98" i="5"/>
  <c r="O94" i="5"/>
  <c r="O99" i="5"/>
  <c r="O100" i="5"/>
  <c r="O95" i="5"/>
  <c r="O102" i="5"/>
  <c r="O92" i="5"/>
  <c r="O104" i="5"/>
  <c r="O40" i="5"/>
  <c r="O67" i="5"/>
  <c r="O75" i="5"/>
  <c r="O88" i="5"/>
  <c r="O87" i="5"/>
  <c r="O80" i="5"/>
  <c r="O85" i="5"/>
  <c r="O76" i="5"/>
  <c r="O86" i="5"/>
  <c r="O79" i="5"/>
  <c r="O84" i="5"/>
  <c r="O82" i="5"/>
  <c r="O77" i="5"/>
  <c r="O70" i="5"/>
  <c r="O81" i="5"/>
  <c r="O83" i="5"/>
  <c r="O78" i="5"/>
  <c r="O71" i="5"/>
  <c r="O63" i="5"/>
  <c r="O59" i="5"/>
  <c r="O27" i="5"/>
  <c r="O47" i="5"/>
  <c r="O62" i="5"/>
  <c r="O69" i="5"/>
  <c r="O52" i="5"/>
  <c r="O60" i="5"/>
  <c r="O72" i="5"/>
  <c r="O64" i="5"/>
  <c r="O66" i="5"/>
  <c r="O61" i="5"/>
  <c r="O68" i="5"/>
  <c r="O65" i="5"/>
  <c r="O45" i="5"/>
  <c r="O54" i="5"/>
  <c r="O49" i="5"/>
  <c r="O44" i="5"/>
  <c r="O56" i="5"/>
  <c r="O51" i="5"/>
  <c r="O46" i="5"/>
  <c r="O53" i="5"/>
  <c r="O48" i="5"/>
  <c r="O43" i="5"/>
  <c r="O55" i="5"/>
  <c r="O50" i="5"/>
  <c r="O30" i="5"/>
  <c r="O39" i="5"/>
  <c r="O35" i="5"/>
  <c r="O32" i="5"/>
  <c r="O37" i="5"/>
  <c r="O36" i="5"/>
  <c r="O29" i="5"/>
  <c r="O31" i="5"/>
  <c r="O38" i="5"/>
  <c r="O33" i="5"/>
  <c r="O34" i="5"/>
  <c r="O28" i="5"/>
  <c r="O11" i="5"/>
  <c r="O13" i="5"/>
  <c r="O14" i="5"/>
  <c r="O12" i="5"/>
  <c r="O19" i="5"/>
  <c r="O17" i="5"/>
  <c r="O15" i="5"/>
  <c r="O9" i="5"/>
  <c r="O20" i="5"/>
  <c r="O10" i="5"/>
  <c r="O16" i="5"/>
  <c r="O18" i="5"/>
  <c r="O21" i="5"/>
  <c r="Q88" i="5" l="1"/>
  <c r="R88" i="5" s="1"/>
  <c r="Q110" i="5"/>
  <c r="R110" i="5" s="1"/>
  <c r="Q115" i="5"/>
  <c r="R115" i="5" s="1"/>
  <c r="Q123" i="5"/>
  <c r="R123" i="5" s="1"/>
  <c r="Q136" i="5"/>
  <c r="R136" i="5" s="1"/>
  <c r="Q119" i="5"/>
  <c r="R119" i="5" s="1"/>
  <c r="Q127" i="5"/>
  <c r="R127" i="5" s="1"/>
  <c r="Q130" i="5"/>
  <c r="R130" i="5" s="1"/>
  <c r="Q134" i="5"/>
  <c r="R134" i="5" s="1"/>
  <c r="Q135" i="5"/>
  <c r="R135" i="5" s="1"/>
  <c r="Q131" i="5"/>
  <c r="R131" i="5" s="1"/>
  <c r="Q107" i="5"/>
  <c r="R107" i="5" s="1"/>
  <c r="Q132" i="5"/>
  <c r="R132" i="5" s="1"/>
  <c r="Q133" i="5"/>
  <c r="R133" i="5" s="1"/>
  <c r="Q114" i="5"/>
  <c r="R114" i="5" s="1"/>
  <c r="Q126" i="5"/>
  <c r="R126" i="5" s="1"/>
  <c r="Q101" i="5"/>
  <c r="R101" i="5" s="1"/>
  <c r="Q111" i="5"/>
  <c r="R111" i="5" s="1"/>
  <c r="Q120" i="5"/>
  <c r="R120" i="5" s="1"/>
  <c r="Q124" i="5"/>
  <c r="R124" i="5" s="1"/>
  <c r="Q125" i="5"/>
  <c r="R125" i="5" s="1"/>
  <c r="Q103" i="5"/>
  <c r="R103" i="5" s="1"/>
  <c r="Q91" i="5"/>
  <c r="R91" i="5" s="1"/>
  <c r="Q109" i="5"/>
  <c r="R109" i="5" s="1"/>
  <c r="Q129" i="5"/>
  <c r="R129" i="5" s="1"/>
  <c r="Q128" i="5"/>
  <c r="R128" i="5" s="1"/>
  <c r="Q112" i="5"/>
  <c r="R112" i="5" s="1"/>
  <c r="Q108" i="5"/>
  <c r="R108" i="5" s="1"/>
  <c r="Q117" i="5"/>
  <c r="R117" i="5" s="1"/>
  <c r="Q113" i="5"/>
  <c r="R113" i="5" s="1"/>
  <c r="Q93" i="5"/>
  <c r="R93" i="5" s="1"/>
  <c r="Q96" i="5"/>
  <c r="R96" i="5" s="1"/>
  <c r="Q118" i="5"/>
  <c r="R118" i="5" s="1"/>
  <c r="Q102" i="5"/>
  <c r="R102" i="5" s="1"/>
  <c r="Q94" i="5"/>
  <c r="R94" i="5" s="1"/>
  <c r="Q92" i="5"/>
  <c r="R92" i="5" s="1"/>
  <c r="Q116" i="5"/>
  <c r="R116" i="5" s="1"/>
  <c r="Q98" i="5"/>
  <c r="R98" i="5" s="1"/>
  <c r="Q95" i="5"/>
  <c r="R95" i="5" s="1"/>
  <c r="Q100" i="5"/>
  <c r="R100" i="5" s="1"/>
  <c r="Q99" i="5"/>
  <c r="R99" i="5" s="1"/>
  <c r="Q97" i="5"/>
  <c r="R97" i="5" s="1"/>
  <c r="Q104" i="5"/>
  <c r="R104" i="5" s="1"/>
  <c r="Q75" i="5"/>
  <c r="R75" i="5" s="1"/>
  <c r="Q40" i="5"/>
  <c r="R40" i="5" s="1"/>
  <c r="Q67" i="5"/>
  <c r="R67" i="5" s="1"/>
  <c r="Q80" i="5"/>
  <c r="R80" i="5" s="1"/>
  <c r="Q86" i="5"/>
  <c r="R86" i="5" s="1"/>
  <c r="Q87" i="5"/>
  <c r="R87" i="5" s="1"/>
  <c r="Q78" i="5"/>
  <c r="R78" i="5" s="1"/>
  <c r="Q83" i="5"/>
  <c r="R83" i="5" s="1"/>
  <c r="Q79" i="5"/>
  <c r="R79" i="5" s="1"/>
  <c r="Q76" i="5"/>
  <c r="R76" i="5" s="1"/>
  <c r="Q81" i="5"/>
  <c r="R81" i="5" s="1"/>
  <c r="Q85" i="5"/>
  <c r="R85" i="5" s="1"/>
  <c r="Q77" i="5"/>
  <c r="R77" i="5" s="1"/>
  <c r="Q82" i="5"/>
  <c r="R82" i="5" s="1"/>
  <c r="Q84" i="5"/>
  <c r="R84" i="5" s="1"/>
  <c r="Q70" i="5"/>
  <c r="R70" i="5" s="1"/>
  <c r="Q66" i="5"/>
  <c r="R66" i="5" s="1"/>
  <c r="Q47" i="5"/>
  <c r="R47" i="5" s="1"/>
  <c r="Q63" i="5"/>
  <c r="R63" i="5" s="1"/>
  <c r="Q71" i="5"/>
  <c r="R71" i="5" s="1"/>
  <c r="Q62" i="5"/>
  <c r="R62" i="5" s="1"/>
  <c r="Q52" i="5"/>
  <c r="R52" i="5" s="1"/>
  <c r="Q13" i="5"/>
  <c r="R13" i="5" s="1"/>
  <c r="Q65" i="5"/>
  <c r="R65" i="5" s="1"/>
  <c r="Q27" i="5"/>
  <c r="R27" i="5" s="1"/>
  <c r="Q61" i="5"/>
  <c r="R61" i="5" s="1"/>
  <c r="Q59" i="5"/>
  <c r="R59" i="5" s="1"/>
  <c r="Q72" i="5"/>
  <c r="R72" i="5" s="1"/>
  <c r="Q69" i="5"/>
  <c r="R69" i="5" s="1"/>
  <c r="Q56" i="5"/>
  <c r="R56" i="5" s="1"/>
  <c r="Q51" i="5"/>
  <c r="R51" i="5" s="1"/>
  <c r="Q68" i="5"/>
  <c r="R68" i="5" s="1"/>
  <c r="Q64" i="5"/>
  <c r="R64" i="5" s="1"/>
  <c r="Q46" i="5"/>
  <c r="R46" i="5" s="1"/>
  <c r="Q53" i="5"/>
  <c r="R53" i="5" s="1"/>
  <c r="Q44" i="5"/>
  <c r="R44" i="5" s="1"/>
  <c r="Q60" i="5"/>
  <c r="R60" i="5" s="1"/>
  <c r="Q49" i="5"/>
  <c r="R49" i="5" s="1"/>
  <c r="Q54" i="5"/>
  <c r="R54" i="5" s="1"/>
  <c r="Q50" i="5"/>
  <c r="R50" i="5" s="1"/>
  <c r="Q55" i="5"/>
  <c r="R55" i="5" s="1"/>
  <c r="Q43" i="5"/>
  <c r="R43" i="5" s="1"/>
  <c r="Q45" i="5"/>
  <c r="R45" i="5" s="1"/>
  <c r="Q48" i="5"/>
  <c r="R48" i="5" s="1"/>
  <c r="Q30" i="5"/>
  <c r="R30" i="5" s="1"/>
  <c r="Q39" i="5"/>
  <c r="R39" i="5" s="1"/>
  <c r="Q35" i="5"/>
  <c r="R35" i="5" s="1"/>
  <c r="Q34" i="5"/>
  <c r="R34" i="5" s="1"/>
  <c r="Q33" i="5"/>
  <c r="R33" i="5" s="1"/>
  <c r="Q14" i="5"/>
  <c r="R14" i="5" s="1"/>
  <c r="Q37" i="5"/>
  <c r="R37" i="5" s="1"/>
  <c r="Q36" i="5"/>
  <c r="R36" i="5" s="1"/>
  <c r="Q38" i="5"/>
  <c r="R38" i="5" s="1"/>
  <c r="Q32" i="5"/>
  <c r="R32" i="5" s="1"/>
  <c r="Q31" i="5"/>
  <c r="R31" i="5" s="1"/>
  <c r="Q28" i="5"/>
  <c r="R28" i="5" s="1"/>
  <c r="Q29" i="5"/>
  <c r="R29" i="5" s="1"/>
  <c r="Q11" i="5"/>
  <c r="R11" i="5" s="1"/>
  <c r="Q12" i="5"/>
  <c r="R12" i="5" s="1"/>
  <c r="Q19" i="5"/>
  <c r="R19" i="5" s="1"/>
  <c r="Q20" i="5"/>
  <c r="R20" i="5" s="1"/>
  <c r="Q9" i="5"/>
  <c r="R9" i="5" s="1"/>
  <c r="Q17" i="5"/>
  <c r="R17" i="5" s="1"/>
  <c r="Q15" i="5"/>
  <c r="R15" i="5" s="1"/>
  <c r="Q10" i="5"/>
  <c r="R10" i="5" s="1"/>
  <c r="Q21" i="5"/>
  <c r="R21" i="5" s="1"/>
  <c r="Q16" i="5"/>
  <c r="R16" i="5" s="1"/>
  <c r="Q18" i="5"/>
  <c r="R18" i="5" s="1"/>
  <c r="R137" i="5" l="1"/>
  <c r="V16" i="5" s="1"/>
  <c r="R121" i="5"/>
  <c r="V15" i="5" s="1"/>
  <c r="R105" i="5"/>
  <c r="R89" i="5"/>
  <c r="V12" i="5" s="1"/>
  <c r="R73" i="5"/>
  <c r="V11" i="5" s="1"/>
  <c r="R57" i="5"/>
  <c r="V10" i="5" s="1"/>
  <c r="R41" i="5"/>
  <c r="V9" i="5" s="1"/>
  <c r="F8" i="5"/>
  <c r="L3" i="5"/>
  <c r="B3" i="5"/>
  <c r="L2" i="5"/>
  <c r="V13" i="5" l="1"/>
  <c r="V14" i="5"/>
  <c r="N8" i="5"/>
  <c r="O8" i="9"/>
  <c r="B3" i="9"/>
  <c r="G43" i="9"/>
  <c r="G56" i="9"/>
  <c r="G69" i="9"/>
  <c r="G82" i="9"/>
  <c r="G95" i="9"/>
  <c r="G108" i="9"/>
  <c r="G121" i="9"/>
  <c r="G134" i="9"/>
  <c r="M27" i="9"/>
  <c r="O27" i="9"/>
  <c r="M28" i="9"/>
  <c r="O28" i="9"/>
  <c r="M12" i="9"/>
  <c r="O12" i="9"/>
  <c r="U16" i="9"/>
  <c r="U15" i="9"/>
  <c r="U14" i="9"/>
  <c r="U13" i="9"/>
  <c r="U12" i="9"/>
  <c r="U11" i="9"/>
  <c r="U10" i="9"/>
  <c r="U9" i="9"/>
  <c r="U8" i="9"/>
  <c r="O8" i="5" l="1"/>
  <c r="Q8" i="5" s="1"/>
  <c r="R8" i="5" s="1"/>
  <c r="R25" i="5" s="1"/>
  <c r="V8" i="5" s="1"/>
  <c r="V17" i="5" s="1"/>
  <c r="P28" i="9"/>
  <c r="P27" i="9"/>
  <c r="P12" i="9"/>
  <c r="M124" i="9" l="1"/>
  <c r="M125" i="9"/>
  <c r="M127" i="9"/>
  <c r="M128" i="9"/>
  <c r="M129" i="9"/>
  <c r="M130" i="9"/>
  <c r="M131" i="9"/>
  <c r="M132" i="9"/>
  <c r="M111" i="9"/>
  <c r="M112" i="9"/>
  <c r="M114" i="9"/>
  <c r="M115" i="9"/>
  <c r="M116" i="9"/>
  <c r="M117" i="9"/>
  <c r="M118" i="9"/>
  <c r="M119" i="9"/>
  <c r="M98" i="9"/>
  <c r="M99" i="9"/>
  <c r="M101" i="9"/>
  <c r="M102" i="9"/>
  <c r="M103" i="9"/>
  <c r="M104" i="9"/>
  <c r="M105" i="9"/>
  <c r="M106" i="9"/>
  <c r="M85" i="9"/>
  <c r="M86" i="9"/>
  <c r="M88" i="9"/>
  <c r="M89" i="9"/>
  <c r="M90" i="9"/>
  <c r="M91" i="9"/>
  <c r="M92" i="9"/>
  <c r="M93" i="9"/>
  <c r="M72" i="9"/>
  <c r="M73" i="9"/>
  <c r="M75" i="9"/>
  <c r="M76" i="9"/>
  <c r="M77" i="9"/>
  <c r="M78" i="9"/>
  <c r="M79" i="9"/>
  <c r="M80" i="9"/>
  <c r="M59" i="9"/>
  <c r="M60" i="9"/>
  <c r="M62" i="9"/>
  <c r="M63" i="9"/>
  <c r="M64" i="9"/>
  <c r="M65" i="9"/>
  <c r="M66" i="9"/>
  <c r="M67" i="9"/>
  <c r="M46" i="9"/>
  <c r="M47" i="9"/>
  <c r="M49" i="9"/>
  <c r="M50" i="9"/>
  <c r="M51" i="9"/>
  <c r="M52" i="9"/>
  <c r="M53" i="9"/>
  <c r="M54" i="9"/>
  <c r="M33" i="9"/>
  <c r="M34" i="9"/>
  <c r="M36" i="9"/>
  <c r="M37" i="9"/>
  <c r="M38" i="9"/>
  <c r="M39" i="9"/>
  <c r="M40" i="9"/>
  <c r="M41" i="9"/>
  <c r="M123" i="9"/>
  <c r="M110" i="9"/>
  <c r="M97" i="9"/>
  <c r="M84" i="9"/>
  <c r="M71" i="9"/>
  <c r="M58" i="9"/>
  <c r="M45" i="9"/>
  <c r="M32" i="9"/>
  <c r="M9" i="9"/>
  <c r="M10" i="9"/>
  <c r="M11" i="9"/>
  <c r="M13" i="9"/>
  <c r="M14" i="9"/>
  <c r="M15" i="9"/>
  <c r="M16" i="9"/>
  <c r="M17" i="9"/>
  <c r="M18" i="9"/>
  <c r="M19" i="9"/>
  <c r="M20" i="9"/>
  <c r="M21" i="9"/>
  <c r="M22" i="9"/>
  <c r="M23" i="9"/>
  <c r="M24" i="9"/>
  <c r="M25" i="9"/>
  <c r="M26" i="9"/>
  <c r="M29" i="9"/>
  <c r="M8" i="9"/>
  <c r="L35" i="9"/>
  <c r="L126" i="9"/>
  <c r="M126" i="9" s="1"/>
  <c r="L113" i="9"/>
  <c r="M113" i="9" s="1"/>
  <c r="L100" i="9"/>
  <c r="M100" i="9" s="1"/>
  <c r="L87" i="9"/>
  <c r="M87" i="9" s="1"/>
  <c r="L74" i="9"/>
  <c r="M74" i="9" s="1"/>
  <c r="L61" i="9"/>
  <c r="M61" i="9" s="1"/>
  <c r="N68" i="9"/>
  <c r="N69" i="9"/>
  <c r="O71" i="9"/>
  <c r="O72" i="9"/>
  <c r="O73" i="9"/>
  <c r="O74" i="9"/>
  <c r="O75" i="9"/>
  <c r="L48" i="9"/>
  <c r="M48" i="9" s="1"/>
  <c r="N134" i="9"/>
  <c r="N133" i="9"/>
  <c r="O132" i="9"/>
  <c r="O131" i="9"/>
  <c r="O130" i="9"/>
  <c r="O129" i="9"/>
  <c r="O128" i="9"/>
  <c r="O127" i="9"/>
  <c r="O126" i="9"/>
  <c r="O125" i="9"/>
  <c r="O124" i="9"/>
  <c r="O123" i="9"/>
  <c r="N121" i="9"/>
  <c r="N120" i="9"/>
  <c r="O119" i="9"/>
  <c r="O118" i="9"/>
  <c r="O117" i="9"/>
  <c r="O116" i="9"/>
  <c r="O115" i="9"/>
  <c r="O114" i="9"/>
  <c r="O113" i="9"/>
  <c r="O112" i="9"/>
  <c r="O111" i="9"/>
  <c r="O110" i="9"/>
  <c r="N108" i="9"/>
  <c r="N107" i="9"/>
  <c r="O106" i="9"/>
  <c r="O105" i="9"/>
  <c r="O104" i="9"/>
  <c r="O103" i="9"/>
  <c r="O102" i="9"/>
  <c r="O101" i="9"/>
  <c r="O100" i="9"/>
  <c r="O99" i="9"/>
  <c r="O98" i="9"/>
  <c r="O97" i="9"/>
  <c r="N95" i="9"/>
  <c r="N94" i="9"/>
  <c r="O93" i="9"/>
  <c r="O92" i="9"/>
  <c r="O91" i="9"/>
  <c r="O90" i="9"/>
  <c r="O89" i="9"/>
  <c r="O88" i="9"/>
  <c r="O87" i="9"/>
  <c r="O86" i="9"/>
  <c r="O85" i="9"/>
  <c r="O84" i="9"/>
  <c r="N82" i="9"/>
  <c r="N81" i="9"/>
  <c r="O80" i="9"/>
  <c r="O79" i="9"/>
  <c r="O78" i="9"/>
  <c r="O77" i="9"/>
  <c r="O76" i="9"/>
  <c r="O67" i="9"/>
  <c r="O66" i="9"/>
  <c r="O65" i="9"/>
  <c r="O64" i="9"/>
  <c r="O63" i="9"/>
  <c r="O62" i="9"/>
  <c r="O61" i="9"/>
  <c r="O60" i="9"/>
  <c r="O59" i="9"/>
  <c r="O58" i="9"/>
  <c r="N56" i="9"/>
  <c r="N55" i="9"/>
  <c r="O54" i="9"/>
  <c r="O53" i="9"/>
  <c r="O52" i="9"/>
  <c r="O51" i="9"/>
  <c r="O50" i="9"/>
  <c r="O49" i="9"/>
  <c r="O48" i="9"/>
  <c r="O47" i="9"/>
  <c r="O46" i="9"/>
  <c r="O45" i="9"/>
  <c r="O33" i="9"/>
  <c r="O34" i="9"/>
  <c r="O35" i="9"/>
  <c r="O36" i="9"/>
  <c r="O37" i="9"/>
  <c r="O38" i="9"/>
  <c r="O39" i="9"/>
  <c r="O40" i="9"/>
  <c r="O41" i="9"/>
  <c r="O32" i="9"/>
  <c r="B11" i="14"/>
  <c r="A2" i="14"/>
  <c r="A1" i="14"/>
  <c r="B11" i="13"/>
  <c r="A2" i="13"/>
  <c r="A1" i="13"/>
  <c r="B11" i="12"/>
  <c r="A2" i="12"/>
  <c r="A1" i="12"/>
  <c r="B11" i="11"/>
  <c r="A2" i="11"/>
  <c r="A1" i="11"/>
  <c r="N400" i="9"/>
  <c r="N399" i="9"/>
  <c r="N398" i="9"/>
  <c r="N397" i="9"/>
  <c r="N396" i="9"/>
  <c r="N395" i="9"/>
  <c r="N394" i="9"/>
  <c r="N393" i="9"/>
  <c r="N392" i="9"/>
  <c r="N391" i="9"/>
  <c r="N390" i="9"/>
  <c r="N389" i="9"/>
  <c r="N388" i="9"/>
  <c r="N387" i="9"/>
  <c r="N386" i="9"/>
  <c r="N385" i="9"/>
  <c r="N384" i="9"/>
  <c r="N383" i="9"/>
  <c r="N382" i="9"/>
  <c r="N381" i="9"/>
  <c r="N380" i="9"/>
  <c r="N379" i="9"/>
  <c r="N378" i="9"/>
  <c r="N377" i="9"/>
  <c r="N376" i="9"/>
  <c r="N375" i="9"/>
  <c r="N374" i="9"/>
  <c r="N373" i="9"/>
  <c r="N372" i="9"/>
  <c r="N371" i="9"/>
  <c r="N370" i="9"/>
  <c r="N369" i="9"/>
  <c r="N368" i="9"/>
  <c r="N367" i="9"/>
  <c r="N366" i="9"/>
  <c r="N365" i="9"/>
  <c r="N364" i="9"/>
  <c r="N363" i="9"/>
  <c r="N362" i="9"/>
  <c r="N361" i="9"/>
  <c r="N360" i="9"/>
  <c r="N359" i="9"/>
  <c r="N358" i="9"/>
  <c r="N357" i="9"/>
  <c r="N356" i="9"/>
  <c r="N355" i="9"/>
  <c r="N354" i="9"/>
  <c r="N353" i="9"/>
  <c r="N352" i="9"/>
  <c r="N351" i="9"/>
  <c r="N350" i="9"/>
  <c r="N349" i="9"/>
  <c r="N348" i="9"/>
  <c r="N347" i="9"/>
  <c r="N346" i="9"/>
  <c r="N345" i="9"/>
  <c r="N344" i="9"/>
  <c r="N343" i="9"/>
  <c r="N342" i="9"/>
  <c r="N341" i="9"/>
  <c r="N340" i="9"/>
  <c r="N339" i="9"/>
  <c r="N338" i="9"/>
  <c r="N337" i="9"/>
  <c r="N336" i="9"/>
  <c r="N335" i="9"/>
  <c r="N334" i="9"/>
  <c r="N333" i="9"/>
  <c r="N332" i="9"/>
  <c r="N331" i="9"/>
  <c r="N330" i="9"/>
  <c r="N329" i="9"/>
  <c r="N328" i="9"/>
  <c r="N327" i="9"/>
  <c r="N326" i="9"/>
  <c r="N325" i="9"/>
  <c r="N324" i="9"/>
  <c r="N323" i="9"/>
  <c r="N322" i="9"/>
  <c r="N321" i="9"/>
  <c r="N320" i="9"/>
  <c r="N319" i="9"/>
  <c r="N318" i="9"/>
  <c r="N317" i="9"/>
  <c r="N316" i="9"/>
  <c r="N315" i="9"/>
  <c r="N314" i="9"/>
  <c r="N313" i="9"/>
  <c r="N312" i="9"/>
  <c r="N311" i="9"/>
  <c r="N310" i="9"/>
  <c r="N309" i="9"/>
  <c r="N308" i="9"/>
  <c r="N307" i="9"/>
  <c r="N306" i="9"/>
  <c r="N305" i="9"/>
  <c r="N304" i="9"/>
  <c r="N303" i="9"/>
  <c r="N302" i="9"/>
  <c r="N301" i="9"/>
  <c r="N300" i="9"/>
  <c r="N299" i="9"/>
  <c r="N298" i="9"/>
  <c r="N297" i="9"/>
  <c r="N296" i="9"/>
  <c r="N295" i="9"/>
  <c r="N294" i="9"/>
  <c r="N293" i="9"/>
  <c r="N292" i="9"/>
  <c r="N291" i="9"/>
  <c r="N290" i="9"/>
  <c r="N289" i="9"/>
  <c r="N288" i="9"/>
  <c r="N287" i="9"/>
  <c r="N286" i="9"/>
  <c r="N285" i="9"/>
  <c r="N284" i="9"/>
  <c r="N283" i="9"/>
  <c r="N282" i="9"/>
  <c r="N281" i="9"/>
  <c r="N280" i="9"/>
  <c r="N279" i="9"/>
  <c r="N278" i="9"/>
  <c r="N277" i="9"/>
  <c r="N276" i="9"/>
  <c r="N275" i="9"/>
  <c r="N274" i="9"/>
  <c r="N273" i="9"/>
  <c r="N272" i="9"/>
  <c r="N271" i="9"/>
  <c r="N270" i="9"/>
  <c r="N269" i="9"/>
  <c r="N268" i="9"/>
  <c r="N267" i="9"/>
  <c r="N266" i="9"/>
  <c r="N265" i="9"/>
  <c r="N264" i="9"/>
  <c r="N263" i="9"/>
  <c r="N262" i="9"/>
  <c r="N261" i="9"/>
  <c r="N260" i="9"/>
  <c r="N259" i="9"/>
  <c r="N258" i="9"/>
  <c r="N257" i="9"/>
  <c r="N256" i="9"/>
  <c r="N255" i="9"/>
  <c r="N254" i="9"/>
  <c r="N253" i="9"/>
  <c r="N252" i="9"/>
  <c r="N251" i="9"/>
  <c r="N250" i="9"/>
  <c r="N249" i="9"/>
  <c r="N248" i="9"/>
  <c r="N247" i="9"/>
  <c r="N246" i="9"/>
  <c r="N245" i="9"/>
  <c r="N244" i="9"/>
  <c r="N243" i="9"/>
  <c r="N242" i="9"/>
  <c r="N241" i="9"/>
  <c r="N240" i="9"/>
  <c r="N239" i="9"/>
  <c r="N238" i="9"/>
  <c r="N237" i="9"/>
  <c r="N236" i="9"/>
  <c r="N235" i="9"/>
  <c r="N234" i="9"/>
  <c r="N233" i="9"/>
  <c r="N232" i="9"/>
  <c r="N231" i="9"/>
  <c r="N230" i="9"/>
  <c r="N229" i="9"/>
  <c r="N228" i="9"/>
  <c r="N227" i="9"/>
  <c r="N226" i="9"/>
  <c r="N225" i="9"/>
  <c r="N224" i="9"/>
  <c r="N223" i="9"/>
  <c r="N222" i="9"/>
  <c r="N221" i="9"/>
  <c r="N220" i="9"/>
  <c r="N219" i="9"/>
  <c r="N218" i="9"/>
  <c r="N217" i="9"/>
  <c r="N216" i="9"/>
  <c r="N215" i="9"/>
  <c r="N214" i="9"/>
  <c r="N213" i="9"/>
  <c r="N212" i="9"/>
  <c r="N211" i="9"/>
  <c r="N210" i="9"/>
  <c r="N209" i="9"/>
  <c r="N208" i="9"/>
  <c r="N207" i="9"/>
  <c r="N206" i="9"/>
  <c r="N205" i="9"/>
  <c r="N204" i="9"/>
  <c r="N203" i="9"/>
  <c r="N202" i="9"/>
  <c r="N201" i="9"/>
  <c r="N200" i="9"/>
  <c r="N199" i="9"/>
  <c r="N198" i="9"/>
  <c r="N197" i="9"/>
  <c r="N196" i="9"/>
  <c r="N195" i="9"/>
  <c r="N194" i="9"/>
  <c r="N193" i="9"/>
  <c r="N192" i="9"/>
  <c r="N191" i="9"/>
  <c r="N190" i="9"/>
  <c r="N189" i="9"/>
  <c r="N188" i="9"/>
  <c r="N187" i="9"/>
  <c r="N186" i="9"/>
  <c r="N185" i="9"/>
  <c r="N184" i="9"/>
  <c r="N183" i="9"/>
  <c r="N182" i="9"/>
  <c r="N181" i="9"/>
  <c r="N180" i="9"/>
  <c r="N179" i="9"/>
  <c r="N178" i="9"/>
  <c r="N177" i="9"/>
  <c r="N176" i="9"/>
  <c r="N175" i="9"/>
  <c r="N174" i="9"/>
  <c r="N173" i="9"/>
  <c r="N172" i="9"/>
  <c r="N171" i="9"/>
  <c r="N170" i="9"/>
  <c r="N169" i="9"/>
  <c r="N168" i="9"/>
  <c r="N167" i="9"/>
  <c r="N166" i="9"/>
  <c r="N165" i="9"/>
  <c r="N164" i="9"/>
  <c r="N163" i="9"/>
  <c r="N162" i="9"/>
  <c r="N161" i="9"/>
  <c r="N160" i="9"/>
  <c r="N159" i="9"/>
  <c r="N158" i="9"/>
  <c r="N157" i="9"/>
  <c r="N156" i="9"/>
  <c r="N155" i="9"/>
  <c r="N154" i="9"/>
  <c r="N153" i="9"/>
  <c r="N152" i="9"/>
  <c r="N151" i="9"/>
  <c r="N150" i="9"/>
  <c r="N149" i="9"/>
  <c r="N148" i="9"/>
  <c r="N147" i="9"/>
  <c r="N146" i="9"/>
  <c r="N145" i="9"/>
  <c r="N144" i="9"/>
  <c r="N143" i="9"/>
  <c r="N142" i="9"/>
  <c r="N141" i="9"/>
  <c r="N140" i="9"/>
  <c r="N139" i="9"/>
  <c r="N138" i="9"/>
  <c r="N137" i="9"/>
  <c r="N136" i="9"/>
  <c r="N135" i="9"/>
  <c r="N43" i="9"/>
  <c r="N42" i="9"/>
  <c r="O29" i="9"/>
  <c r="O26" i="9"/>
  <c r="O25" i="9"/>
  <c r="O24" i="9"/>
  <c r="O23" i="9"/>
  <c r="O22" i="9"/>
  <c r="O21" i="9"/>
  <c r="O20" i="9"/>
  <c r="O19" i="9"/>
  <c r="O18" i="9"/>
  <c r="O17" i="9"/>
  <c r="O16" i="9"/>
  <c r="O15" i="9"/>
  <c r="O14" i="9"/>
  <c r="O13" i="9"/>
  <c r="O11" i="9"/>
  <c r="O10" i="9"/>
  <c r="O9" i="9"/>
  <c r="L3" i="9"/>
  <c r="L2" i="9"/>
  <c r="B11" i="8"/>
  <c r="A2" i="8"/>
  <c r="A1" i="8"/>
  <c r="B11" i="7"/>
  <c r="A2" i="7"/>
  <c r="A1" i="7"/>
  <c r="B11" i="6"/>
  <c r="A2" i="6"/>
  <c r="A1" i="6"/>
  <c r="B11" i="4"/>
  <c r="A2" i="4"/>
  <c r="A1" i="4"/>
  <c r="C3" i="3"/>
  <c r="A2" i="3"/>
  <c r="C5" i="3" s="1"/>
  <c r="A1" i="3"/>
  <c r="C4" i="3" s="1"/>
  <c r="C5" i="2"/>
  <c r="C4" i="2"/>
  <c r="C3" i="2"/>
  <c r="A2" i="2"/>
  <c r="A1" i="2"/>
  <c r="H81" i="1"/>
  <c r="C5" i="1"/>
  <c r="P34" i="9" l="1"/>
  <c r="P20" i="9"/>
  <c r="P114" i="9"/>
  <c r="P116" i="9"/>
  <c r="P126" i="9"/>
  <c r="P104" i="9"/>
  <c r="P124" i="9"/>
  <c r="P80" i="9"/>
  <c r="P132" i="9"/>
  <c r="P103" i="9"/>
  <c r="P59" i="9"/>
  <c r="P117" i="9"/>
  <c r="P127" i="9"/>
  <c r="P47" i="9"/>
  <c r="P130" i="9"/>
  <c r="P105" i="9"/>
  <c r="P118" i="9"/>
  <c r="P92" i="9"/>
  <c r="P131" i="9"/>
  <c r="M35" i="9"/>
  <c r="Q12" i="9" s="1"/>
  <c r="R12" i="9" s="1"/>
  <c r="S12" i="9" s="1"/>
  <c r="P129" i="9"/>
  <c r="P60" i="9"/>
  <c r="P119" i="9"/>
  <c r="P125" i="9"/>
  <c r="P128" i="9"/>
  <c r="P91" i="9"/>
  <c r="P50" i="9"/>
  <c r="P98" i="9"/>
  <c r="P111" i="9"/>
  <c r="P99" i="9"/>
  <c r="P112" i="9"/>
  <c r="P73" i="9"/>
  <c r="P88" i="9"/>
  <c r="P89" i="9"/>
  <c r="P115" i="9"/>
  <c r="P90" i="9"/>
  <c r="P79" i="9"/>
  <c r="P101" i="9"/>
  <c r="P86" i="9"/>
  <c r="P102" i="9"/>
  <c r="P77" i="9"/>
  <c r="P106" i="9"/>
  <c r="P85" i="9"/>
  <c r="P75" i="9"/>
  <c r="P62" i="9"/>
  <c r="P72" i="9"/>
  <c r="P93" i="9"/>
  <c r="P63" i="9"/>
  <c r="P78" i="9"/>
  <c r="P40" i="9"/>
  <c r="P49" i="9"/>
  <c r="P54" i="9"/>
  <c r="P76" i="9"/>
  <c r="P39" i="9"/>
  <c r="P51" i="9"/>
  <c r="P64" i="9"/>
  <c r="P52" i="9"/>
  <c r="P65" i="9"/>
  <c r="P66" i="9"/>
  <c r="P67" i="9"/>
  <c r="P37" i="9"/>
  <c r="P46" i="9"/>
  <c r="P53" i="9"/>
  <c r="P33" i="9"/>
  <c r="P36" i="9"/>
  <c r="P41" i="9"/>
  <c r="P38" i="9"/>
  <c r="P32" i="9"/>
  <c r="P123" i="9"/>
  <c r="P84" i="9"/>
  <c r="P97" i="9"/>
  <c r="P110" i="9"/>
  <c r="P13" i="9"/>
  <c r="P25" i="9"/>
  <c r="P9" i="9"/>
  <c r="P22" i="9"/>
  <c r="P10" i="9"/>
  <c r="P23" i="9"/>
  <c r="P11" i="9"/>
  <c r="P24" i="9"/>
  <c r="P14" i="9"/>
  <c r="P26" i="9"/>
  <c r="P71" i="9"/>
  <c r="P45" i="9"/>
  <c r="P58" i="9"/>
  <c r="P15" i="9"/>
  <c r="P29" i="9"/>
  <c r="P8" i="9"/>
  <c r="P16" i="9"/>
  <c r="P17" i="9"/>
  <c r="P18" i="9"/>
  <c r="P21" i="9"/>
  <c r="P19" i="9"/>
  <c r="P100" i="9"/>
  <c r="P113" i="9"/>
  <c r="P74" i="9"/>
  <c r="P87" i="9"/>
  <c r="P61" i="9"/>
  <c r="P48" i="9"/>
  <c r="Q8" i="9" l="1"/>
  <c r="R8" i="9" s="1"/>
  <c r="S8" i="9" s="1"/>
  <c r="P35" i="9"/>
  <c r="Q28" i="9"/>
  <c r="R28" i="9" s="1"/>
  <c r="S28" i="9" s="1"/>
  <c r="Q27" i="9"/>
  <c r="R27" i="9" s="1"/>
  <c r="S27" i="9" s="1"/>
  <c r="Q73" i="9"/>
  <c r="R73" i="9" s="1"/>
  <c r="S73" i="9" s="1"/>
  <c r="Q35" i="9"/>
  <c r="Q45" i="9"/>
  <c r="R45" i="9" s="1"/>
  <c r="S45" i="9" s="1"/>
  <c r="Q41" i="9"/>
  <c r="R41" i="9" s="1"/>
  <c r="S41" i="9" s="1"/>
  <c r="Q48" i="9"/>
  <c r="R48" i="9" s="1"/>
  <c r="S48" i="9" s="1"/>
  <c r="Q62" i="9"/>
  <c r="R62" i="9" s="1"/>
  <c r="S62" i="9" s="1"/>
  <c r="Q10" i="9"/>
  <c r="R10" i="9" s="1"/>
  <c r="S10" i="9" s="1"/>
  <c r="Q14" i="9"/>
  <c r="R14" i="9" s="1"/>
  <c r="S14" i="9" s="1"/>
  <c r="Q59" i="9"/>
  <c r="R59" i="9" s="1"/>
  <c r="S59" i="9" s="1"/>
  <c r="Q125" i="9"/>
  <c r="R125" i="9" s="1"/>
  <c r="S125" i="9" s="1"/>
  <c r="Q129" i="9"/>
  <c r="R129" i="9" s="1"/>
  <c r="S129" i="9" s="1"/>
  <c r="Q89" i="9"/>
  <c r="R89" i="9" s="1"/>
  <c r="S89" i="9" s="1"/>
  <c r="Q39" i="9"/>
  <c r="R39" i="9" s="1"/>
  <c r="S39" i="9" s="1"/>
  <c r="Q87" i="9"/>
  <c r="R87" i="9" s="1"/>
  <c r="S87" i="9" s="1"/>
  <c r="Q50" i="9"/>
  <c r="R50" i="9" s="1"/>
  <c r="S50" i="9" s="1"/>
  <c r="Q100" i="9"/>
  <c r="R100" i="9" s="1"/>
  <c r="S100" i="9" s="1"/>
  <c r="Q22" i="9"/>
  <c r="R22" i="9" s="1"/>
  <c r="S22" i="9" s="1"/>
  <c r="Q46" i="9"/>
  <c r="R46" i="9" s="1"/>
  <c r="S46" i="9" s="1"/>
  <c r="Q29" i="9"/>
  <c r="R29" i="9" s="1"/>
  <c r="S29" i="9" s="1"/>
  <c r="Q76" i="9"/>
  <c r="R76" i="9" s="1"/>
  <c r="S76" i="9" s="1"/>
  <c r="Q15" i="9"/>
  <c r="R15" i="9" s="1"/>
  <c r="S15" i="9" s="1"/>
  <c r="Q106" i="9"/>
  <c r="R106" i="9" s="1"/>
  <c r="S106" i="9" s="1"/>
  <c r="Q49" i="9"/>
  <c r="R49" i="9" s="1"/>
  <c r="S49" i="9" s="1"/>
  <c r="Q51" i="9"/>
  <c r="R51" i="9" s="1"/>
  <c r="S51" i="9" s="1"/>
  <c r="Q36" i="9"/>
  <c r="R36" i="9" s="1"/>
  <c r="S36" i="9" s="1"/>
  <c r="Q103" i="9"/>
  <c r="R103" i="9" s="1"/>
  <c r="S103" i="9" s="1"/>
  <c r="Q105" i="9"/>
  <c r="R105" i="9" s="1"/>
  <c r="S105" i="9" s="1"/>
  <c r="Q67" i="9"/>
  <c r="R67" i="9" s="1"/>
  <c r="S67" i="9" s="1"/>
  <c r="Q65" i="9"/>
  <c r="R65" i="9" s="1"/>
  <c r="S65" i="9" s="1"/>
  <c r="Q77" i="9"/>
  <c r="R77" i="9" s="1"/>
  <c r="S77" i="9" s="1"/>
  <c r="Q132" i="9"/>
  <c r="R132" i="9" s="1"/>
  <c r="S132" i="9" s="1"/>
  <c r="Q19" i="9"/>
  <c r="R19" i="9" s="1"/>
  <c r="S19" i="9" s="1"/>
  <c r="Q13" i="9"/>
  <c r="R13" i="9" s="1"/>
  <c r="S13" i="9" s="1"/>
  <c r="Q17" i="9"/>
  <c r="R17" i="9" s="1"/>
  <c r="S17" i="9" s="1"/>
  <c r="Q124" i="9"/>
  <c r="R124" i="9" s="1"/>
  <c r="S124" i="9" s="1"/>
  <c r="Q64" i="9"/>
  <c r="R64" i="9" s="1"/>
  <c r="S64" i="9" s="1"/>
  <c r="Q66" i="9"/>
  <c r="R66" i="9" s="1"/>
  <c r="S66" i="9" s="1"/>
  <c r="Q53" i="9"/>
  <c r="R53" i="9" s="1"/>
  <c r="S53" i="9" s="1"/>
  <c r="Q118" i="9"/>
  <c r="R118" i="9" s="1"/>
  <c r="S118" i="9" s="1"/>
  <c r="Q78" i="9"/>
  <c r="R78" i="9" s="1"/>
  <c r="S78" i="9" s="1"/>
  <c r="Q102" i="9"/>
  <c r="R102" i="9" s="1"/>
  <c r="S102" i="9" s="1"/>
  <c r="Q123" i="9"/>
  <c r="R123" i="9" s="1"/>
  <c r="S123" i="9" s="1"/>
  <c r="Q117" i="9"/>
  <c r="R117" i="9" s="1"/>
  <c r="S117" i="9" s="1"/>
  <c r="Q80" i="9"/>
  <c r="R80" i="9" s="1"/>
  <c r="S80" i="9" s="1"/>
  <c r="Q40" i="9"/>
  <c r="R40" i="9" s="1"/>
  <c r="S40" i="9" s="1"/>
  <c r="Q110" i="9"/>
  <c r="R110" i="9" s="1"/>
  <c r="S110" i="9" s="1"/>
  <c r="Q97" i="9"/>
  <c r="R97" i="9" s="1"/>
  <c r="S97" i="9" s="1"/>
  <c r="Q99" i="9"/>
  <c r="R99" i="9" s="1"/>
  <c r="S99" i="9" s="1"/>
  <c r="Q101" i="9"/>
  <c r="R101" i="9" s="1"/>
  <c r="S101" i="9" s="1"/>
  <c r="Q11" i="9"/>
  <c r="R11" i="9" s="1"/>
  <c r="S11" i="9" s="1"/>
  <c r="Q90" i="9"/>
  <c r="R90" i="9" s="1"/>
  <c r="S90" i="9" s="1"/>
  <c r="Q37" i="9"/>
  <c r="R37" i="9" s="1"/>
  <c r="S37" i="9" s="1"/>
  <c r="Q119" i="9"/>
  <c r="R119" i="9" s="1"/>
  <c r="S119" i="9" s="1"/>
  <c r="Q111" i="9"/>
  <c r="R111" i="9" s="1"/>
  <c r="S111" i="9" s="1"/>
  <c r="Q72" i="9"/>
  <c r="R72" i="9" s="1"/>
  <c r="S72" i="9" s="1"/>
  <c r="Q21" i="9"/>
  <c r="R21" i="9" s="1"/>
  <c r="S21" i="9" s="1"/>
  <c r="Q74" i="9"/>
  <c r="R74" i="9" s="1"/>
  <c r="S74" i="9" s="1"/>
  <c r="Q115" i="9"/>
  <c r="R115" i="9" s="1"/>
  <c r="S115" i="9" s="1"/>
  <c r="Q113" i="9"/>
  <c r="R113" i="9" s="1"/>
  <c r="S113" i="9" s="1"/>
  <c r="Q58" i="9"/>
  <c r="R58" i="9" s="1"/>
  <c r="S58" i="9" s="1"/>
  <c r="Q20" i="9"/>
  <c r="R20" i="9" s="1"/>
  <c r="S20" i="9" s="1"/>
  <c r="Q127" i="9"/>
  <c r="R127" i="9" s="1"/>
  <c r="S127" i="9" s="1"/>
  <c r="Q114" i="9"/>
  <c r="R114" i="9" s="1"/>
  <c r="S114" i="9" s="1"/>
  <c r="Q131" i="9"/>
  <c r="R131" i="9" s="1"/>
  <c r="S131" i="9" s="1"/>
  <c r="Q33" i="9"/>
  <c r="R33" i="9" s="1"/>
  <c r="S33" i="9" s="1"/>
  <c r="Q75" i="9"/>
  <c r="R75" i="9" s="1"/>
  <c r="S75" i="9" s="1"/>
  <c r="Q60" i="9"/>
  <c r="R60" i="9" s="1"/>
  <c r="S60" i="9" s="1"/>
  <c r="Q47" i="9"/>
  <c r="R47" i="9" s="1"/>
  <c r="S47" i="9" s="1"/>
  <c r="Q92" i="9"/>
  <c r="R92" i="9" s="1"/>
  <c r="S92" i="9" s="1"/>
  <c r="Q18" i="9"/>
  <c r="R18" i="9" s="1"/>
  <c r="S18" i="9" s="1"/>
  <c r="Q84" i="9"/>
  <c r="R84" i="9" s="1"/>
  <c r="S84" i="9" s="1"/>
  <c r="Q130" i="9"/>
  <c r="R130" i="9" s="1"/>
  <c r="S130" i="9" s="1"/>
  <c r="Q54" i="9"/>
  <c r="R54" i="9" s="1"/>
  <c r="S54" i="9" s="1"/>
  <c r="Q24" i="9"/>
  <c r="R24" i="9" s="1"/>
  <c r="S24" i="9" s="1"/>
  <c r="Q9" i="9"/>
  <c r="R9" i="9" s="1"/>
  <c r="S9" i="9" s="1"/>
  <c r="Q63" i="9"/>
  <c r="R63" i="9" s="1"/>
  <c r="S63" i="9" s="1"/>
  <c r="Q79" i="9"/>
  <c r="R79" i="9" s="1"/>
  <c r="S79" i="9" s="1"/>
  <c r="Q98" i="9"/>
  <c r="R98" i="9" s="1"/>
  <c r="S98" i="9" s="1"/>
  <c r="Q16" i="9"/>
  <c r="R16" i="9" s="1"/>
  <c r="S16" i="9" s="1"/>
  <c r="Q86" i="9"/>
  <c r="R86" i="9" s="1"/>
  <c r="S86" i="9" s="1"/>
  <c r="Q25" i="9"/>
  <c r="R25" i="9" s="1"/>
  <c r="S25" i="9" s="1"/>
  <c r="Q104" i="9"/>
  <c r="R104" i="9" s="1"/>
  <c r="S104" i="9" s="1"/>
  <c r="Q61" i="9"/>
  <c r="R61" i="9" s="1"/>
  <c r="S61" i="9" s="1"/>
  <c r="Q93" i="9"/>
  <c r="R93" i="9" s="1"/>
  <c r="S93" i="9" s="1"/>
  <c r="Q112" i="9"/>
  <c r="R112" i="9" s="1"/>
  <c r="S112" i="9" s="1"/>
  <c r="Q128" i="9"/>
  <c r="R128" i="9" s="1"/>
  <c r="S128" i="9" s="1"/>
  <c r="Q52" i="9"/>
  <c r="R52" i="9" s="1"/>
  <c r="S52" i="9" s="1"/>
  <c r="Q116" i="9"/>
  <c r="R116" i="9" s="1"/>
  <c r="S116" i="9" s="1"/>
  <c r="Q34" i="9"/>
  <c r="R34" i="9" s="1"/>
  <c r="S34" i="9" s="1"/>
  <c r="Q71" i="9"/>
  <c r="R71" i="9" s="1"/>
  <c r="S71" i="9" s="1"/>
  <c r="Q23" i="9"/>
  <c r="R23" i="9" s="1"/>
  <c r="S23" i="9" s="1"/>
  <c r="Q91" i="9"/>
  <c r="R91" i="9" s="1"/>
  <c r="S91" i="9" s="1"/>
  <c r="Q126" i="9"/>
  <c r="R126" i="9" s="1"/>
  <c r="S126" i="9" s="1"/>
  <c r="Q32" i="9"/>
  <c r="R32" i="9" s="1"/>
  <c r="S32" i="9" s="1"/>
  <c r="Q38" i="9"/>
  <c r="R38" i="9" s="1"/>
  <c r="S38" i="9" s="1"/>
  <c r="Q85" i="9"/>
  <c r="R85" i="9" s="1"/>
  <c r="S85" i="9" s="1"/>
  <c r="Q26" i="9"/>
  <c r="R26" i="9" s="1"/>
  <c r="S26" i="9" s="1"/>
  <c r="Q88" i="9"/>
  <c r="R88" i="9" s="1"/>
  <c r="S88" i="9" s="1"/>
  <c r="R35" i="9" l="1"/>
  <c r="S35" i="9" s="1"/>
  <c r="S43" i="9" s="1"/>
  <c r="V9" i="9" s="1"/>
  <c r="S30" i="9"/>
  <c r="V8" i="9" s="1"/>
  <c r="S134" i="9"/>
  <c r="V16" i="9" s="1"/>
  <c r="S95" i="9"/>
  <c r="V13" i="9" s="1"/>
  <c r="S108" i="9"/>
  <c r="V14" i="9" s="1"/>
  <c r="S121" i="9"/>
  <c r="V15" i="9" s="1"/>
  <c r="S56" i="9"/>
  <c r="V10" i="9" s="1"/>
  <c r="S82" i="9"/>
  <c r="V12" i="9" s="1"/>
  <c r="S69" i="9"/>
  <c r="V11" i="9" s="1"/>
  <c r="V17" i="9"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Trevor</author>
  </authors>
  <commentList>
    <comment ref="D5" authorId="0" shapeId="0" xr:uid="{3B89C64C-B8EA-424E-A669-79A762E8E65B}">
      <text>
        <r>
          <rPr>
            <b/>
            <sz val="11"/>
            <color indexed="81"/>
            <rFont val="Tahoma"/>
            <family val="2"/>
          </rPr>
          <t>*IMPORTANT*
Certain tiles cost more to install depending on Type/Location even if the tile is the exact same SKU/Size/etc...</t>
        </r>
      </text>
    </comment>
    <comment ref="K5" authorId="0" shapeId="0" xr:uid="{FBE24A86-6275-4595-8F4A-2C212D118CD2}">
      <text>
        <r>
          <rPr>
            <b/>
            <sz val="11"/>
            <color indexed="81"/>
            <rFont val="Tahoma"/>
            <family val="2"/>
          </rPr>
          <t>Actual Quanitiy measured from the plans.</t>
        </r>
        <r>
          <rPr>
            <sz val="9"/>
            <color indexed="81"/>
            <rFont val="Tahoma"/>
            <family val="2"/>
          </rPr>
          <t xml:space="preserve">
</t>
        </r>
      </text>
    </comment>
    <comment ref="L5" authorId="0" shapeId="0" xr:uid="{4E3A2237-C741-41A3-A849-E62EB7D39D03}">
      <text>
        <r>
          <rPr>
            <b/>
            <sz val="11"/>
            <color indexed="81"/>
            <rFont val="Tahoma"/>
            <family val="2"/>
          </rPr>
          <t>Actual quanitiy from plans + pad contingenry factor in Cell M7</t>
        </r>
      </text>
    </comment>
    <comment ref="N5" authorId="0" shapeId="0" xr:uid="{17AD8749-6887-49F3-BEC9-0312DE7098DC}">
      <text>
        <r>
          <rPr>
            <b/>
            <sz val="11"/>
            <color indexed="81"/>
            <rFont val="Tahoma"/>
            <family val="2"/>
          </rPr>
          <t>Olsen's Actual cost from ITS</t>
        </r>
        <r>
          <rPr>
            <sz val="9"/>
            <color indexed="81"/>
            <rFont val="Tahoma"/>
            <family val="2"/>
          </rPr>
          <t xml:space="preserve">
</t>
        </r>
      </text>
    </comment>
    <comment ref="P5" authorId="0" shapeId="0" xr:uid="{5B44FEB5-B4FA-49F8-8A6D-1120C88D28ED}">
      <text>
        <r>
          <rPr>
            <b/>
            <sz val="11"/>
            <color indexed="81"/>
            <rFont val="Tahoma"/>
            <family val="2"/>
          </rPr>
          <t xml:space="preserve">Line Item (SF) / Total (SF) = Line item % of total (SF)
Line item % of total (SF) * Allowance Total ($) = Allowance amount per line item ($)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Trevor</author>
  </authors>
  <commentList>
    <comment ref="C5" authorId="0" shapeId="0" xr:uid="{91EA8464-CF32-471C-BF7C-40B69BABD1C3}">
      <text>
        <r>
          <rPr>
            <b/>
            <sz val="11"/>
            <color indexed="81"/>
            <rFont val="Tahoma"/>
            <family val="2"/>
          </rPr>
          <t>*IMPORTANT*
Certain tiles cost more to install depending on Type/Location even if the tile is the exact same SKU/Size/etc...</t>
        </r>
      </text>
    </comment>
    <comment ref="L5" authorId="0" shapeId="0" xr:uid="{3311FBA6-2C23-4972-92BA-BB5558F4BFD1}">
      <text>
        <r>
          <rPr>
            <b/>
            <sz val="11"/>
            <color indexed="81"/>
            <rFont val="Tahoma"/>
            <family val="2"/>
          </rPr>
          <t>Actual Quanitiy measured from the plans.</t>
        </r>
        <r>
          <rPr>
            <sz val="9"/>
            <color indexed="81"/>
            <rFont val="Tahoma"/>
            <family val="2"/>
          </rPr>
          <t xml:space="preserve">
</t>
        </r>
      </text>
    </comment>
    <comment ref="M5" authorId="0" shapeId="0" xr:uid="{69CD0B01-BD57-4C3A-8BB4-3F0D292CD787}">
      <text>
        <r>
          <rPr>
            <b/>
            <sz val="11"/>
            <color indexed="81"/>
            <rFont val="Tahoma"/>
            <family val="2"/>
          </rPr>
          <t>Actual quanitiy from plans + pad contingenry factor in Cell M7</t>
        </r>
      </text>
    </comment>
    <comment ref="O5" authorId="0" shapeId="0" xr:uid="{5DFBE063-79EB-45D2-B54E-9D477AFE7CF7}">
      <text>
        <r>
          <rPr>
            <b/>
            <sz val="11"/>
            <color indexed="81"/>
            <rFont val="Tahoma"/>
            <family val="2"/>
          </rPr>
          <t>Olsen's Actual cost from ITS</t>
        </r>
        <r>
          <rPr>
            <sz val="9"/>
            <color indexed="81"/>
            <rFont val="Tahoma"/>
            <family val="2"/>
          </rPr>
          <t xml:space="preserve">
</t>
        </r>
      </text>
    </comment>
    <comment ref="Q5" authorId="0" shapeId="0" xr:uid="{DC21E254-5787-4B2E-B3CF-B0AB914E5363}">
      <text>
        <r>
          <rPr>
            <b/>
            <sz val="11"/>
            <color indexed="81"/>
            <rFont val="Tahoma"/>
            <family val="2"/>
          </rPr>
          <t xml:space="preserve">Line Item (SF) / Total (SF) = Line item % of total (SF)
Line item % of total (SF) * Allowance Total ($) = Allowance amount per line item ($) </t>
        </r>
      </text>
    </comment>
  </commentList>
</comments>
</file>

<file path=xl/sharedStrings.xml><?xml version="1.0" encoding="utf-8"?>
<sst xmlns="http://schemas.openxmlformats.org/spreadsheetml/2006/main" count="4598" uniqueCount="934">
  <si>
    <t>Budget</t>
  </si>
  <si>
    <t>Area/Room</t>
  </si>
  <si>
    <t>Type</t>
  </si>
  <si>
    <t>Level</t>
  </si>
  <si>
    <t>Product Name</t>
  </si>
  <si>
    <t>Finish</t>
  </si>
  <si>
    <t>Pattern</t>
  </si>
  <si>
    <t>Direction</t>
  </si>
  <si>
    <t>Grout</t>
  </si>
  <si>
    <t>Joint</t>
  </si>
  <si>
    <t>Units</t>
  </si>
  <si>
    <t xml:space="preserve">Olsen Total </t>
  </si>
  <si>
    <t>Difference</t>
  </si>
  <si>
    <t xml:space="preserve">Charge HO </t>
  </si>
  <si>
    <t>Main Flooring Selections</t>
  </si>
  <si>
    <t>Foyer</t>
  </si>
  <si>
    <t>Kitchen Backsplash</t>
  </si>
  <si>
    <t>Level 2</t>
  </si>
  <si>
    <t>SF</t>
  </si>
  <si>
    <t>Level 4</t>
  </si>
  <si>
    <t>Floor Tile</t>
  </si>
  <si>
    <t>Family Room</t>
  </si>
  <si>
    <t>Kitchen/Nook</t>
  </si>
  <si>
    <t>Laundry Room</t>
  </si>
  <si>
    <t>Total</t>
  </si>
  <si>
    <t>Master Bath</t>
  </si>
  <si>
    <t>LF</t>
  </si>
  <si>
    <t>Main Flooring</t>
  </si>
  <si>
    <t>Bathrooms</t>
  </si>
  <si>
    <t>Other Selections</t>
  </si>
  <si>
    <t>Room</t>
  </si>
  <si>
    <t>Grout Joint</t>
  </si>
  <si>
    <t>Carpet Pad</t>
  </si>
  <si>
    <t>Area</t>
  </si>
  <si>
    <t>Color</t>
  </si>
  <si>
    <t>Location</t>
  </si>
  <si>
    <t>Product</t>
  </si>
  <si>
    <t>Patterns</t>
  </si>
  <si>
    <t>Straight</t>
  </si>
  <si>
    <t>Front to Back</t>
  </si>
  <si>
    <t>640 Arctic White</t>
  </si>
  <si>
    <t>3/16"</t>
  </si>
  <si>
    <t>6# Pad</t>
  </si>
  <si>
    <t>Shower Walls</t>
  </si>
  <si>
    <t>White</t>
  </si>
  <si>
    <t>Bone</t>
  </si>
  <si>
    <t>Sill</t>
  </si>
  <si>
    <t>Elustra White</t>
  </si>
  <si>
    <t>Kitchen</t>
  </si>
  <si>
    <t>Surround</t>
  </si>
  <si>
    <t>Ext. Foyer</t>
  </si>
  <si>
    <t>Diagonal</t>
  </si>
  <si>
    <t>Side to Side</t>
  </si>
  <si>
    <t>381 Bright White</t>
  </si>
  <si>
    <t>1/8"</t>
  </si>
  <si>
    <t>8# Pad</t>
  </si>
  <si>
    <t>Shower Floor Std</t>
  </si>
  <si>
    <t>Glass Radius</t>
  </si>
  <si>
    <t>Knee Wall</t>
  </si>
  <si>
    <t>Elustra Bisque</t>
  </si>
  <si>
    <t>Accent</t>
  </si>
  <si>
    <t>Horizontal Straight</t>
  </si>
  <si>
    <t>Hearth</t>
  </si>
  <si>
    <t>Foyer Inlay</t>
  </si>
  <si>
    <t>Listel</t>
  </si>
  <si>
    <t>Stack Bond</t>
  </si>
  <si>
    <t>11 Snow White</t>
  </si>
  <si>
    <t>1/16"</t>
  </si>
  <si>
    <t>Shower Floor Zero Entry</t>
  </si>
  <si>
    <t>Herringbone</t>
  </si>
  <si>
    <t>Glass Geometric</t>
  </si>
  <si>
    <t>Stone</t>
  </si>
  <si>
    <t>Curb</t>
  </si>
  <si>
    <t>Eng. Botticino</t>
  </si>
  <si>
    <t>Summer Kitchen</t>
  </si>
  <si>
    <t>Vertical Straight</t>
  </si>
  <si>
    <t>Returns</t>
  </si>
  <si>
    <t>Foyer Border</t>
  </si>
  <si>
    <t>Shower Pan Tile</t>
  </si>
  <si>
    <t>641 Cool White</t>
  </si>
  <si>
    <t>Shower Seat</t>
  </si>
  <si>
    <t xml:space="preserve">Stack Bond - Horz. </t>
  </si>
  <si>
    <t>Metal</t>
  </si>
  <si>
    <t>Glass JCS</t>
  </si>
  <si>
    <t>Eng. Carrara</t>
  </si>
  <si>
    <t>Butler Pantry</t>
  </si>
  <si>
    <t>Great Room</t>
  </si>
  <si>
    <t>Shower / Tub Wall Tile</t>
  </si>
  <si>
    <t xml:space="preserve">Tile to Mosaic </t>
  </si>
  <si>
    <t>642 Ash</t>
  </si>
  <si>
    <t>Shower Niche</t>
  </si>
  <si>
    <t xml:space="preserve">Stack Bond - Vertical </t>
  </si>
  <si>
    <t>Engineered Stone</t>
  </si>
  <si>
    <t>Wine Bar</t>
  </si>
  <si>
    <t>Brick Joint</t>
  </si>
  <si>
    <t>Dining Room</t>
  </si>
  <si>
    <t>Tile Add On</t>
  </si>
  <si>
    <t>Random Offset</t>
  </si>
  <si>
    <t>545 Bleached Wood</t>
  </si>
  <si>
    <t>Shower Accent</t>
  </si>
  <si>
    <t>1/3 Offset Vertical</t>
  </si>
  <si>
    <t>Other- See Note</t>
  </si>
  <si>
    <t>Breakfast Bar</t>
  </si>
  <si>
    <t>Living Room</t>
  </si>
  <si>
    <t>1/3 Offset</t>
  </si>
  <si>
    <t>333 Alabaster</t>
  </si>
  <si>
    <t>Tub Skirt</t>
  </si>
  <si>
    <t>1/2 Offset Vertical</t>
  </si>
  <si>
    <t>Bar Face</t>
  </si>
  <si>
    <t>Carpet</t>
  </si>
  <si>
    <t>10 Antique White</t>
  </si>
  <si>
    <t>Tub Deck</t>
  </si>
  <si>
    <t>1 Listel Horizontal</t>
  </si>
  <si>
    <t>Other</t>
  </si>
  <si>
    <t>Bonus Room</t>
  </si>
  <si>
    <t>Tile</t>
  </si>
  <si>
    <t>382 Bone</t>
  </si>
  <si>
    <t>Tub Accent</t>
  </si>
  <si>
    <t>1 Listel Vertical</t>
  </si>
  <si>
    <t xml:space="preserve">Running Bond - Horz. </t>
  </si>
  <si>
    <t>Study/Flex</t>
  </si>
  <si>
    <t>LVP</t>
  </si>
  <si>
    <t>643 Warm Gray</t>
  </si>
  <si>
    <t>Tub Splash</t>
  </si>
  <si>
    <t>2 Listels Horizontal</t>
  </si>
  <si>
    <t>Trim</t>
  </si>
  <si>
    <t>Vinyl</t>
  </si>
  <si>
    <t>544 Rolling Fog</t>
  </si>
  <si>
    <t>Ceiling</t>
  </si>
  <si>
    <t>2 Listels Vertical</t>
  </si>
  <si>
    <t>Picture Frame Border</t>
  </si>
  <si>
    <t>Cabinets</t>
  </si>
  <si>
    <t>115 Platinum</t>
  </si>
  <si>
    <t>Porcelain</t>
  </si>
  <si>
    <t>Picture Frame Inlay</t>
  </si>
  <si>
    <t>Utility/Storage</t>
  </si>
  <si>
    <t>Countertops</t>
  </si>
  <si>
    <t>546 Cape Gray</t>
  </si>
  <si>
    <t>Doorway Transition</t>
  </si>
  <si>
    <t>Utility Closet</t>
  </si>
  <si>
    <t>Hallways</t>
  </si>
  <si>
    <t>Hardware</t>
  </si>
  <si>
    <t>386 Oyster Gray</t>
  </si>
  <si>
    <t>Other Accent</t>
  </si>
  <si>
    <t>Master Suite</t>
  </si>
  <si>
    <t>543 Driftwood</t>
  </si>
  <si>
    <t>Wainscot</t>
  </si>
  <si>
    <t>1/3 Offset Horz.</t>
  </si>
  <si>
    <t>Master Closet</t>
  </si>
  <si>
    <t>Exterior</t>
  </si>
  <si>
    <t>542 Graystone</t>
  </si>
  <si>
    <t>1/2 Offset Horz.</t>
  </si>
  <si>
    <t>Bedroom #2</t>
  </si>
  <si>
    <t>Level 1</t>
  </si>
  <si>
    <t>Driveway</t>
  </si>
  <si>
    <t>165 Delorean Gray</t>
  </si>
  <si>
    <t>Custom See Diagram</t>
  </si>
  <si>
    <t xml:space="preserve">Mill </t>
  </si>
  <si>
    <t>Bedroom #3</t>
  </si>
  <si>
    <t>Entry</t>
  </si>
  <si>
    <t>335 Winter Gray</t>
  </si>
  <si>
    <t>Chrome</t>
  </si>
  <si>
    <t>Bedroom #4</t>
  </si>
  <si>
    <t>Level 3</t>
  </si>
  <si>
    <t>Balcony</t>
  </si>
  <si>
    <t>09 Natural Gray</t>
  </si>
  <si>
    <t>Satin Black</t>
  </si>
  <si>
    <t>Bedroom #5</t>
  </si>
  <si>
    <t>Border</t>
  </si>
  <si>
    <t>19 Pewter</t>
  </si>
  <si>
    <t>Satin Titanium</t>
  </si>
  <si>
    <t>Bedroom #6</t>
  </si>
  <si>
    <t>Level 5</t>
  </si>
  <si>
    <t>Columns</t>
  </si>
  <si>
    <t>644 Shadow</t>
  </si>
  <si>
    <t>Satn White</t>
  </si>
  <si>
    <t>Level 6</t>
  </si>
  <si>
    <t>1st floor per plan</t>
  </si>
  <si>
    <t>370 Dove Gray</t>
  </si>
  <si>
    <t>Satin Ant Bronze</t>
  </si>
  <si>
    <t>Powder Room</t>
  </si>
  <si>
    <t>Level 7</t>
  </si>
  <si>
    <t>2nd floor per plan</t>
  </si>
  <si>
    <t>645 Steel Blue</t>
  </si>
  <si>
    <t>Satin Nickel</t>
  </si>
  <si>
    <t>Bathroom #2</t>
  </si>
  <si>
    <t>Level 8</t>
  </si>
  <si>
    <t>122 Linen</t>
  </si>
  <si>
    <t>Tile Bullnose</t>
  </si>
  <si>
    <t>Bathroom #3</t>
  </si>
  <si>
    <t>Level 9</t>
  </si>
  <si>
    <t>183 Chateau</t>
  </si>
  <si>
    <t>Bathroom #4</t>
  </si>
  <si>
    <t>Level 10</t>
  </si>
  <si>
    <t>172 Urban Putty</t>
  </si>
  <si>
    <t>Bathroom #5</t>
  </si>
  <si>
    <t>Level 11</t>
  </si>
  <si>
    <t>380 Haystack</t>
  </si>
  <si>
    <t>Bathroom #6</t>
  </si>
  <si>
    <t>Level 12</t>
  </si>
  <si>
    <t>186 Khaki</t>
  </si>
  <si>
    <t>Lanai</t>
  </si>
  <si>
    <t>Level 13</t>
  </si>
  <si>
    <t>135 Mushroom</t>
  </si>
  <si>
    <t>Level 14</t>
  </si>
  <si>
    <t>145 Light Smoke</t>
  </si>
  <si>
    <t>AHU Closet</t>
  </si>
  <si>
    <t>Level 15</t>
  </si>
  <si>
    <t>541 Walnut</t>
  </si>
  <si>
    <t>Stair Tread</t>
  </si>
  <si>
    <t>Level 16</t>
  </si>
  <si>
    <t>185 New Taupe</t>
  </si>
  <si>
    <t>Stair Riser</t>
  </si>
  <si>
    <t>105 Earth</t>
  </si>
  <si>
    <t>Stari Riser</t>
  </si>
  <si>
    <t>Doorway Transition 1</t>
  </si>
  <si>
    <t>59 Saddle Brown</t>
  </si>
  <si>
    <t>Doorway Transition 2</t>
  </si>
  <si>
    <t>(P)olished</t>
  </si>
  <si>
    <t>52 Tobacco Brown</t>
  </si>
  <si>
    <t>ALL</t>
  </si>
  <si>
    <t>Doorway Transition 3</t>
  </si>
  <si>
    <t>(M)atte</t>
  </si>
  <si>
    <t>646 Coffee Brown</t>
  </si>
  <si>
    <t>Storage</t>
  </si>
  <si>
    <t>95 Sable Brown</t>
  </si>
  <si>
    <t>Pantry</t>
  </si>
  <si>
    <t>647 Brown Velvet</t>
  </si>
  <si>
    <t xml:space="preserve">Pool Bath </t>
  </si>
  <si>
    <t>540 Truffle</t>
  </si>
  <si>
    <t>Guest Bath</t>
  </si>
  <si>
    <t>60 Charcoal</t>
  </si>
  <si>
    <t xml:space="preserve">Den </t>
  </si>
  <si>
    <t>Loft</t>
  </si>
  <si>
    <t>Scullery</t>
  </si>
  <si>
    <t>Section</t>
  </si>
  <si>
    <t>Item_Name</t>
  </si>
  <si>
    <t>Vendor_Source</t>
  </si>
  <si>
    <t>Olsen_Cost</t>
  </si>
  <si>
    <t>Unit</t>
  </si>
  <si>
    <t>Last_Revision</t>
  </si>
  <si>
    <t>Notes</t>
  </si>
  <si>
    <t>Ceramic Subway BG 3" x 6" - Running Bond (1/2 offset)</t>
  </si>
  <si>
    <t>Int'l Tile &amp; Stone</t>
  </si>
  <si>
    <t>Ceramic Subway 4" x 16" - 1/3 offest or stack bond- w/ 3x10 BN</t>
  </si>
  <si>
    <t>Ceramic Subway BG Beveled 3" x 6" - Running Bond (1/2 offset) - w/2x6 BN</t>
  </si>
  <si>
    <t>Ceramic Subway BG Beveled 4" x 10" - 1/3 offset or stack bond - w/ 3x10 BN</t>
  </si>
  <si>
    <t>Maiolica 3" x 6" - Stack Bond or Running Bond w/ 3x6 BN</t>
  </si>
  <si>
    <t>Broadway 3" x 12" - Running Bond (1/2 offset) or Stack Bond w/Jolly</t>
  </si>
  <si>
    <t>Casablanca 8" x 8" - Straight w/Jolly</t>
  </si>
  <si>
    <t>Eden 3" x 11" - Stack Bond or Running Bond w/ Jolly</t>
  </si>
  <si>
    <t>Flow Hexagon 8" x 9"  - Horizontal Straight  w/Jolly</t>
  </si>
  <si>
    <t>Flow I - 3" x 12" - Stack Bond or Running Bond w/ Jolly</t>
  </si>
  <si>
    <t>Flow II - 3" x 12" - Stack Bond or Running Bond w/ Jolly</t>
  </si>
  <si>
    <t>Flow Picket 3" x 12"  - Horizontal Straight  w/Jolly</t>
  </si>
  <si>
    <t>Maiolica Crackled 3" x 12"  -Stack Bond or Running Bond w/ Jolly</t>
  </si>
  <si>
    <t>Maiolica Hexagon 7" x 8"  - Horizontal Straight  w/Jolly</t>
  </si>
  <si>
    <t>Middleton Square 4" x 12" - Running (1/2 offset)or stack bond- w/ BN</t>
  </si>
  <si>
    <t>Suite  - 4" x 12" Running Bond (1/2 offset) or stack bond w/3x12 BN</t>
  </si>
  <si>
    <t>Terra 8" x 8" - Straight  w/ Jolly</t>
  </si>
  <si>
    <t>Tumbled Marble 4" x 4" - Straight - Dark Walnut</t>
  </si>
  <si>
    <t>Tumbled Marble 4" x 4" - Straight - Diana Royal</t>
  </si>
  <si>
    <t>Tumbled Marble 4" x 4" - Straight - Ivory</t>
  </si>
  <si>
    <t>Zellige 2.5" x 16"  -Stack Bond or Running Bond w/ Jolly</t>
  </si>
  <si>
    <t>Beveled Brick 2" x 4" Mosaic Horizontal straight w/ Jolly</t>
  </si>
  <si>
    <t>Why is level 5 cheaper than 4?</t>
  </si>
  <si>
    <t>Diamond Herringbone BG Mosaic  12" x 12" sheet - w/Jolly</t>
  </si>
  <si>
    <t>Herringbone BG Mosaic -Antique White 12" x 12" sheet - w/Jolly</t>
  </si>
  <si>
    <t>Hexagon MG Mosaic - 12" x 12" sheet - w/Jolly</t>
  </si>
  <si>
    <t>Lantern BG Mosaic  12" x 12" sheet - w/ Jolly</t>
  </si>
  <si>
    <t>Penny Round BG Black Mosaic  12" x 12" sheet - w/ Jolly 5/16"</t>
  </si>
  <si>
    <t>Penny Round BG Grey Mosaic  12" x 12" sheet -w/ Jolly 5/16"</t>
  </si>
  <si>
    <t>Penny Round BG White Mosaic  12" x 12" sheet - w/ Jolly 5/16"</t>
  </si>
  <si>
    <t>Tumbled Marble - 3" x 6" - Running Bond  (1/2 offset) - Ivory</t>
  </si>
  <si>
    <t>Tumbled Marble - 3" x 6" - Running Bond  (1/2 offset) - Silver</t>
  </si>
  <si>
    <t>Tumbled Marble - 3" x 6" - Running Bond (1/2 offset) - Milas White</t>
  </si>
  <si>
    <t>Tumbled Marble - 3" x 6" - Running Bond (1/2 offset)- Diana Royal</t>
  </si>
  <si>
    <t>Aran 5/8" glass/stone stack mosaic - 12" x12" sheet</t>
  </si>
  <si>
    <t>Autumn Mist - Random - Linear Glass Blend Mosaic - 12" x 12" Sheet</t>
  </si>
  <si>
    <t>Comet White Stone/Glass Blend Mosaic - 12" x 12" Sheet</t>
  </si>
  <si>
    <t>Crackle Glass Slate - 1" x 2" Brick Mosaic - 12" x 12" sheet</t>
  </si>
  <si>
    <t>Crackle Glass White Pearl - 1" x 2" Brick Mosaic - 12" x 12" sheet</t>
  </si>
  <si>
    <t>Crackle Glass Wood Vein - 1" x 2" Brick Mosaic - 12" x 12" sheet</t>
  </si>
  <si>
    <t>Crystal Stone Linear Mosaic Pearl - 12" x 12" - Straight</t>
  </si>
  <si>
    <t>Elongate Hex Carrara Mosaic 12" x 13"sheet w/Jolly straight</t>
  </si>
  <si>
    <t>Glass Blend Brick Mosaic 1" x 3" Alpine-  - 12" x 12" Sheet</t>
  </si>
  <si>
    <t>Icicle Stratos Random Linear Calcutta &amp; Glass Mosaic - 12" x 12" Sheet</t>
  </si>
  <si>
    <t>Kolda 1" x 1" Stone Mosaic - Straight only</t>
  </si>
  <si>
    <t>Meteor Random Blend  Mosaic - 12" x 12" sheet Straight</t>
  </si>
  <si>
    <t>Pebblecycle 12" x 12" sheet w/Jolly</t>
  </si>
  <si>
    <t>Pennycycle  12" x 12" sheet  Straight w/Jolly</t>
  </si>
  <si>
    <t>Petal Gems Gray 13X13 Mosaic sheet  Straight w/Jolly</t>
  </si>
  <si>
    <t>Picket Cycle Wood Vein 14X10 Mosaic  Straight w/Jolly</t>
  </si>
  <si>
    <t>Picket Mosaic 1" x 4" - 12" x 12" sheet Straight w/Jolly</t>
  </si>
  <si>
    <t>Raine Random Linear Mosaic  11.25" x 11.25" sheet  - Straight w/Jolly</t>
  </si>
  <si>
    <t>Ripple 2" x 8"  -  Stack Bond or Running Bond w/Jolly</t>
  </si>
  <si>
    <t>Silver Star White Random Blend Linear Mosaic - 12" x 12" sh Straight w/Jolly</t>
  </si>
  <si>
    <t>Stone/Glass Mosaic 5/8" x 5/8" - 12" x 12" sheet Straight  - Safari  Straight w/Jolly</t>
  </si>
  <si>
    <t>Stone/Glass Mosaic 5/8" x 5/8" - Straight only - Carrera  Straight w/Jolly</t>
  </si>
  <si>
    <t>Striped Random Mosaic - 12" x 12" sheet  Straight w/Jolly</t>
  </si>
  <si>
    <t>Veneer Ledger Panel 6" x 24" - 1/3 offset w/Jolly or Corner</t>
  </si>
  <si>
    <t>3D Hex Recycled Glass  - Mosaic - 12" x 12" Sheet  Straight w/Jolly</t>
  </si>
  <si>
    <t>Arrow Gold - Mosaic - 11.75" x 12" Sheet  Straight w/Jolly</t>
  </si>
  <si>
    <t>Baltia Mini-brick white - Mosaic - 12" x 12" Sheet Straight w/Jolly</t>
  </si>
  <si>
    <t>Geohex recycled glass - Mosaic - 11" x 13" Sheet Straight w/Jolly</t>
  </si>
  <si>
    <t>Glossy Glass - 2" x 4" - Offset - Mosaic - 12" x 12" Sheet  Straight w/Jolly</t>
  </si>
  <si>
    <t>Lamplight recycled glass - Mosaic - 13" x 13" Sheet Straight w/Jolly</t>
  </si>
  <si>
    <t>Pinwheel Quartzite 12" x 12"  Horizontal - Straight w/Jolly</t>
  </si>
  <si>
    <t>Shaved Pebbles - 12" x 12" Mosaic - Straight w/Jolly</t>
  </si>
  <si>
    <t>Squarecycle Grey 12" x 12" sheet Straight w/Jolly</t>
  </si>
  <si>
    <t>Stratos Glass &amp; Stone Mosaic - 11.65 x 11.65" sheet Straight w/Jolly</t>
  </si>
  <si>
    <t>Marble Slide - Diana Royal Polished -11" x 17"  - Straight  w/Jolly</t>
  </si>
  <si>
    <t>Marble Slide - Veonra polished 11" x 17" Straight w/Jolly</t>
  </si>
  <si>
    <t>Midpark Random 2" Mosaic - Rainstorm - 12" x 12" sheet Straight w/Jolly</t>
  </si>
  <si>
    <t>Safari Stacked-  Elephant 12" x 12"  Horizontal - Straight w/Jolly</t>
  </si>
  <si>
    <t>Skyline - Staggered Mosaic Polished - 12" x 12" sheet - Straight w/Jolly</t>
  </si>
  <si>
    <t>Time Grey glass/stone Mosaic 12 x 12  Straight w/Jolly</t>
  </si>
  <si>
    <t>Verona Staggered Pol 5/8" x 1 1/4" Mosaic - 12" x 12" sht Straight w/Jolly</t>
  </si>
  <si>
    <t>Arabesque BV/Ice/Wht polished marble 12" x 14" Mosaic Straight w/Jolly</t>
  </si>
  <si>
    <t>Arabesque Bianco Venato Dol. pol marble 12" x 14" Mosaic Straight w/Jolly</t>
  </si>
  <si>
    <t>Chevron polished marble 13" x 12" Mosaic Straight w/Jolly</t>
  </si>
  <si>
    <t>Fish Scale BVD polished marble 12" x 12" (.80) Mosaic Straight w/Jolly</t>
  </si>
  <si>
    <t>Fish Scale Dol/Ice/Van polished marble 12" x 12" (.80) Mosaic Straight w/Jolly</t>
  </si>
  <si>
    <t>Linker Mosaic  - 10.8" x 10.8" sheet Straight w/Jolly</t>
  </si>
  <si>
    <t>Boston 18" x 18" - Straight (no offset)</t>
  </si>
  <si>
    <t>Ferrara  18" X 18" - Straight (no offset)</t>
  </si>
  <si>
    <t>Travertino 18" x 18" - Straight (no offset)</t>
  </si>
  <si>
    <t>Cambridge 12" x 24" - Stack Bond or 1/3 Offset</t>
  </si>
  <si>
    <t>Carrara 12" x 24" Stack Bond or 1/3 Offset</t>
  </si>
  <si>
    <t>Skyline 18" x 18" - Straight</t>
  </si>
  <si>
    <t>Vancouver 18" x 18" - Straight</t>
  </si>
  <si>
    <t>Emilia 12" x 24" - Stack Bond or 1/3 Offset</t>
  </si>
  <si>
    <t>Madreas Nogal 6" x 24" -  1/3 Offset</t>
  </si>
  <si>
    <t>Palma 12" x 24" - Stack Bond or 1/3 Offset</t>
  </si>
  <si>
    <t>Skyline 12" x 24" - Stack Bond or 1/3 Offset</t>
  </si>
  <si>
    <t>Vancouver 12"x24" - Stack Bond or 1/3 Offset</t>
  </si>
  <si>
    <t>Alliance- 12" x 24" - Stack Bond or 1/3 Offset</t>
  </si>
  <si>
    <t>Bartons Creek 8" x 33" - Stack Bond or 1/3 Offset</t>
  </si>
  <si>
    <t>Beach 22" x 22" - Straight (no offset)</t>
  </si>
  <si>
    <t>Brescia 22" x 22" - Straight (no offset)</t>
  </si>
  <si>
    <t>Dublin- 13"x13" Straight (no offset)</t>
  </si>
  <si>
    <t>Empire 12" x 24" - Stack Bond or 1/3 Offset</t>
  </si>
  <si>
    <t>Gotham - 12" x 24" - Stack Bond or 1/3 Offset</t>
  </si>
  <si>
    <t>Ibiza 12" x24" - Stack Bond or 1/3 Offset</t>
  </si>
  <si>
    <t>Immerse Carrara 12"x24" Stack Bond or 1/3 Offset</t>
  </si>
  <si>
    <t>Leeds- 13"x13" Straight (no offset)</t>
  </si>
  <si>
    <t>Legend II 12" x 24" - Stack Bond or 1/3 Offset</t>
  </si>
  <si>
    <t>Lumber 6" x 24" - Stack Bond or 1/3 Offset</t>
  </si>
  <si>
    <t>Madera- 9"x36" 1/3 offset or Random</t>
  </si>
  <si>
    <t>Moscato 12" x 24" - Stack Bond or 1/3 Offset</t>
  </si>
  <si>
    <t>Ocean- 13"x13" Straight (no offset)</t>
  </si>
  <si>
    <t>Sandstone 12" x 24" - Stack Bond or 1/3 Offset</t>
  </si>
  <si>
    <t>Suite 12" x 24" - Stack Bond or 1/3 Offset</t>
  </si>
  <si>
    <t>Valor- 6"x36" 1/3 offset or Random</t>
  </si>
  <si>
    <t>Vintage- 13"x13" Straight (no offset)</t>
  </si>
  <si>
    <t>Voyage 8" x 33" - Stack Bond or 1/3 Offset</t>
  </si>
  <si>
    <t>Yuka 6.5" x 20" - 1/3 Offset</t>
  </si>
  <si>
    <t>Annora 12" x 24" - Stack Bond or 1/3 Offset</t>
  </si>
  <si>
    <t>Carenza Matte - 24" x 24" - Straight  (no offset)</t>
  </si>
  <si>
    <t>Carenza Matte- 12 x 24" - Stack Bond or 1/3 Offset</t>
  </si>
  <si>
    <t>Harden Valley 8" x 48" - 1/3 Offset or Random</t>
  </si>
  <si>
    <t>Lariks- 8"x48" 1/3 Offset or Random</t>
  </si>
  <si>
    <t>Linen 12" x 24" - Stack Bond or 1/3 Offset</t>
  </si>
  <si>
    <t>Marmo Matte- 12"x24" Stack Bond or 1/3 offset</t>
  </si>
  <si>
    <t>Marmo Matte- 24"x24" Straight (no offset)</t>
  </si>
  <si>
    <t>Masterstone Matte- 12"x24" Stack Bond or 1/3</t>
  </si>
  <si>
    <t>Masterstone Matte- 24"x24" Straight (no offset)</t>
  </si>
  <si>
    <t>Pro Matte 12 x 24" - Stack Bond or 1/3 Offset</t>
  </si>
  <si>
    <t>Pro Matte 24" x 24" - Straight (no offset)</t>
  </si>
  <si>
    <t>Pro Polished 12" x 24" - Stack Bond or 1/3 Offset</t>
  </si>
  <si>
    <t>Pro Polished 24" x 24" - Straight (no offset)</t>
  </si>
  <si>
    <t>Pro max 12" x 24" - Stack Bond or 1/3 Offset</t>
  </si>
  <si>
    <t>Salvador Polished or Matte- 12"x24" Stack Bond or 1/3 offset</t>
  </si>
  <si>
    <t>Salvador Polished or Matte- 24"x24" Straight (no offset)</t>
  </si>
  <si>
    <t>Santiago Polished or Matte- 12"x24" Stack Bond or 1/3 offset</t>
  </si>
  <si>
    <t>Santiago Polished or Matte- 24"x24" Straight</t>
  </si>
  <si>
    <t>Stonemood Matte- 12"x24" Stack Bond or 1/3 offset</t>
  </si>
  <si>
    <t>Stonemood Matte- 24"x24" Straight (no offset)</t>
  </si>
  <si>
    <t>Terrazzo- 24"x24" Straight (no offset)</t>
  </si>
  <si>
    <t>Trevi 12" x 24" - Stack Bond or 1/3 Offset</t>
  </si>
  <si>
    <t>Absolute Slate 12" x 24" - Stack Bond or 1/3 Offset</t>
  </si>
  <si>
    <t>Apini Hex- 9"x10.5" Straight (no offset)</t>
  </si>
  <si>
    <t>Arctic White Matte- 24" x 24" - Straight (no offset)</t>
  </si>
  <si>
    <t>Arctic White Polished- 24" x 24" - Straight (no offset)</t>
  </si>
  <si>
    <t>Carenza Polished- 12 x 24" - Stack Bond or 1/3 Offset</t>
  </si>
  <si>
    <t>Carenza Polished- 24" x 24" - Straight  (no offset)</t>
  </si>
  <si>
    <t>Casablanca 8" x 8" - Straight  (no offset)</t>
  </si>
  <si>
    <t>Contro Iconica- 12"x24" Stack Bond or 1/3 offset</t>
  </si>
  <si>
    <t>Contro Iconica- 24"x24" Straight (no offset)</t>
  </si>
  <si>
    <t>Historia -12" x 24" - Stack Bond or 1/3 Offset</t>
  </si>
  <si>
    <t>Laser Hex- 9.5"x10.5" Straight (no offset)</t>
  </si>
  <si>
    <t>Marble Folio- 12"x24" Stack Bond or 1/3 offset</t>
  </si>
  <si>
    <t>Marmo Polished- 12"x24" Stack Bond or 1/3 offset</t>
  </si>
  <si>
    <t>Marmo Polished- 24"x24" Straight (no offset)</t>
  </si>
  <si>
    <t>Masterstone Polished- 12"x24" Stack Bond or 1/3</t>
  </si>
  <si>
    <t>Masterstone Polished- 24"x24" Straight (no offset)</t>
  </si>
  <si>
    <t>Nolita 12" x 24" - Stack Bond or 1/3 Offset</t>
  </si>
  <si>
    <t>Statuaro Polished or Matte- 12"x24" Stack Bond or 1/3 offset</t>
  </si>
  <si>
    <t>Stonemood Polished- 12"x24" Stack Bond or 1/3 offset</t>
  </si>
  <si>
    <t>Stonemood Polished- 24"x24" Straight (no offset)</t>
  </si>
  <si>
    <t>Suite  24" x 24" - Straight (no offset)</t>
  </si>
  <si>
    <t>Toledo Hex- 9.5"x10.5" Straight (no offset)</t>
  </si>
  <si>
    <t>Verso Iconica- 12"x24" Stack Bond or 1/3 Offset</t>
  </si>
  <si>
    <t>Verso Iconica- 24"x24" Straight (no offset)</t>
  </si>
  <si>
    <t>Waves-12"x24" Stack Bond or 1/3 offset</t>
  </si>
  <si>
    <t>Waves-24"x24" Straight (no offset)</t>
  </si>
  <si>
    <t>Whisper 8" x 40" - Stack Bond or 1/3 Offset</t>
  </si>
  <si>
    <t>Casblanca Hex 8" x 9" - Straight (no offset)</t>
  </si>
  <si>
    <t>Cottage 9" x 40" - Stack Bond or 1/3 Offset</t>
  </si>
  <si>
    <t>Marble Folio 24" x 24" Straight (no offset)</t>
  </si>
  <si>
    <t>Masterstone Polished or Matte- 16"x32" Stack Bond or 1/3 offset</t>
  </si>
  <si>
    <t>Nolita - 18" x 36" - Stack Bond (no offset)</t>
  </si>
  <si>
    <t>Rever- 8"x48" 1/3 Offset or Random</t>
  </si>
  <si>
    <t>Stauaro Polish or Matte- 16"x32" Stack Bond or 1/3 offset</t>
  </si>
  <si>
    <t>Terra - 8" x 8" Square - straight</t>
  </si>
  <si>
    <t>Yukon 9" x 40" - Stack Bond or 1/3 Offset</t>
  </si>
  <si>
    <t>Masterstone Polished or Matte- 32"x32" Straight (no offset)</t>
  </si>
  <si>
    <t>Stauaro Polish or Matte- 32"x32" Straight (no offset)</t>
  </si>
  <si>
    <t>Carenza 24" X 48" Stack Bond or 1/3 Offset</t>
  </si>
  <si>
    <t>Era 24" X 48" Stack Bond or 1/3 Offset</t>
  </si>
  <si>
    <t>Pro Matte 24" X 48" Stack Bond or 1/3 Offset</t>
  </si>
  <si>
    <t>Pro Polished 24" X 48" Stack Bond or 1/3 Offset</t>
  </si>
  <si>
    <t>Comet Stratos -  White Marble/ Glass Blend  - 4" x 12" listel - (1/3 sheet)</t>
  </si>
  <si>
    <t>Crackle Glass Slate - 1" x 2" Brick Mosaic - 3x12 listel  - (1/4 sheet)</t>
  </si>
  <si>
    <t>Crackle Glass White Pearl - 1" x 2" Brick Mosaic 3x12 listel - (1/4 sheet)</t>
  </si>
  <si>
    <t>Crackle Glass Wood Vein - 1" x 2" Brick Mosaic 3x12 listel-  (1/4 sheet)</t>
  </si>
  <si>
    <t>Crystal Stone Pearl Linear Mosaic - 4" x 12" Listel (1/3 sheet)</t>
  </si>
  <si>
    <t>Glass Blend Brick Mosaic 1" x 3" - Alpine - 3" x 12" Listel (1/4 sheet)</t>
  </si>
  <si>
    <t>Kolda - 1" x 1" Stone Mosaic 3" x 12" listel -  (1/4 sheet)</t>
  </si>
  <si>
    <t>Pinwheel Mosaic Quartzite - 12x12 Brick Mosaic 3x12 listel - (1/4 sheet)</t>
  </si>
  <si>
    <t>Stone/Glass Mosaic 5/8" x 5/8" -  3" x 12" Listel  -Safari  (1/4 sheet)</t>
  </si>
  <si>
    <t>Stratos Glass &amp; Stone Mosaic 11.65"x11.65" - 3"x12" listel (1/4 sheet)</t>
  </si>
  <si>
    <t>Striped Random Mosaic - 3" x 12" listel - (1/4 sheet)</t>
  </si>
  <si>
    <t>Aran - 5/8" glass/stone stack mosaic - 4" x 12" listel - (1/3 sheet)</t>
  </si>
  <si>
    <t>Autumn Mist Random Linear Glass Mosaic  - 4x12" listel - (1/3 sheet)</t>
  </si>
  <si>
    <t>Baltia Mini-brick white Mosaic 4x12 Listel - (1/3 sheet)</t>
  </si>
  <si>
    <t>Icicle Stratos - Calcutta &amp; Glass Mosaic  - 4x12" listel - (1/3 sheet)</t>
  </si>
  <si>
    <t>Meteor Random Mosaic 4" x 12" Listel -  (1/3 Sheet)</t>
  </si>
  <si>
    <t>Stone/Glass Mosaic 5/8" x 5/8" - 3" X 12" Listel - Carrera  (1/4 sheet)</t>
  </si>
  <si>
    <t>Time Grey Glass/Stone Mosaic 3x12 (1/4 Sheet)</t>
  </si>
  <si>
    <t>Glossy Glass 2" x 4" Offset Mosaic 4" x 12" - (1/3 Sheet)</t>
  </si>
  <si>
    <t>Midpark Random Rainstorm 2" Mosaic - 4" x 12" listel  (1/3 Sheet)</t>
  </si>
  <si>
    <t>Raine Random Linear Mosaic 6" x 11" listel -  (1/2 sheet)</t>
  </si>
  <si>
    <t>Safari Elephant Stacked 4" x 12"  (1/3 sheet)</t>
  </si>
  <si>
    <t>Silver Star White Random Blend Linear Mosaic - 6" x 12"  (1/2 sheet)</t>
  </si>
  <si>
    <t>Skyline - Staggered Mosaic Polished - 4" x 12" listel -  (1/3 sheet)</t>
  </si>
  <si>
    <t>Squarecycle Grey 2x2 Mosaic -  4" x 12" listel -  (1/3 sheet)</t>
  </si>
  <si>
    <t>Verona Staggered Polished 5/8" x 1 1/4" Mosaic - 4 x 12"  (1/3 sheet)</t>
  </si>
  <si>
    <t>Gemstone Mosaic 4" x 12" Listel</t>
  </si>
  <si>
    <t>Lighthouse 2"x10" stacked or offset 4"x10"</t>
  </si>
  <si>
    <t>Shaved pebble 12" x 12" sheet- stock  colors</t>
  </si>
  <si>
    <t>LH Stairs 2"x10" Stacked or Offset 4"x10"</t>
  </si>
  <si>
    <t>Why Lower?</t>
  </si>
  <si>
    <t>Boston 2" x 2"- Straight</t>
  </si>
  <si>
    <t>Ferrara  2" X 2" - Straight</t>
  </si>
  <si>
    <t>Travertino 2" x 2" - Straight</t>
  </si>
  <si>
    <t>Vitra Matte  2" X 2" - Straight</t>
  </si>
  <si>
    <t>Cambridge 2" x 2" - Stack Bond or 1/3 Offset</t>
  </si>
  <si>
    <t>Carrara  2" x 2" Stack Bond or 1/3 Offset</t>
  </si>
  <si>
    <t>Skyline 2" x 2" - Straight</t>
  </si>
  <si>
    <t>Vancouver 2" x 2" - Straight</t>
  </si>
  <si>
    <t>Alliance - 2" x 2" Mosaic  12" x 12" sheet - straight</t>
  </si>
  <si>
    <t>Beach 2" x 2" Mosaic  12" x 12" sheet - straight</t>
  </si>
  <si>
    <t>Brescia 2" x 2" Mosaic  12" x 12" sheet - straight</t>
  </si>
  <si>
    <t>Cavatina  -  2" x 2" Brick Mosaic - Straight</t>
  </si>
  <si>
    <t>Empire 2" x 2" Mosaic  12" x 12" sheet - straight</t>
  </si>
  <si>
    <t>Gotham 2" x 2" Mosaic  12" x 12" sheet - straight</t>
  </si>
  <si>
    <t>Hexagon 2" x 2" Matte Glaze Black - 12" Mosaic</t>
  </si>
  <si>
    <t>Hexagon 2" x 2" Matte Glaze Tender Gray   - 12" Mosaic</t>
  </si>
  <si>
    <t>Hexagon 2" x 2" Matte Glaze White  - 12" Mosaic</t>
  </si>
  <si>
    <t>Ibiza 2" x 2" Mosaic  12" x 12" sheet - straight</t>
  </si>
  <si>
    <t>Milano  2" x 2" Mosaic  12" x 12" sheet - straight</t>
  </si>
  <si>
    <t>Moscato 2" x 2" Mosaic  12" x 12" sheet - straight</t>
  </si>
  <si>
    <t>Octagon &amp; Dot White 2" x 2" Matte Glaze - 12" Mosaic</t>
  </si>
  <si>
    <t>Palma 2" x 2" Mosaic  12" x 12" sheet - straight</t>
  </si>
  <si>
    <t>Sandstone 2" x 2" Mosaic  12" x 12" sheet - straight</t>
  </si>
  <si>
    <t>Absolute Slate  - 2" x 2" Mosaic - Straight</t>
  </si>
  <si>
    <t>Carenza -Statuary unpolished  - 2" x 2" Mosaic - Straight</t>
  </si>
  <si>
    <t>Charisma Naturale 2" x 2" Mosaic  12" x 12" sheet - straight</t>
  </si>
  <si>
    <t>Hexacycle Carrara 11" x 13" sheet</t>
  </si>
  <si>
    <t>Hexacycle Crema 11" x 13" sheet</t>
  </si>
  <si>
    <t>Hexacycle Grey 11" x 13" sheet</t>
  </si>
  <si>
    <t>Historia - 2" x 2" Mosaic  12" x 12" sheet - straight</t>
  </si>
  <si>
    <t>Legend II - 2" x 2" Mosaic  12" x 12" sheet - straight</t>
  </si>
  <si>
    <t>Linen White - 2" x 2" Mosaic  12" x 12" sheet - straight</t>
  </si>
  <si>
    <t>Nolita - 2" x 2" Mosaic  12" x 12" sheet - straight</t>
  </si>
  <si>
    <t>Pebblecycle Glass Mosaic 12" x 12" sheet</t>
  </si>
  <si>
    <t>Penny Round BG Black Mosaic  12" x 12" sheet - straight</t>
  </si>
  <si>
    <t>Penny Round BG Grey Mosaic  12" x 12" sheet - straight</t>
  </si>
  <si>
    <t>Penny Round BG White Mosaic  12" x 12" sheet - straight</t>
  </si>
  <si>
    <t>Pennycycle Glass Mosaic 12" x 12" sheet</t>
  </si>
  <si>
    <t>Pro Matte -  2" x 2" - Mosaic  12" x 12" sheet - straight</t>
  </si>
  <si>
    <t>Squarecycle Grey 2" x 2" Mosaic  - 12" x 12" sheet</t>
  </si>
  <si>
    <t>Stone/Glass Mosaic 5/8" x 5/8" -  Carrera</t>
  </si>
  <si>
    <t>Suite   - 2" x 2" Mosaic  12" x 12" sheet - straight</t>
  </si>
  <si>
    <t>Trevi -  2" x 2" Mosaic  12" x 12" sheet - straight</t>
  </si>
  <si>
    <t>Tumbled Marble 4" x 4" -  Diagonal - Ivory</t>
  </si>
  <si>
    <t>Tumbled Marble 4" x 4" - Diagonal - Diana Royal</t>
  </si>
  <si>
    <t>Tumbled Marble 4" x 4" - Diagonal- Dark Walnut</t>
  </si>
  <si>
    <t>Winter Stone -  2" x 2" Mosaic  12" x 12" sheet - straight</t>
  </si>
  <si>
    <t>3D Hex Recycled Glass Mosaic 11" x 13" sheet</t>
  </si>
  <si>
    <t>GEMSTONE MOSAIC - 11.25" x 11.87"</t>
  </si>
  <si>
    <t>Geohex Recycled Glass Mosaic 11" x 13" sheet</t>
  </si>
  <si>
    <t>Linker White Wood Mosaic 10.8" x 10.8" sheet</t>
  </si>
  <si>
    <t>Shaved pebble 12" x 12" sheet- stock colors</t>
  </si>
  <si>
    <t>Verona Staggered Polished 5/8" x 1 1/4" Mosaic - 12" x 12" sheet</t>
  </si>
  <si>
    <t>Boston 12" x 12" - Straight (no offset)</t>
  </si>
  <si>
    <t>Ferrara  12" X 12" Straight (no offset)</t>
  </si>
  <si>
    <t>Travertino 12" x 12" - Straight (no offset)</t>
  </si>
  <si>
    <t>Skyline 10" x 13" - Stack Bond</t>
  </si>
  <si>
    <t>Vancouver 10" x 38" - Stack Bond</t>
  </si>
  <si>
    <t>Villa 10" x 13" - Stack Bond</t>
  </si>
  <si>
    <t>Ceramic Bright 3" x 6"  - Running Bond</t>
  </si>
  <si>
    <t>Ceramic Bright 6" x 6" -  Straight (no offset)</t>
  </si>
  <si>
    <t>Beach 11" x 22" - Stack Bond or 1/3 Offset</t>
  </si>
  <si>
    <t>Brescia 11" x 22" - Stack Bond (no offset)</t>
  </si>
  <si>
    <t>Ceramic Bright 4" x 16" - Running Bond</t>
  </si>
  <si>
    <t>Ceramic Bright Beveled 3" x 6" - Running Bond</t>
  </si>
  <si>
    <t>Crayon 4" x 12" - Running Bond</t>
  </si>
  <si>
    <t>Mailoica Subway 3" x 6" - Running Bond</t>
  </si>
  <si>
    <t>Winter 8" x 24" - Running or Stack Bond</t>
  </si>
  <si>
    <t>Aura Dolce Wave 6" x 18" - Stack Bond or 1/3 Offset</t>
  </si>
  <si>
    <t>Ceramic Bright Bevel 4" x 10" - Running Bond</t>
  </si>
  <si>
    <t>Ceramic Bright Wavy 10" x 28" - Stack Bond or 1/3 Offset</t>
  </si>
  <si>
    <t>Pro Matte 12" x 24" - Stack Bond or 1/3 Offset</t>
  </si>
  <si>
    <t>Suite- 12" x 24" - Stack Bond or 1/3 Offset</t>
  </si>
  <si>
    <t>Acrtic White 12" x 24" - Stack Bond or 1/3 offset</t>
  </si>
  <si>
    <t>Carenza 12 x 24" - Stack Bond or 1/3 Offset</t>
  </si>
  <si>
    <t>Flow 3" x 12" Standard Colors - Stack Bond or 1/3 Offset</t>
  </si>
  <si>
    <t>Historia  12" x 24" - Stack Bond or 1/3 Offset</t>
  </si>
  <si>
    <t>Historia 12" x 24" - Stack Bond or 1/3 Offset</t>
  </si>
  <si>
    <t>Pro Matte  24" x 24" - Straight (no offset)</t>
  </si>
  <si>
    <t>Pro Polished  24" x 24" - Straight (no offset)</t>
  </si>
  <si>
    <t>Broadway 3" x 12" - Running Bond (1/2 offset) or Stack Bond</t>
  </si>
  <si>
    <t>Eden 3" x 11" - Stack or 1/3 Offset</t>
  </si>
  <si>
    <t>Flow 3" x 12" Special Colors - Stack Bond or 1/3 Offset</t>
  </si>
  <si>
    <t>Flow Hex 8" x 9" - Straight (no offset)</t>
  </si>
  <si>
    <t>Flow Picket 3" x 12" - Straight (no offset)</t>
  </si>
  <si>
    <t>Maiolica Crackled 3" x 12" - Stack Bond or 1/3 Offset</t>
  </si>
  <si>
    <t>Maiolica Hex 7" x 8" - Straight (no offset)</t>
  </si>
  <si>
    <t>Marble Folio 12" x 24" - Stack Bond or 1/3 Offset</t>
  </si>
  <si>
    <t>Nolita  18" x 36" - Stack Bond (no offset)</t>
  </si>
  <si>
    <t>Terra - 8" x 8" - Square - straight</t>
  </si>
  <si>
    <t>Zellige 2.5" x 16" - Stack or 1/3 Offset</t>
  </si>
  <si>
    <t>Once selections have been reviewed and signed by both parties, they are considered final. We understand that adjustments may occasionally be requested; however, changes made after approval and/or after construction has begun may result in additional costs and are subject to the Builder’s review and approval. To ensure clarity and accuracy, any changes must be documented and signed by both parties prior to implementation. This Customer Option Form agreement is non-refundable. However, if any selected option is not installed, a full refund for the individual option(s) will be credited at closing</t>
  </si>
  <si>
    <t>CUSTOMER OPTION FORM #1</t>
  </si>
  <si>
    <t xml:space="preserve">DATE:  </t>
  </si>
  <si>
    <t xml:space="preserve">CUSTOMER: </t>
  </si>
  <si>
    <t>John Doe</t>
  </si>
  <si>
    <t>Allowance Estimated Pricing Subject to change, based on final installed price</t>
  </si>
  <si>
    <t xml:space="preserve">JOB ADDRESS: </t>
  </si>
  <si>
    <t>123 avenue</t>
  </si>
  <si>
    <t>ALLOWANCES</t>
  </si>
  <si>
    <t>PRICE REQUEST ITEMS BY HOMEOWNER</t>
  </si>
  <si>
    <t xml:space="preserve">Please Note: Pricing may fluctuate on items that are priced out for the Homeowners from the time of price request to time of homeowner approval.  A charge or credit will apply at the time of ordering.  </t>
  </si>
  <si>
    <t>CLARIFICATIONS (NO PRICE CHANGE)</t>
  </si>
  <si>
    <t>PRICING READY TO SHOW HOMEOWNER</t>
  </si>
  <si>
    <t>HOMEOWNER REVIEWING</t>
  </si>
  <si>
    <t>PRICING APPROVED BY HOMEOWNER</t>
  </si>
  <si>
    <t>Eric Olsen</t>
  </si>
  <si>
    <t>Sarah Brown</t>
  </si>
  <si>
    <t>Stephanie Throop</t>
  </si>
  <si>
    <t>Ashley Birmingham</t>
  </si>
  <si>
    <t>Monique Lumsley</t>
  </si>
  <si>
    <t>TOP PRIORITY</t>
  </si>
  <si>
    <t>(Select Status)</t>
  </si>
  <si>
    <t>Category</t>
  </si>
  <si>
    <t>Description</t>
  </si>
  <si>
    <t>Date</t>
  </si>
  <si>
    <t>Revised by:</t>
  </si>
  <si>
    <t xml:space="preserve">Allowance </t>
  </si>
  <si>
    <t>Final price</t>
  </si>
  <si>
    <t>Status</t>
  </si>
  <si>
    <t>Allowance</t>
  </si>
  <si>
    <t xml:space="preserve">Designer Time
</t>
  </si>
  <si>
    <t>Appliance Allowance</t>
  </si>
  <si>
    <t>Overage To be paid directly to the Appliance Co.</t>
  </si>
  <si>
    <t>Cabinetry Allowance: This is allowance for base cabinetry throughout the home. Added items or options will be priced separately below.</t>
  </si>
  <si>
    <t>Cabinetry Hardware Standard:</t>
  </si>
  <si>
    <t>Placeholder</t>
  </si>
  <si>
    <t>Drywall/Duro/Densglass Material Allowance:</t>
  </si>
  <si>
    <t xml:space="preserve">Electrical Allowance: This allowance is for base electrical for the home. Upgraded or added items will be priced separately below. </t>
  </si>
  <si>
    <t>Exterior Doors Allowance:</t>
  </si>
  <si>
    <t>Exterior Railing Allowance:</t>
  </si>
  <si>
    <t>Garage Door Allowance:</t>
  </si>
  <si>
    <t xml:space="preserve">Granite Countertop Allowance: </t>
  </si>
  <si>
    <t>Impact Fees Allowance:</t>
  </si>
  <si>
    <t>Interior Railing Allowance:</t>
  </si>
  <si>
    <t>Landscaping Allowance:</t>
  </si>
  <si>
    <t>Overage To be paid directly to the Landscaping Co.</t>
  </si>
  <si>
    <t>Light Fixture Allowance</t>
  </si>
  <si>
    <t>Overage To be paid directly to the Lighting Co.</t>
  </si>
  <si>
    <t>Lumber Allowance:</t>
  </si>
  <si>
    <t xml:space="preserve">Paver Allowance: More may be needed once survey is finalized and approved. </t>
  </si>
  <si>
    <t xml:space="preserve">Plumbing Allowance: This allowance is for base plumbing for the home. Upgraded or added items will be priced separately below. </t>
  </si>
  <si>
    <t xml:space="preserve">Pool Allowance: </t>
  </si>
  <si>
    <t>Overage To be paid directly to the Pool Co.</t>
  </si>
  <si>
    <t>Roofing Allowance:</t>
  </si>
  <si>
    <t>Sitework Allowance: THERE MAY BE ADDITONAL WORK ON TH  LOT AT THE END OF THE PROJECT AS WELL AS POTENTIAL DEGRASS OF AREAS WE LEAVE UNITL THE END.</t>
  </si>
  <si>
    <t>Truss Allowance</t>
  </si>
  <si>
    <t>Windows Allowance:</t>
  </si>
  <si>
    <t>Changes made during plan design stage:</t>
  </si>
  <si>
    <t>Plan Changes made during Exterior Color Selection Meeting with Designer</t>
  </si>
  <si>
    <t>Changes made during color selection stage:</t>
  </si>
  <si>
    <t>TOTAL:</t>
  </si>
  <si>
    <t>Customer Signature</t>
  </si>
  <si>
    <t>Date of Approval:</t>
  </si>
  <si>
    <t>Builder Signature</t>
  </si>
  <si>
    <t>Date Paid</t>
  </si>
  <si>
    <t>Actuals</t>
  </si>
  <si>
    <t xml:space="preserve">Contract Pricing Page </t>
  </si>
  <si>
    <t>Tile Section List</t>
  </si>
  <si>
    <t>Tile_Level_Kitchen_Backsplash</t>
  </si>
  <si>
    <t>Tile_Level_Floor_Tile</t>
  </si>
  <si>
    <t>Tile_Level_Listel</t>
  </si>
  <si>
    <t>Tile_Level_Shower_Pan_Tile</t>
  </si>
  <si>
    <t>Tile_Level_Shower_Tub_Wall_Tile</t>
  </si>
  <si>
    <t>Tile_Product_Kitchen_Backsplash_Level_1</t>
  </si>
  <si>
    <t>Tile_Product_Kitchen_Backsplash_Level_2</t>
  </si>
  <si>
    <t>Tile_Product_Kitchen_Backsplash_Level_3</t>
  </si>
  <si>
    <t>Tile_Product_Kitchen_Backsplash_Level_4</t>
  </si>
  <si>
    <t>Tile_Product_Kitchen_Backsplash_Level_5</t>
  </si>
  <si>
    <t>Tile_Product_Kitchen_Backsplash_Level_6</t>
  </si>
  <si>
    <t>Tile_Product_Kitchen_Backsplash_Level_7</t>
  </si>
  <si>
    <t>Tile_Product_Kitchen_Backsplash_Level_8</t>
  </si>
  <si>
    <t>Tile_Product_Kitchen_Backsplash_Level_9</t>
  </si>
  <si>
    <t>Tile_Product_Floor_Tile_Level_1</t>
  </si>
  <si>
    <t>Tile_Product_Floor_Tile_Level_2</t>
  </si>
  <si>
    <t>Tile_Product_Floor_Tile_Level_3</t>
  </si>
  <si>
    <t>Tile_Product_Floor_Tile_Level_4</t>
  </si>
  <si>
    <t>Tile_Product_Floor_Tile_Level_5</t>
  </si>
  <si>
    <t>Tile_Product_Floor_Tile_Level_6</t>
  </si>
  <si>
    <t>Tile_Product_Floor_Tile_Level_7</t>
  </si>
  <si>
    <t>Tile_Product_Floor_Tile_Level_8</t>
  </si>
  <si>
    <t>Tile_Product_Floor_Tile_Level_9</t>
  </si>
  <si>
    <t>Tile_Product_Listel_Level_1</t>
  </si>
  <si>
    <t>Tile_Product_Listel_Level_2</t>
  </si>
  <si>
    <t>Tile_Product_Listel_Level_3</t>
  </si>
  <si>
    <t>Tile_Product_Listel_Level_4</t>
  </si>
  <si>
    <t>Tile_Product_Listel_Level_5</t>
  </si>
  <si>
    <t>Tile_Product_Shower_Pan_Tile_Level_1</t>
  </si>
  <si>
    <t>Tile_Product_Shower_Pan_Tile_Level_2</t>
  </si>
  <si>
    <t>Tile_Product_Shower_Pan_Tile_Level_3</t>
  </si>
  <si>
    <t>Tile_Product_Shower_Pan_Tile_Level_4</t>
  </si>
  <si>
    <t>Tile_Product_Shower_Pan_Tile_Level_5</t>
  </si>
  <si>
    <t>Tile_Product_Shower_Tub_Wall_Tile_Level_1</t>
  </si>
  <si>
    <t>Tile_Product_Shower_Tub_Wall_Tile_Level_2</t>
  </si>
  <si>
    <t>Tile_Product_Shower_Tub_Wall_Tile_Level_3</t>
  </si>
  <si>
    <t>Tile_Product_Shower_Tub_Wall_Tile_Level_4</t>
  </si>
  <si>
    <t>Tile_Product_Shower_Tub_Wall_Tile_Level_5</t>
  </si>
  <si>
    <t>Tile_Product_Shower_Tub_Wall_Tile_Level_6</t>
  </si>
  <si>
    <t>Tile_Product_Shower_Tub_Wall_Tile_Level_7</t>
  </si>
  <si>
    <t>Tile_Product_Shower_Tub_Wall_Tile_Level_8</t>
  </si>
  <si>
    <t>Tile_Product_Shower_Tub_Wall_Tile_Level_9</t>
  </si>
  <si>
    <t>Master Bathroom</t>
  </si>
  <si>
    <t>Shower Floor Pan</t>
  </si>
  <si>
    <t>Shower Walls (8')</t>
  </si>
  <si>
    <t>(+) Shower Walls to Ceiling</t>
  </si>
  <si>
    <t>Knee Wall (Outside Shower Face)</t>
  </si>
  <si>
    <t>Knee Wall (Inside Shower Face)</t>
  </si>
  <si>
    <t>Special Instructions:</t>
  </si>
  <si>
    <t>Knee Wall Cap</t>
  </si>
  <si>
    <t>Included</t>
  </si>
  <si>
    <t>$ / Unit</t>
  </si>
  <si>
    <t>Designer Information</t>
  </si>
  <si>
    <t>Estimator</t>
  </si>
  <si>
    <t>Tile_Level_Sill</t>
  </si>
  <si>
    <t>Tile_Level_Knee_Wall_Cap</t>
  </si>
  <si>
    <t>Tile_Level_Curb</t>
  </si>
  <si>
    <t>Tile_Product_Sill_Level_1</t>
  </si>
  <si>
    <t>Tile_Product_Knee_Wall_Cap_Level_1</t>
  </si>
  <si>
    <t>Tile_Product_Curb_Level_1</t>
  </si>
  <si>
    <t>Backsplash</t>
  </si>
  <si>
    <t>Fireplace</t>
  </si>
  <si>
    <t>Niche Width (in):</t>
  </si>
  <si>
    <t>Height (in):</t>
  </si>
  <si>
    <t>Total Niche Area</t>
  </si>
  <si>
    <t>Qty_Est</t>
  </si>
  <si>
    <t>Qty_Pad</t>
  </si>
  <si>
    <t>Allowance Total:</t>
  </si>
  <si>
    <t xml:space="preserve">Instructions </t>
  </si>
  <si>
    <t>Step #2: Assign all Rooms in Rows 8, 29,42, 55,68,81,94,107,120</t>
  </si>
  <si>
    <t>Step #3: Assign all areas receiving tile Column B</t>
  </si>
  <si>
    <t>Step #4: Input each square footage estimate in Column L</t>
  </si>
  <si>
    <t>Step #1: Select Type of Tile in Column C</t>
  </si>
  <si>
    <t>Step #2: Select Level of Tile in Column D</t>
  </si>
  <si>
    <t>Step #3: Select Product Name in Column E</t>
  </si>
  <si>
    <t>Step $4: Select Finish, Pattern, Direction, Grout and Joint</t>
  </si>
  <si>
    <t>Step #5: Input Niche width and height (=0 if no niche)</t>
  </si>
  <si>
    <t>Instructions for ESTIMATOR</t>
  </si>
  <si>
    <t>Step #6: Verify Pricing is correct at bottom of sheet</t>
  </si>
  <si>
    <t>Summary</t>
  </si>
  <si>
    <t>Charge to HO</t>
  </si>
  <si>
    <t>Total Charge to HO:</t>
  </si>
  <si>
    <t>PRICING FROM VENDOR</t>
  </si>
  <si>
    <t xml:space="preserve">Estimators must update this pricing every year, or immediately after being notified of a price change!!!!! </t>
  </si>
  <si>
    <t>*HO Pays:</t>
  </si>
  <si>
    <t>Tile Quick Pricing Sheet</t>
  </si>
  <si>
    <t>*All pricing displayed on this page is subject to change at the sole discression of Olsen Custom Homes. Pricing will be finalized via a customer option form.*</t>
  </si>
  <si>
    <t>**Please read this and follow the process EXACTLY**</t>
  </si>
  <si>
    <t>INSTRUCTIONS- VENDOR PRICE UPDATES</t>
  </si>
  <si>
    <t>Estimators/Purchashers are responsible for updating pricing info annually, AND with 24 hours after new pricing information is received.</t>
  </si>
  <si>
    <t>Step #1: Input updated price for each product in column F</t>
  </si>
  <si>
    <t>Step #2: input the date on which this pricing was last updated in Column H</t>
  </si>
  <si>
    <t>Contact Trevor Ragno before adding any new products or sizes to this list. Items are included on a hidden tab called "Tile Product Lists" which is used to power the multi-dependent drop down lists above. Adding a new product to only one of these lists will not produce correct pricing.</t>
  </si>
  <si>
    <t>Information for Drop-Down Tabs *DO NOT MODIFY (hidden tabs)*</t>
  </si>
  <si>
    <t>Instructions for DESIGNER (During HO Meeting)</t>
  </si>
  <si>
    <t>Instructions for ESTIMATOR (After-HO meeting)</t>
  </si>
  <si>
    <t>Step #2: Assign all Rooms in BLACK Rows (7, 31,44, 57,70,83,96,109,122)</t>
  </si>
  <si>
    <t>Step #6: Add special instructions and notes</t>
  </si>
  <si>
    <t>Step #7: Explain to client this pricing is a ballpark price</t>
  </si>
  <si>
    <t>Step #1: Verify Pricing</t>
  </si>
  <si>
    <t>Instructions for DESIGNER (BEFORE HO Meeting)</t>
  </si>
  <si>
    <t>Instructions for ESTIMATOR (BEFORE-HO meeting)</t>
  </si>
  <si>
    <t>Step #1: Input any selections from BT if client has already made them</t>
  </si>
  <si>
    <t>Step #2: Verify Estimator has input ALL area information in Column L</t>
  </si>
  <si>
    <t>Step #1: Input correct allowance total in cell V5</t>
  </si>
  <si>
    <t>Step #5: Hide Columns L, Q, and R (highlighted in red)</t>
  </si>
  <si>
    <t>Step #8: Verify ALL lines with SF value also have selection before pricing!!</t>
  </si>
  <si>
    <t>Step #9: Add thin info and pricing to buildertrend and get a signoff</t>
  </si>
  <si>
    <t>Step #10: Add correct language to the COF and total charge to HO (Cell V17)</t>
  </si>
  <si>
    <t>Material_Name</t>
  </si>
  <si>
    <t>Surface_Type</t>
  </si>
  <si>
    <t>Brand_Series</t>
  </si>
  <si>
    <t>Dallas White</t>
  </si>
  <si>
    <t>Granite</t>
  </si>
  <si>
    <t>Skyline</t>
  </si>
  <si>
    <t>New Caledonia</t>
  </si>
  <si>
    <t>Ubatuba</t>
  </si>
  <si>
    <t>Valle Nevado</t>
  </si>
  <si>
    <t>Azul Platino</t>
  </si>
  <si>
    <t>Black Pearl Plished / Leathered</t>
  </si>
  <si>
    <t>Fantasy Brown Polished / Leathered</t>
  </si>
  <si>
    <t>Quartzite</t>
  </si>
  <si>
    <t>Giallo Ornamental</t>
  </si>
  <si>
    <t>Iced White</t>
  </si>
  <si>
    <t>Quartz</t>
  </si>
  <si>
    <t>MSI Q</t>
  </si>
  <si>
    <t>Simply White</t>
  </si>
  <si>
    <t>Daltile One</t>
  </si>
  <si>
    <t>Sparkling White</t>
  </si>
  <si>
    <t>Bayshore Sand 2 cm</t>
  </si>
  <si>
    <t>Frost White 2 cm</t>
  </si>
  <si>
    <t>Lagoon 2 cm</t>
  </si>
  <si>
    <t>Silestone</t>
  </si>
  <si>
    <t>Simply Grey 2 cm</t>
  </si>
  <si>
    <t>Bianco Romano</t>
  </si>
  <si>
    <t>Colonial White</t>
  </si>
  <si>
    <t>Silver Cloud</t>
  </si>
  <si>
    <t>Calacatta Rusta</t>
  </si>
  <si>
    <t>Carrara Pisa</t>
  </si>
  <si>
    <t>Carrara Oro</t>
  </si>
  <si>
    <t>Sparkling Grey</t>
  </si>
  <si>
    <t>Super White</t>
  </si>
  <si>
    <t>Sharifstone</t>
  </si>
  <si>
    <t>Arctic White 2 cm</t>
  </si>
  <si>
    <t>Carrara Delphi 2 cm</t>
  </si>
  <si>
    <t>Carrara Miksa 2 cm</t>
  </si>
  <si>
    <t>Carrara Trigato 2 cm</t>
  </si>
  <si>
    <t>Black Forest</t>
  </si>
  <si>
    <t>Taupe White</t>
  </si>
  <si>
    <t>White Fantasy</t>
  </si>
  <si>
    <t>Marble</t>
  </si>
  <si>
    <t>White Ice</t>
  </si>
  <si>
    <t>Galacatta Elysio</t>
  </si>
  <si>
    <t>Calacatta Laza</t>
  </si>
  <si>
    <t>Calacatta Roma</t>
  </si>
  <si>
    <t>Elegant</t>
  </si>
  <si>
    <t>Golden Gate</t>
  </si>
  <si>
    <t>Golden Polaris</t>
  </si>
  <si>
    <t>Pompeii</t>
  </si>
  <si>
    <t>Valley Sand</t>
  </si>
  <si>
    <t>Valley White</t>
  </si>
  <si>
    <t>Venatino Soft Gold</t>
  </si>
  <si>
    <t>t</t>
  </si>
  <si>
    <t>Surface type needs review; source descriptor: t</t>
  </si>
  <si>
    <t>White Mountain</t>
  </si>
  <si>
    <t>Absolute Black Polished</t>
  </si>
  <si>
    <t>Arctic</t>
  </si>
  <si>
    <t>Curava</t>
  </si>
  <si>
    <t>Argos</t>
  </si>
  <si>
    <t>Calacatta Estremo</t>
  </si>
  <si>
    <t>Calacatta Premata</t>
  </si>
  <si>
    <t>Catania Blue</t>
  </si>
  <si>
    <t>Quantum</t>
  </si>
  <si>
    <t>Liberty Gold</t>
  </si>
  <si>
    <t>Noble Grey Lava</t>
  </si>
  <si>
    <t>Pulsar</t>
  </si>
  <si>
    <t>Savaii</t>
  </si>
  <si>
    <t>Valor White Polished / Lava</t>
  </si>
  <si>
    <t>Carmen 2 cm</t>
  </si>
  <si>
    <t>Symphony Printed</t>
  </si>
  <si>
    <t>Tempo 2 cm</t>
  </si>
  <si>
    <t>Blue Dunes Polished</t>
  </si>
  <si>
    <t>Calacatta Golden Bianco</t>
  </si>
  <si>
    <t>Cosmos</t>
  </si>
  <si>
    <t>Calacatta Natura</t>
  </si>
  <si>
    <t>Prizma</t>
  </si>
  <si>
    <t>Calacatta Safyra</t>
  </si>
  <si>
    <t>Cirus</t>
  </si>
  <si>
    <t>Viatera</t>
  </si>
  <si>
    <t>Delicato</t>
  </si>
  <si>
    <t>Hercules</t>
  </si>
  <si>
    <t>Liberty Black</t>
  </si>
  <si>
    <t>Melinda</t>
  </si>
  <si>
    <t>Misterio Gold</t>
  </si>
  <si>
    <t>Mistica</t>
  </si>
  <si>
    <t>Perla</t>
  </si>
  <si>
    <t>Sollight</t>
  </si>
  <si>
    <t>Argento 3 cm</t>
  </si>
  <si>
    <t>Aria 3 cm</t>
  </si>
  <si>
    <t>Calacatta Alabaster</t>
  </si>
  <si>
    <t>Calacatta Abezzo</t>
  </si>
  <si>
    <t>Calacatta Bella</t>
  </si>
  <si>
    <t>Calacatta Taj</t>
  </si>
  <si>
    <t>ST Printed</t>
  </si>
  <si>
    <t>Cielo</t>
  </si>
  <si>
    <t>Coastal</t>
  </si>
  <si>
    <t>Everest</t>
  </si>
  <si>
    <t>Marillie</t>
  </si>
  <si>
    <t>Minuet</t>
  </si>
  <si>
    <t>Rococo</t>
  </si>
  <si>
    <t>Soprano</t>
  </si>
  <si>
    <t>Augusta Bay</t>
  </si>
  <si>
    <t>Bella Pietra</t>
  </si>
  <si>
    <t>Beryl</t>
  </si>
  <si>
    <t>Bonsai</t>
  </si>
  <si>
    <t>Cassandra</t>
  </si>
  <si>
    <t>Chateau</t>
  </si>
  <si>
    <t>Nashville</t>
  </si>
  <si>
    <t>Nuvolato</t>
  </si>
  <si>
    <t>Regalo</t>
  </si>
  <si>
    <t>Roxana</t>
  </si>
  <si>
    <t>Splendor</t>
  </si>
  <si>
    <t>Venato</t>
  </si>
  <si>
    <t>Volaza</t>
  </si>
  <si>
    <t>Berwyn</t>
  </si>
  <si>
    <t>Cambria</t>
  </si>
  <si>
    <t>Gan Eden</t>
  </si>
  <si>
    <t>Hermitage</t>
  </si>
  <si>
    <t>Montgomery</t>
  </si>
  <si>
    <t>Sandgate</t>
  </si>
  <si>
    <t>Smithfield</t>
  </si>
  <si>
    <t>Travella</t>
  </si>
  <si>
    <t>Brava Blue Polished</t>
  </si>
  <si>
    <t>Brava Blue Leathered</t>
  </si>
  <si>
    <t>Marina 2 cm - Velvet Finish</t>
  </si>
  <si>
    <t>Dekton</t>
  </si>
  <si>
    <t>Salina 2 cm</t>
  </si>
  <si>
    <t>Fusion</t>
  </si>
  <si>
    <t>Calacatta Borghini 2 cm</t>
  </si>
  <si>
    <t>Atlas Plan</t>
  </si>
  <si>
    <t>Calacatta Imperiale 2 cm</t>
  </si>
  <si>
    <t>Forest Wood 2 cm</t>
  </si>
  <si>
    <t>Nero Marquina 2 cm</t>
  </si>
  <si>
    <t>Brittanicca</t>
  </si>
  <si>
    <t>Brittanicca Gold Cool</t>
  </si>
  <si>
    <t>Everleigh</t>
  </si>
  <si>
    <t>Inverness Blakeley</t>
  </si>
  <si>
    <t>Ironsbridge</t>
  </si>
  <si>
    <t>Portrush</t>
  </si>
  <si>
    <t>Windsor Brass</t>
  </si>
  <si>
    <t>Infinity White Honed</t>
  </si>
  <si>
    <t>Bergen 2 cm</t>
  </si>
  <si>
    <t>Limbo 2 cm</t>
  </si>
  <si>
    <t>Trance 2 cm</t>
  </si>
  <si>
    <t>Calacatta Oro</t>
  </si>
  <si>
    <t>Taj Mahal Leathered</t>
  </si>
  <si>
    <t>Taj Mahal Polished</t>
  </si>
  <si>
    <t>Countertop Quick Pricing Sheet</t>
  </si>
  <si>
    <t>Sink Cutout</t>
  </si>
  <si>
    <t>Countertop</t>
  </si>
  <si>
    <t>Countertop Pricing</t>
  </si>
  <si>
    <t>Level Pricing</t>
  </si>
  <si>
    <t>Olsen's Cost</t>
  </si>
  <si>
    <t xml:space="preserve"> </t>
  </si>
  <si>
    <t>Upgrade</t>
  </si>
  <si>
    <t>Labor</t>
  </si>
  <si>
    <t>EA</t>
  </si>
  <si>
    <t>Pop-up Outlet Cutout</t>
  </si>
  <si>
    <t>Cutout</t>
  </si>
  <si>
    <t>Backsplash Outlet Cutout</t>
  </si>
  <si>
    <t>Mitered Edge</t>
  </si>
  <si>
    <t>Edge</t>
  </si>
  <si>
    <t>"Ballpark" Prelim. Estimate</t>
  </si>
  <si>
    <t>Tile_Level_Carpet</t>
  </si>
  <si>
    <t>Tile_Level_LVP</t>
  </si>
  <si>
    <t>Tile_Product_Carpet_Level_1</t>
  </si>
  <si>
    <t>Tile_Product_LVP_Level_1</t>
  </si>
  <si>
    <t>Carpet Product 1</t>
  </si>
  <si>
    <t>LVP Product 1</t>
  </si>
  <si>
    <t>Rooms</t>
  </si>
  <si>
    <t>Island Countertop</t>
  </si>
  <si>
    <t>Detail</t>
  </si>
  <si>
    <t>Surface Type</t>
  </si>
  <si>
    <t>4-inch</t>
  </si>
  <si>
    <t>6-inch</t>
  </si>
  <si>
    <t>8-inch</t>
  </si>
  <si>
    <t>10-inch</t>
  </si>
  <si>
    <t>Included?</t>
  </si>
  <si>
    <t>Countertop #1</t>
  </si>
  <si>
    <t>Countertop #3</t>
  </si>
  <si>
    <t>Countertop #2</t>
  </si>
  <si>
    <t>Countertop #4</t>
  </si>
  <si>
    <t>Drop Zone</t>
  </si>
  <si>
    <t>Wet Bar</t>
  </si>
  <si>
    <t>Dry Bar</t>
  </si>
  <si>
    <t>Other (see details)</t>
  </si>
  <si>
    <t>Standard</t>
  </si>
  <si>
    <t>Sink (Type Unknown)</t>
  </si>
  <si>
    <t>Sink (Undermount)</t>
  </si>
  <si>
    <t>Sink (Drop-in)</t>
  </si>
  <si>
    <t>Sink (Farmhouse)</t>
  </si>
  <si>
    <t>Outlet (Pop-up)</t>
  </si>
  <si>
    <t>Outlet (Standard Wall Mount)</t>
  </si>
  <si>
    <t>Edge Type</t>
  </si>
  <si>
    <t>Eased Edge</t>
  </si>
  <si>
    <t>Countertop Surface</t>
  </si>
  <si>
    <t>Waterfall Surface</t>
  </si>
  <si>
    <t>Left Waterfall</t>
  </si>
  <si>
    <t>Cooktop</t>
  </si>
  <si>
    <t>Edge Style</t>
  </si>
  <si>
    <t>Eased</t>
  </si>
  <si>
    <t>N/A</t>
  </si>
  <si>
    <t>Mitered (upgrade)</t>
  </si>
  <si>
    <t>Cutouts?</t>
  </si>
  <si>
    <t>Cooktop Cutout</t>
  </si>
  <si>
    <t>Wood Floor</t>
  </si>
  <si>
    <t>Campbell Creek</t>
  </si>
  <si>
    <t>Essence</t>
  </si>
  <si>
    <t>Frontier</t>
  </si>
  <si>
    <t>Tile_Product_Wood_Level_1</t>
  </si>
  <si>
    <t>Tile_Level_Wood</t>
  </si>
  <si>
    <t>Wood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</si>
</sst>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8" formatCode="&quot;$&quot;#,##0.00_);[Red]\(&quot;$&quot;#,##0.00\)"/>
    <numFmt numFmtId="44" formatCode="_(&quot;$&quot;* #,##0.00_);_(&quot;$&quot;* \(#,##0.00\);_(&quot;$&quot;* &quot;-&quot;??_);_(@_)"/>
    <numFmt numFmtId="164" formatCode="&quot;$&quot;#,##0.00"/>
    <numFmt numFmtId="165" formatCode="\$#,##0.00;[Red]\(\$#,##0.00\);\-"/>
    <numFmt numFmtId="166" formatCode="yyyy\-mm\-dd"/>
    <numFmt numFmtId="167" formatCode="\$#,##0.00"/>
    <numFmt numFmtId="168" formatCode="0.0"/>
  </numFmts>
  <fonts count="59" x14ac:knownFonts="1">
    <font>
      <sz val="11"/>
      <color theme="1"/>
      <name val="Calibri"/>
      <family val="2"/>
      <scheme val="minor"/>
    </font>
    <font>
      <sz val="11"/>
      <color theme="1"/>
      <name val="Calibri"/>
      <family val="2"/>
      <scheme val="minor"/>
    </font>
    <font>
      <sz val="24"/>
      <name val="Arial"/>
      <family val="2"/>
    </font>
    <font>
      <b/>
      <sz val="20"/>
      <name val="Arial"/>
      <family val="2"/>
    </font>
    <font>
      <sz val="18"/>
      <name val="Arial"/>
      <family val="2"/>
    </font>
    <font>
      <b/>
      <sz val="22"/>
      <name val="Arial"/>
      <family val="2"/>
    </font>
    <font>
      <sz val="11"/>
      <name val="Arial"/>
      <family val="2"/>
    </font>
    <font>
      <b/>
      <sz val="14"/>
      <name val="Arial"/>
      <family val="2"/>
    </font>
    <font>
      <sz val="14"/>
      <name val="Arial"/>
      <family val="2"/>
    </font>
    <font>
      <sz val="14"/>
      <name val="Times New Roman"/>
      <family val="1"/>
    </font>
    <font>
      <i/>
      <sz val="12"/>
      <name val="Arial"/>
      <family val="2"/>
    </font>
    <font>
      <b/>
      <i/>
      <sz val="12"/>
      <color indexed="12"/>
      <name val="Arial"/>
      <family val="2"/>
    </font>
    <font>
      <sz val="12"/>
      <name val="Arial"/>
      <family val="2"/>
    </font>
    <font>
      <b/>
      <sz val="12"/>
      <name val="Arial"/>
      <family val="2"/>
    </font>
    <font>
      <sz val="13"/>
      <color theme="1"/>
      <name val="Calibri"/>
      <family val="2"/>
      <scheme val="minor"/>
    </font>
    <font>
      <sz val="16"/>
      <color theme="1"/>
      <name val="Calibri"/>
      <family val="2"/>
      <scheme val="minor"/>
    </font>
    <font>
      <b/>
      <sz val="13"/>
      <color theme="1"/>
      <name val="Calibri"/>
      <family val="2"/>
      <scheme val="minor"/>
    </font>
    <font>
      <b/>
      <sz val="12"/>
      <color rgb="FF000000"/>
      <name val="Calibri"/>
      <family val="2"/>
      <scheme val="minor"/>
    </font>
    <font>
      <b/>
      <sz val="14"/>
      <name val="Times New Roman"/>
      <family val="1"/>
    </font>
    <font>
      <b/>
      <sz val="13.5"/>
      <name val="Arial"/>
      <family val="2"/>
    </font>
    <font>
      <b/>
      <sz val="11"/>
      <color rgb="FFFF0000"/>
      <name val="Arial"/>
      <family val="2"/>
    </font>
    <font>
      <sz val="13"/>
      <color rgb="FFFF0000"/>
      <name val="Arial"/>
      <family val="2"/>
    </font>
    <font>
      <b/>
      <sz val="12"/>
      <color theme="1"/>
      <name val="Aptos"/>
      <family val="2"/>
    </font>
    <font>
      <sz val="10"/>
      <color theme="1"/>
      <name val="Calibri"/>
      <family val="2"/>
      <scheme val="minor"/>
    </font>
    <font>
      <b/>
      <sz val="10"/>
      <color theme="1"/>
      <name val="Calibri"/>
      <family val="2"/>
      <scheme val="minor"/>
    </font>
    <font>
      <sz val="16"/>
      <name val="Calibri"/>
      <family val="2"/>
      <scheme val="minor"/>
    </font>
    <font>
      <sz val="11"/>
      <name val="Calibri"/>
      <family val="2"/>
      <scheme val="minor"/>
    </font>
    <font>
      <sz val="8"/>
      <name val="Calibri"/>
      <family val="2"/>
      <scheme val="minor"/>
    </font>
    <font>
      <sz val="11"/>
      <color theme="1"/>
      <name val="Calibri"/>
      <family val="2"/>
    </font>
    <font>
      <b/>
      <sz val="11"/>
      <color rgb="FFFFFFFF"/>
      <name val="Carlito"/>
    </font>
    <font>
      <sz val="11"/>
      <color theme="1"/>
      <name val="Carlito"/>
    </font>
    <font>
      <sz val="11"/>
      <name val="Carlito"/>
    </font>
    <font>
      <sz val="13"/>
      <color theme="1"/>
      <name val="Calibri"/>
      <family val="2"/>
    </font>
    <font>
      <b/>
      <sz val="11"/>
      <color rgb="FFFFFFFF"/>
      <name val="Calibri"/>
      <family val="2"/>
    </font>
    <font>
      <i/>
      <sz val="11"/>
      <color theme="1"/>
      <name val="Calibri"/>
      <family val="2"/>
    </font>
    <font>
      <b/>
      <sz val="11"/>
      <name val="Calibri"/>
      <family val="2"/>
    </font>
    <font>
      <sz val="10"/>
      <color rgb="FF00B0F0"/>
      <name val="Calibri"/>
      <family val="2"/>
      <scheme val="minor"/>
    </font>
    <font>
      <b/>
      <sz val="16"/>
      <color theme="0"/>
      <name val="Calibri"/>
      <family val="2"/>
      <scheme val="minor"/>
    </font>
    <font>
      <b/>
      <sz val="16"/>
      <color theme="1"/>
      <name val="Calibri"/>
      <family val="2"/>
      <scheme val="minor"/>
    </font>
    <font>
      <b/>
      <sz val="16"/>
      <name val="Calibri"/>
      <family val="2"/>
      <scheme val="minor"/>
    </font>
    <font>
      <sz val="10"/>
      <name val="Calibri"/>
      <family val="2"/>
      <scheme val="minor"/>
    </font>
    <font>
      <sz val="9"/>
      <color indexed="81"/>
      <name val="Tahoma"/>
      <family val="2"/>
    </font>
    <font>
      <b/>
      <sz val="20"/>
      <color theme="0"/>
      <name val="Calibri"/>
      <family val="2"/>
      <scheme val="minor"/>
    </font>
    <font>
      <sz val="11"/>
      <color rgb="FFFF0000"/>
      <name val="Carlito"/>
    </font>
    <font>
      <b/>
      <sz val="11"/>
      <color indexed="81"/>
      <name val="Tahoma"/>
      <family val="2"/>
    </font>
    <font>
      <u/>
      <sz val="10"/>
      <color theme="1"/>
      <name val="Calibri"/>
      <family val="2"/>
      <scheme val="minor"/>
    </font>
    <font>
      <b/>
      <sz val="13"/>
      <color theme="0"/>
      <name val="Calibri"/>
      <family val="2"/>
      <scheme val="minor"/>
    </font>
    <font>
      <b/>
      <sz val="12"/>
      <color rgb="FF00B0F0"/>
      <name val="Calibri"/>
      <family val="2"/>
      <scheme val="minor"/>
    </font>
    <font>
      <b/>
      <sz val="14"/>
      <color rgb="FF00B0F0"/>
      <name val="Calibri"/>
      <family val="2"/>
      <scheme val="minor"/>
    </font>
    <font>
      <b/>
      <sz val="22"/>
      <color theme="0"/>
      <name val="Calibri"/>
      <family val="2"/>
      <scheme val="minor"/>
    </font>
    <font>
      <b/>
      <sz val="26"/>
      <color theme="0"/>
      <name val="Calibri"/>
      <family val="2"/>
      <scheme val="minor"/>
    </font>
    <font>
      <sz val="12"/>
      <color theme="1"/>
      <name val="Calibri"/>
      <family val="2"/>
      <scheme val="minor"/>
    </font>
    <font>
      <sz val="10"/>
      <color rgb="FFFF0000"/>
      <name val="Calibri"/>
      <family val="2"/>
      <scheme val="minor"/>
    </font>
    <font>
      <b/>
      <sz val="12"/>
      <color theme="1"/>
      <name val="Calibri"/>
      <family val="2"/>
      <scheme val="minor"/>
    </font>
    <font>
      <b/>
      <u/>
      <sz val="10"/>
      <color theme="1"/>
      <name val="Calibri"/>
      <family val="2"/>
      <scheme val="minor"/>
    </font>
    <font>
      <b/>
      <sz val="12"/>
      <color rgb="FFC00000"/>
      <name val="Calibri"/>
      <family val="2"/>
      <scheme val="minor"/>
    </font>
    <font>
      <b/>
      <sz val="12"/>
      <color theme="8" tint="0.79998168889431442"/>
      <name val="Calibri"/>
      <family val="2"/>
      <scheme val="minor"/>
    </font>
    <font>
      <b/>
      <sz val="10"/>
      <color theme="8" tint="0.79998168889431442"/>
      <name val="Calibri"/>
      <family val="2"/>
      <scheme val="minor"/>
    </font>
    <font>
      <sz val="11"/>
      <color rgb="FF000000"/>
      <name val="Aptos"/>
      <family val="2"/>
    </font>
  </fonts>
  <fills count="32">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00B0F0"/>
        <bgColor indexed="64"/>
      </patternFill>
    </fill>
    <fill>
      <patternFill patternType="solid">
        <fgColor theme="8" tint="0.79998168889431442"/>
        <bgColor indexed="64"/>
      </patternFill>
    </fill>
    <fill>
      <patternFill patternType="solid">
        <fgColor theme="5" tint="0.59999389629810485"/>
        <bgColor indexed="64"/>
      </patternFill>
    </fill>
    <fill>
      <patternFill patternType="solid">
        <fgColor theme="4" tint="0.59999389629810485"/>
        <bgColor indexed="64"/>
      </patternFill>
    </fill>
    <fill>
      <patternFill patternType="solid">
        <fgColor theme="9" tint="0.59999389629810485"/>
        <bgColor indexed="64"/>
      </patternFill>
    </fill>
    <fill>
      <patternFill patternType="solid">
        <fgColor theme="2" tint="-9.9978637043366805E-2"/>
        <bgColor indexed="64"/>
      </patternFill>
    </fill>
    <fill>
      <patternFill patternType="solid">
        <fgColor rgb="FFFF0000"/>
        <bgColor indexed="64"/>
      </patternFill>
    </fill>
    <fill>
      <patternFill patternType="solid">
        <fgColor rgb="FFFFC000"/>
        <bgColor indexed="64"/>
      </patternFill>
    </fill>
    <fill>
      <patternFill patternType="solid">
        <fgColor rgb="FFF1C7EE"/>
        <bgColor indexed="64"/>
      </patternFill>
    </fill>
    <fill>
      <patternFill patternType="solid">
        <fgColor rgb="FFFF33CC"/>
        <bgColor indexed="64"/>
      </patternFill>
    </fill>
    <fill>
      <patternFill patternType="solid">
        <fgColor rgb="FF1BAAC7"/>
        <bgColor indexed="64"/>
      </patternFill>
    </fill>
    <fill>
      <patternFill patternType="solid">
        <fgColor rgb="FF1CC705"/>
        <bgColor indexed="64"/>
      </patternFill>
    </fill>
    <fill>
      <patternFill patternType="solid">
        <fgColor theme="5" tint="0.79998168889431442"/>
        <bgColor indexed="64"/>
      </patternFill>
    </fill>
    <fill>
      <patternFill patternType="solid">
        <fgColor theme="1"/>
        <bgColor indexed="64"/>
      </patternFill>
    </fill>
    <fill>
      <patternFill patternType="solid">
        <fgColor theme="9" tint="0.79998168889431442"/>
        <bgColor indexed="64"/>
      </patternFill>
    </fill>
    <fill>
      <patternFill patternType="solid">
        <fgColor rgb="FF0F766E"/>
      </patternFill>
    </fill>
    <fill>
      <patternFill patternType="solid">
        <fgColor rgb="FFFFF2CC"/>
      </patternFill>
    </fill>
    <fill>
      <patternFill patternType="solid">
        <fgColor rgb="FFD9EAF7"/>
      </patternFill>
    </fill>
    <fill>
      <patternFill patternType="solid">
        <fgColor theme="4" tint="0.79998168889431442"/>
        <bgColor indexed="64"/>
      </patternFill>
    </fill>
    <fill>
      <patternFill patternType="solid">
        <fgColor theme="2"/>
        <bgColor indexed="64"/>
      </patternFill>
    </fill>
    <fill>
      <patternFill patternType="solid">
        <fgColor theme="7" tint="0.79998168889431442"/>
        <bgColor indexed="64"/>
      </patternFill>
    </fill>
    <fill>
      <patternFill patternType="solid">
        <fgColor rgb="FFFFCCFF"/>
        <bgColor indexed="64"/>
      </patternFill>
    </fill>
    <fill>
      <patternFill patternType="solid">
        <fgColor rgb="FFCCFFFF"/>
        <bgColor indexed="64"/>
      </patternFill>
    </fill>
    <fill>
      <patternFill patternType="solid">
        <fgColor theme="4"/>
        <bgColor indexed="64"/>
      </patternFill>
    </fill>
    <fill>
      <patternFill patternType="solid">
        <fgColor theme="6" tint="0.79998168889431442"/>
        <bgColor indexed="64"/>
      </patternFill>
    </fill>
    <fill>
      <patternFill patternType="solid">
        <fgColor rgb="FFC00000"/>
        <bgColor indexed="64"/>
      </patternFill>
    </fill>
    <fill>
      <patternFill patternType="solid">
        <fgColor rgb="FF1F4E78"/>
      </patternFill>
    </fill>
    <fill>
      <patternFill patternType="solid">
        <fgColor theme="7" tint="0.59999389629810485"/>
        <bgColor indexed="64"/>
      </patternFill>
    </fill>
  </fills>
  <borders count="32">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theme="4" tint="0.39997558519241921"/>
      </top>
      <bottom/>
      <diagonal/>
    </border>
    <border>
      <left style="medium">
        <color indexed="64"/>
      </left>
      <right style="medium">
        <color indexed="64"/>
      </right>
      <top style="medium">
        <color indexed="64"/>
      </top>
      <bottom style="medium">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style="medium">
        <color indexed="64"/>
      </right>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style="thin">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s>
  <cellStyleXfs count="4">
    <xf numFmtId="0" fontId="0" fillId="0" borderId="0"/>
    <xf numFmtId="44" fontId="1" fillId="0" borderId="0"/>
    <xf numFmtId="0" fontId="28" fillId="0" borderId="0"/>
    <xf numFmtId="9" fontId="1" fillId="0" borderId="0" applyFont="0" applyFill="0" applyBorder="0" applyAlignment="0" applyProtection="0"/>
  </cellStyleXfs>
  <cellXfs count="451">
    <xf numFmtId="0" fontId="0" fillId="0" borderId="0" xfId="0"/>
    <xf numFmtId="0" fontId="2" fillId="0" borderId="0" xfId="0" applyFont="1" applyAlignment="1">
      <alignment horizontal="center"/>
    </xf>
    <xf numFmtId="0" fontId="2" fillId="0" borderId="0" xfId="0" applyFont="1"/>
    <xf numFmtId="0" fontId="2" fillId="0" borderId="0" xfId="0" applyFont="1" applyAlignment="1">
      <alignment horizontal="right"/>
    </xf>
    <xf numFmtId="0" fontId="3" fillId="0" borderId="0" xfId="0" applyFont="1" applyAlignment="1">
      <alignment horizontal="center"/>
    </xf>
    <xf numFmtId="0" fontId="3" fillId="0" borderId="0" xfId="0" applyFont="1" applyAlignment="1">
      <alignment horizontal="left"/>
    </xf>
    <xf numFmtId="0" fontId="4" fillId="0" borderId="0" xfId="0" applyFont="1"/>
    <xf numFmtId="0" fontId="6" fillId="0" borderId="0" xfId="0" applyFont="1"/>
    <xf numFmtId="0" fontId="4" fillId="0" borderId="0" xfId="0" applyFont="1" applyAlignment="1">
      <alignment horizontal="center"/>
    </xf>
    <xf numFmtId="0" fontId="7" fillId="0" borderId="0" xfId="0" applyFont="1" applyAlignment="1">
      <alignment horizontal="right"/>
    </xf>
    <xf numFmtId="14" fontId="7" fillId="0" borderId="0" xfId="0" applyNumberFormat="1" applyFont="1" applyAlignment="1">
      <alignment horizontal="left"/>
    </xf>
    <xf numFmtId="0" fontId="7" fillId="0" borderId="0" xfId="0" applyFont="1"/>
    <xf numFmtId="0" fontId="7" fillId="0" borderId="0" xfId="0" applyFont="1" applyAlignment="1">
      <alignment horizontal="center"/>
    </xf>
    <xf numFmtId="0" fontId="8" fillId="0" borderId="0" xfId="0" applyFont="1"/>
    <xf numFmtId="0" fontId="9" fillId="2" borderId="1" xfId="0" applyFont="1" applyFill="1" applyBorder="1" applyAlignment="1">
      <alignment horizontal="center" vertical="top" wrapText="1"/>
    </xf>
    <xf numFmtId="14" fontId="9" fillId="2" borderId="1" xfId="0" applyNumberFormat="1" applyFont="1" applyFill="1" applyBorder="1" applyAlignment="1">
      <alignment horizontal="center" vertical="top" wrapText="1"/>
    </xf>
    <xf numFmtId="8" fontId="9" fillId="2" borderId="1" xfId="0" applyNumberFormat="1" applyFont="1" applyFill="1" applyBorder="1" applyAlignment="1">
      <alignment horizontal="center" vertical="top" wrapText="1"/>
    </xf>
    <xf numFmtId="8" fontId="9" fillId="2" borderId="1" xfId="0" applyNumberFormat="1" applyFont="1" applyFill="1" applyBorder="1" applyAlignment="1">
      <alignment horizontal="right" vertical="top" wrapText="1"/>
    </xf>
    <xf numFmtId="164" fontId="9" fillId="2" borderId="1" xfId="0" applyNumberFormat="1" applyFont="1" applyFill="1" applyBorder="1" applyAlignment="1">
      <alignment horizontal="center" vertical="top" wrapText="1"/>
    </xf>
    <xf numFmtId="164" fontId="9" fillId="2" borderId="1" xfId="0" applyNumberFormat="1" applyFont="1" applyFill="1" applyBorder="1" applyAlignment="1">
      <alignment vertical="top" wrapText="1"/>
    </xf>
    <xf numFmtId="0" fontId="8" fillId="3" borderId="0" xfId="0" applyFont="1" applyFill="1"/>
    <xf numFmtId="0" fontId="9" fillId="0" borderId="1" xfId="0" applyFont="1" applyBorder="1" applyAlignment="1">
      <alignment horizontal="center" vertical="top" wrapText="1"/>
    </xf>
    <xf numFmtId="0" fontId="9" fillId="0" borderId="1" xfId="0" applyFont="1" applyBorder="1" applyAlignment="1">
      <alignment vertical="top" wrapText="1"/>
    </xf>
    <xf numFmtId="14" fontId="9" fillId="0" borderId="1" xfId="0" applyNumberFormat="1" applyFont="1" applyBorder="1" applyAlignment="1">
      <alignment horizontal="center" vertical="top" wrapText="1"/>
    </xf>
    <xf numFmtId="8" fontId="9" fillId="0" borderId="1" xfId="0" applyNumberFormat="1" applyFont="1" applyBorder="1" applyAlignment="1">
      <alignment horizontal="right" vertical="top" wrapText="1"/>
    </xf>
    <xf numFmtId="0" fontId="9" fillId="4" borderId="1" xfId="0" applyFont="1" applyFill="1" applyBorder="1" applyAlignment="1">
      <alignment horizontal="center" vertical="top" wrapText="1"/>
    </xf>
    <xf numFmtId="0" fontId="9" fillId="4" borderId="1" xfId="0" applyFont="1" applyFill="1" applyBorder="1" applyAlignment="1">
      <alignment vertical="top" wrapText="1"/>
    </xf>
    <xf numFmtId="164" fontId="9" fillId="4" borderId="1" xfId="0" applyNumberFormat="1" applyFont="1" applyFill="1" applyBorder="1" applyAlignment="1">
      <alignment horizontal="center" vertical="top" wrapText="1"/>
    </xf>
    <xf numFmtId="164" fontId="9" fillId="4" borderId="1" xfId="0" applyNumberFormat="1" applyFont="1" applyFill="1" applyBorder="1" applyAlignment="1">
      <alignment vertical="top" wrapText="1"/>
    </xf>
    <xf numFmtId="8" fontId="9" fillId="4" borderId="1" xfId="0" applyNumberFormat="1" applyFont="1" applyFill="1" applyBorder="1" applyAlignment="1">
      <alignment horizontal="right" vertical="top" wrapText="1"/>
    </xf>
    <xf numFmtId="8" fontId="9" fillId="0" borderId="1" xfId="0" applyNumberFormat="1" applyFont="1" applyBorder="1" applyAlignment="1">
      <alignment horizontal="center" vertical="top" wrapText="1"/>
    </xf>
    <xf numFmtId="0" fontId="10" fillId="0" borderId="0" xfId="0" applyFont="1" applyAlignment="1">
      <alignment horizontal="center"/>
    </xf>
    <xf numFmtId="0" fontId="11" fillId="0" borderId="0" xfId="0" applyFont="1"/>
    <xf numFmtId="0" fontId="11" fillId="0" borderId="0" xfId="0" applyFont="1" applyAlignment="1">
      <alignment horizontal="center"/>
    </xf>
    <xf numFmtId="0" fontId="12" fillId="0" borderId="0" xfId="0" applyFont="1" applyAlignment="1">
      <alignment horizontal="center"/>
    </xf>
    <xf numFmtId="0" fontId="12" fillId="0" borderId="0" xfId="0" applyFont="1" applyAlignment="1">
      <alignment horizontal="right"/>
    </xf>
    <xf numFmtId="0" fontId="12" fillId="0" borderId="0" xfId="0" applyFont="1"/>
    <xf numFmtId="0" fontId="13" fillId="0" borderId="0" xfId="0" applyFont="1" applyAlignment="1">
      <alignment horizontal="center"/>
    </xf>
    <xf numFmtId="8" fontId="9" fillId="0" borderId="0" xfId="0" applyNumberFormat="1" applyFont="1" applyAlignment="1">
      <alignment horizontal="right"/>
    </xf>
    <xf numFmtId="0" fontId="13" fillId="0" borderId="0" xfId="0" applyFont="1"/>
    <xf numFmtId="0" fontId="13" fillId="0" borderId="0" xfId="0" applyFont="1" applyAlignment="1">
      <alignment horizontal="left"/>
    </xf>
    <xf numFmtId="0" fontId="13" fillId="0" borderId="0" xfId="0" applyFont="1" applyAlignment="1">
      <alignment horizontal="right"/>
    </xf>
    <xf numFmtId="0" fontId="0" fillId="0" borderId="0" xfId="0" applyAlignment="1">
      <alignment horizontal="center"/>
    </xf>
    <xf numFmtId="0" fontId="0" fillId="0" borderId="0" xfId="0" applyAlignment="1">
      <alignment horizontal="right"/>
    </xf>
    <xf numFmtId="0" fontId="14" fillId="0" borderId="0" xfId="0" applyFont="1"/>
    <xf numFmtId="0" fontId="14" fillId="0" borderId="1" xfId="0" applyFont="1" applyBorder="1"/>
    <xf numFmtId="44" fontId="14" fillId="0" borderId="1" xfId="1" applyFont="1" applyBorder="1"/>
    <xf numFmtId="0" fontId="16" fillId="5" borderId="0" xfId="0" applyFont="1" applyFill="1" applyAlignment="1">
      <alignment horizontal="right"/>
    </xf>
    <xf numFmtId="44" fontId="16" fillId="5" borderId="0" xfId="1" applyFont="1" applyFill="1"/>
    <xf numFmtId="0" fontId="18" fillId="2" borderId="1" xfId="0" applyFont="1" applyFill="1" applyBorder="1" applyAlignment="1">
      <alignment vertical="top" wrapText="1"/>
    </xf>
    <xf numFmtId="0" fontId="19" fillId="0" borderId="1" xfId="0" applyFont="1" applyBorder="1" applyAlignment="1">
      <alignment horizontal="center" vertical="top" wrapText="1"/>
    </xf>
    <xf numFmtId="0" fontId="19" fillId="0" borderId="1" xfId="0" applyFont="1" applyBorder="1" applyAlignment="1">
      <alignment vertical="top" wrapText="1"/>
    </xf>
    <xf numFmtId="44" fontId="19" fillId="0" borderId="1" xfId="1" applyFont="1" applyBorder="1" applyAlignment="1">
      <alignment horizontal="center" vertical="top" wrapText="1"/>
    </xf>
    <xf numFmtId="0" fontId="19" fillId="0" borderId="1" xfId="0" applyFont="1" applyBorder="1" applyAlignment="1">
      <alignment horizontal="right" vertical="top" wrapText="1"/>
    </xf>
    <xf numFmtId="0" fontId="9" fillId="8" borderId="1" xfId="0" applyFont="1" applyFill="1" applyBorder="1" applyAlignment="1">
      <alignment horizontal="center" vertical="top" wrapText="1"/>
    </xf>
    <xf numFmtId="0" fontId="18" fillId="8" borderId="1" xfId="0" applyFont="1" applyFill="1" applyBorder="1" applyAlignment="1">
      <alignment vertical="top" wrapText="1"/>
    </xf>
    <xf numFmtId="14" fontId="9" fillId="8" borderId="1" xfId="0" applyNumberFormat="1" applyFont="1" applyFill="1" applyBorder="1" applyAlignment="1">
      <alignment horizontal="center" vertical="top" wrapText="1"/>
    </xf>
    <xf numFmtId="164" fontId="9" fillId="8" borderId="1" xfId="0" applyNumberFormat="1" applyFont="1" applyFill="1" applyBorder="1" applyAlignment="1">
      <alignment horizontal="center" vertical="top" wrapText="1"/>
    </xf>
    <xf numFmtId="164" fontId="9" fillId="8" borderId="1" xfId="0" applyNumberFormat="1" applyFont="1" applyFill="1" applyBorder="1" applyAlignment="1">
      <alignment vertical="top" wrapText="1"/>
    </xf>
    <xf numFmtId="8" fontId="9" fillId="8" borderId="1" xfId="0" applyNumberFormat="1" applyFont="1" applyFill="1" applyBorder="1" applyAlignment="1">
      <alignment horizontal="right" vertical="top" wrapText="1"/>
    </xf>
    <xf numFmtId="8" fontId="9" fillId="8" borderId="1" xfId="0" applyNumberFormat="1" applyFont="1" applyFill="1" applyBorder="1" applyAlignment="1">
      <alignment horizontal="center" vertical="top" wrapText="1"/>
    </xf>
    <xf numFmtId="164" fontId="9" fillId="0" borderId="1" xfId="0" applyNumberFormat="1" applyFont="1" applyBorder="1" applyAlignment="1">
      <alignment horizontal="center" vertical="top" wrapText="1"/>
    </xf>
    <xf numFmtId="164" fontId="9" fillId="0" borderId="1" xfId="0" applyNumberFormat="1" applyFont="1" applyBorder="1" applyAlignment="1">
      <alignment vertical="top" wrapText="1"/>
    </xf>
    <xf numFmtId="0" fontId="21" fillId="11" borderId="8" xfId="0" applyFont="1" applyFill="1" applyBorder="1" applyAlignment="1">
      <alignment horizontal="center" vertical="center" wrapText="1"/>
    </xf>
    <xf numFmtId="0" fontId="7" fillId="0" borderId="0" xfId="0" applyFont="1" applyAlignment="1">
      <alignment horizontal="center" vertical="center"/>
    </xf>
    <xf numFmtId="0" fontId="6" fillId="0" borderId="0" xfId="0" applyFont="1" applyAlignment="1">
      <alignment horizontal="center" vertical="center" wrapText="1"/>
    </xf>
    <xf numFmtId="44" fontId="20" fillId="0" borderId="0" xfId="1" applyFont="1" applyAlignment="1">
      <alignment vertical="center" wrapText="1"/>
    </xf>
    <xf numFmtId="0" fontId="18" fillId="0" borderId="1" xfId="0" applyFont="1" applyBorder="1" applyAlignment="1">
      <alignment vertical="top" wrapText="1"/>
    </xf>
    <xf numFmtId="0" fontId="23" fillId="0" borderId="0" xfId="0" applyFont="1"/>
    <xf numFmtId="0" fontId="23" fillId="9" borderId="1" xfId="0" applyFont="1" applyFill="1" applyBorder="1"/>
    <xf numFmtId="0" fontId="23" fillId="9" borderId="10" xfId="0" applyFont="1" applyFill="1" applyBorder="1" applyAlignment="1">
      <alignment horizontal="center"/>
    </xf>
    <xf numFmtId="164" fontId="23" fillId="9" borderId="10" xfId="0" applyNumberFormat="1" applyFont="1" applyFill="1" applyBorder="1"/>
    <xf numFmtId="0" fontId="26" fillId="0" borderId="0" xfId="0" applyFont="1" applyAlignment="1">
      <alignment horizontal="center"/>
    </xf>
    <xf numFmtId="0" fontId="14" fillId="18" borderId="0" xfId="0" applyFont="1" applyFill="1"/>
    <xf numFmtId="0" fontId="16" fillId="18" borderId="0" xfId="0" applyFont="1" applyFill="1"/>
    <xf numFmtId="0" fontId="29" fillId="0" borderId="0" xfId="0" applyFont="1" applyAlignment="1">
      <alignment horizontal="center" vertical="center" wrapText="1"/>
    </xf>
    <xf numFmtId="0" fontId="30" fillId="0" borderId="11" xfId="0" applyFont="1" applyBorder="1" applyAlignment="1">
      <alignment vertical="top" wrapText="1"/>
    </xf>
    <xf numFmtId="165" fontId="0" fillId="0" borderId="11" xfId="0" applyNumberFormat="1" applyBorder="1" applyAlignment="1">
      <alignment vertical="top" wrapText="1"/>
    </xf>
    <xf numFmtId="166" fontId="30" fillId="0" borderId="11" xfId="0" applyNumberFormat="1" applyFont="1" applyBorder="1" applyAlignment="1">
      <alignment vertical="top" wrapText="1"/>
    </xf>
    <xf numFmtId="165" fontId="31" fillId="0" borderId="11" xfId="0" applyNumberFormat="1" applyFont="1" applyBorder="1" applyAlignment="1">
      <alignment vertical="top" wrapText="1"/>
    </xf>
    <xf numFmtId="44" fontId="14" fillId="0" borderId="0" xfId="1" applyFont="1"/>
    <xf numFmtId="0" fontId="32" fillId="0" borderId="0" xfId="0" applyFont="1"/>
    <xf numFmtId="0" fontId="28" fillId="0" borderId="0" xfId="2"/>
    <xf numFmtId="0" fontId="34" fillId="20" borderId="0" xfId="2" applyFont="1" applyFill="1" applyAlignment="1">
      <alignment wrapText="1"/>
    </xf>
    <xf numFmtId="0" fontId="33" fillId="19" borderId="0" xfId="2" applyFont="1" applyFill="1" applyAlignment="1">
      <alignment horizontal="center" vertical="center" wrapText="1"/>
    </xf>
    <xf numFmtId="167" fontId="23" fillId="0" borderId="0" xfId="0" applyNumberFormat="1" applyFont="1"/>
    <xf numFmtId="167" fontId="23" fillId="9" borderId="10" xfId="0" applyNumberFormat="1" applyFont="1" applyFill="1" applyBorder="1"/>
    <xf numFmtId="167" fontId="0" fillId="0" borderId="0" xfId="0" applyNumberFormat="1"/>
    <xf numFmtId="0" fontId="35" fillId="21" borderId="0" xfId="2" applyFont="1" applyFill="1" applyAlignment="1">
      <alignment horizontal="center" vertical="center" wrapText="1"/>
    </xf>
    <xf numFmtId="0" fontId="35" fillId="21" borderId="0" xfId="0" applyFont="1" applyFill="1"/>
    <xf numFmtId="0" fontId="0" fillId="0" borderId="0" xfId="0" applyAlignment="1">
      <alignment wrapText="1"/>
    </xf>
    <xf numFmtId="0" fontId="23" fillId="23" borderId="1" xfId="0" applyFont="1" applyFill="1" applyBorder="1"/>
    <xf numFmtId="167" fontId="23" fillId="23" borderId="10" xfId="0" applyNumberFormat="1" applyFont="1" applyFill="1" applyBorder="1"/>
    <xf numFmtId="164" fontId="23" fillId="23" borderId="10" xfId="0" applyNumberFormat="1" applyFont="1" applyFill="1" applyBorder="1"/>
    <xf numFmtId="0" fontId="14" fillId="23" borderId="1" xfId="0" applyFont="1" applyFill="1" applyBorder="1"/>
    <xf numFmtId="0" fontId="38" fillId="0" borderId="0" xfId="0" applyFont="1"/>
    <xf numFmtId="0" fontId="33" fillId="0" borderId="0" xfId="0" applyFont="1" applyAlignment="1">
      <alignment horizontal="center" vertical="center" wrapText="1"/>
    </xf>
    <xf numFmtId="164" fontId="23" fillId="2" borderId="10" xfId="0" applyNumberFormat="1" applyFont="1" applyFill="1" applyBorder="1" applyAlignment="1">
      <alignment horizontal="center"/>
    </xf>
    <xf numFmtId="164" fontId="23" fillId="2" borderId="10" xfId="0" applyNumberFormat="1" applyFont="1" applyFill="1" applyBorder="1"/>
    <xf numFmtId="164" fontId="23" fillId="10" borderId="10" xfId="0" applyNumberFormat="1" applyFont="1" applyFill="1" applyBorder="1" applyAlignment="1">
      <alignment horizontal="center"/>
    </xf>
    <xf numFmtId="164" fontId="23" fillId="10" borderId="10" xfId="0" applyNumberFormat="1" applyFont="1" applyFill="1" applyBorder="1"/>
    <xf numFmtId="0" fontId="15" fillId="0" borderId="0" xfId="0" applyFont="1"/>
    <xf numFmtId="0" fontId="23" fillId="16" borderId="1" xfId="0" applyFont="1" applyFill="1" applyBorder="1"/>
    <xf numFmtId="0" fontId="23" fillId="16" borderId="10" xfId="0" applyFont="1" applyFill="1" applyBorder="1" applyAlignment="1">
      <alignment horizontal="center"/>
    </xf>
    <xf numFmtId="167" fontId="23" fillId="16" borderId="10" xfId="0" applyNumberFormat="1" applyFont="1" applyFill="1" applyBorder="1"/>
    <xf numFmtId="164" fontId="23" fillId="16" borderId="10" xfId="0" applyNumberFormat="1" applyFont="1" applyFill="1" applyBorder="1"/>
    <xf numFmtId="0" fontId="23" fillId="18" borderId="1" xfId="0" applyFont="1" applyFill="1" applyBorder="1"/>
    <xf numFmtId="167" fontId="23" fillId="18" borderId="10" xfId="0" applyNumberFormat="1" applyFont="1" applyFill="1" applyBorder="1"/>
    <xf numFmtId="164" fontId="23" fillId="18" borderId="10" xfId="0" applyNumberFormat="1" applyFont="1" applyFill="1" applyBorder="1"/>
    <xf numFmtId="0" fontId="23" fillId="18" borderId="0" xfId="0" applyFont="1" applyFill="1"/>
    <xf numFmtId="0" fontId="23" fillId="24" borderId="1" xfId="0" applyFont="1" applyFill="1" applyBorder="1"/>
    <xf numFmtId="167" fontId="23" fillId="24" borderId="10" xfId="0" applyNumberFormat="1" applyFont="1" applyFill="1" applyBorder="1"/>
    <xf numFmtId="164" fontId="23" fillId="24" borderId="10" xfId="0" applyNumberFormat="1" applyFont="1" applyFill="1" applyBorder="1"/>
    <xf numFmtId="0" fontId="23" fillId="24" borderId="0" xfId="0" applyFont="1" applyFill="1"/>
    <xf numFmtId="0" fontId="23" fillId="5" borderId="1" xfId="0" applyFont="1" applyFill="1" applyBorder="1"/>
    <xf numFmtId="0" fontId="23" fillId="5" borderId="10" xfId="0" applyFont="1" applyFill="1" applyBorder="1" applyAlignment="1">
      <alignment horizontal="center"/>
    </xf>
    <xf numFmtId="167" fontId="23" fillId="5" borderId="10" xfId="0" applyNumberFormat="1" applyFont="1" applyFill="1" applyBorder="1"/>
    <xf numFmtId="164" fontId="23" fillId="5" borderId="10" xfId="0" applyNumberFormat="1" applyFont="1" applyFill="1" applyBorder="1"/>
    <xf numFmtId="0" fontId="23" fillId="25" borderId="1" xfId="0" applyFont="1" applyFill="1" applyBorder="1"/>
    <xf numFmtId="0" fontId="23" fillId="25" borderId="10" xfId="0" applyFont="1" applyFill="1" applyBorder="1" applyAlignment="1">
      <alignment horizontal="center"/>
    </xf>
    <xf numFmtId="167" fontId="23" fillId="25" borderId="10" xfId="0" applyNumberFormat="1" applyFont="1" applyFill="1" applyBorder="1"/>
    <xf numFmtId="164" fontId="23" fillId="25" borderId="10" xfId="0" applyNumberFormat="1" applyFont="1" applyFill="1" applyBorder="1"/>
    <xf numFmtId="164" fontId="23" fillId="0" borderId="0" xfId="0" applyNumberFormat="1" applyFont="1"/>
    <xf numFmtId="0" fontId="23" fillId="26" borderId="1" xfId="0" applyFont="1" applyFill="1" applyBorder="1"/>
    <xf numFmtId="0" fontId="23" fillId="26" borderId="10" xfId="0" applyFont="1" applyFill="1" applyBorder="1" applyAlignment="1">
      <alignment horizontal="center"/>
    </xf>
    <xf numFmtId="167" fontId="23" fillId="26" borderId="10" xfId="0" applyNumberFormat="1" applyFont="1" applyFill="1" applyBorder="1"/>
    <xf numFmtId="164" fontId="23" fillId="26" borderId="10" xfId="0" applyNumberFormat="1" applyFont="1" applyFill="1" applyBorder="1"/>
    <xf numFmtId="0" fontId="23" fillId="23" borderId="14" xfId="0" applyFont="1" applyFill="1" applyBorder="1"/>
    <xf numFmtId="0" fontId="23" fillId="16" borderId="9" xfId="0" applyFont="1" applyFill="1" applyBorder="1"/>
    <xf numFmtId="0" fontId="23" fillId="18" borderId="9" xfId="0" applyFont="1" applyFill="1" applyBorder="1"/>
    <xf numFmtId="0" fontId="23" fillId="24" borderId="9" xfId="0" applyFont="1" applyFill="1" applyBorder="1"/>
    <xf numFmtId="0" fontId="23" fillId="5" borderId="9" xfId="0" applyFont="1" applyFill="1" applyBorder="1"/>
    <xf numFmtId="0" fontId="23" fillId="9" borderId="9" xfId="0" applyFont="1" applyFill="1" applyBorder="1"/>
    <xf numFmtId="0" fontId="23" fillId="25" borderId="9" xfId="0" applyFont="1" applyFill="1" applyBorder="1"/>
    <xf numFmtId="0" fontId="23" fillId="26" borderId="9" xfId="0" applyFont="1" applyFill="1" applyBorder="1"/>
    <xf numFmtId="0" fontId="23" fillId="18" borderId="8" xfId="0" applyFont="1" applyFill="1" applyBorder="1"/>
    <xf numFmtId="0" fontId="23" fillId="18" borderId="13" xfId="0" applyFont="1" applyFill="1" applyBorder="1"/>
    <xf numFmtId="0" fontId="23" fillId="18" borderId="8" xfId="0" applyFont="1" applyFill="1" applyBorder="1" applyAlignment="1">
      <alignment horizontal="right"/>
    </xf>
    <xf numFmtId="0" fontId="36" fillId="18" borderId="7" xfId="0" applyFont="1" applyFill="1" applyBorder="1" applyAlignment="1">
      <alignment horizontal="left"/>
    </xf>
    <xf numFmtId="0" fontId="36" fillId="18" borderId="8" xfId="0" applyFont="1" applyFill="1" applyBorder="1" applyAlignment="1">
      <alignment horizontal="left"/>
    </xf>
    <xf numFmtId="0" fontId="36" fillId="25" borderId="7" xfId="0" applyFont="1" applyFill="1" applyBorder="1" applyAlignment="1">
      <alignment horizontal="left"/>
    </xf>
    <xf numFmtId="0" fontId="23" fillId="25" borderId="8" xfId="0" applyFont="1" applyFill="1" applyBorder="1" applyAlignment="1">
      <alignment horizontal="right"/>
    </xf>
    <xf numFmtId="0" fontId="36" fillId="25" borderId="8" xfId="0" applyFont="1" applyFill="1" applyBorder="1" applyAlignment="1">
      <alignment horizontal="left"/>
    </xf>
    <xf numFmtId="0" fontId="23" fillId="25" borderId="8" xfId="0" applyFont="1" applyFill="1" applyBorder="1"/>
    <xf numFmtId="0" fontId="23" fillId="25" borderId="13" xfId="0" applyFont="1" applyFill="1" applyBorder="1"/>
    <xf numFmtId="0" fontId="36" fillId="9" borderId="7" xfId="0" applyFont="1" applyFill="1" applyBorder="1" applyAlignment="1">
      <alignment horizontal="left"/>
    </xf>
    <xf numFmtId="0" fontId="23" fillId="9" borderId="8" xfId="0" applyFont="1" applyFill="1" applyBorder="1" applyAlignment="1">
      <alignment horizontal="right"/>
    </xf>
    <xf numFmtId="0" fontId="36" fillId="9" borderId="8" xfId="0" applyFont="1" applyFill="1" applyBorder="1" applyAlignment="1">
      <alignment horizontal="left"/>
    </xf>
    <xf numFmtId="0" fontId="23" fillId="9" borderId="8" xfId="0" applyFont="1" applyFill="1" applyBorder="1"/>
    <xf numFmtId="0" fontId="23" fillId="9" borderId="13" xfId="0" applyFont="1" applyFill="1" applyBorder="1"/>
    <xf numFmtId="0" fontId="36" fillId="16" borderId="7" xfId="0" applyFont="1" applyFill="1" applyBorder="1" applyAlignment="1">
      <alignment horizontal="left"/>
    </xf>
    <xf numFmtId="0" fontId="23" fillId="16" borderId="8" xfId="0" applyFont="1" applyFill="1" applyBorder="1" applyAlignment="1">
      <alignment horizontal="right"/>
    </xf>
    <xf numFmtId="0" fontId="36" fillId="16" borderId="8" xfId="0" applyFont="1" applyFill="1" applyBorder="1" applyAlignment="1">
      <alignment horizontal="left"/>
    </xf>
    <xf numFmtId="0" fontId="23" fillId="16" borderId="8" xfId="0" applyFont="1" applyFill="1" applyBorder="1"/>
    <xf numFmtId="0" fontId="23" fillId="16" borderId="13" xfId="0" applyFont="1" applyFill="1" applyBorder="1"/>
    <xf numFmtId="0" fontId="36" fillId="5" borderId="7" xfId="0" applyFont="1" applyFill="1" applyBorder="1" applyAlignment="1">
      <alignment horizontal="left"/>
    </xf>
    <xf numFmtId="0" fontId="23" fillId="5" borderId="8" xfId="0" applyFont="1" applyFill="1" applyBorder="1" applyAlignment="1">
      <alignment horizontal="right"/>
    </xf>
    <xf numFmtId="0" fontId="36" fillId="5" borderId="8" xfId="0" applyFont="1" applyFill="1" applyBorder="1" applyAlignment="1">
      <alignment horizontal="left"/>
    </xf>
    <xf numFmtId="0" fontId="23" fillId="5" borderId="8" xfId="0" applyFont="1" applyFill="1" applyBorder="1"/>
    <xf numFmtId="0" fontId="23" fillId="5" borderId="13" xfId="0" applyFont="1" applyFill="1" applyBorder="1"/>
    <xf numFmtId="0" fontId="36" fillId="24" borderId="7" xfId="0" applyFont="1" applyFill="1" applyBorder="1" applyAlignment="1">
      <alignment horizontal="left"/>
    </xf>
    <xf numFmtId="0" fontId="23" fillId="24" borderId="8" xfId="0" applyFont="1" applyFill="1" applyBorder="1" applyAlignment="1">
      <alignment horizontal="right"/>
    </xf>
    <xf numFmtId="0" fontId="36" fillId="24" borderId="8" xfId="0" applyFont="1" applyFill="1" applyBorder="1" applyAlignment="1">
      <alignment horizontal="left"/>
    </xf>
    <xf numFmtId="0" fontId="23" fillId="24" borderId="8" xfId="0" applyFont="1" applyFill="1" applyBorder="1"/>
    <xf numFmtId="0" fontId="23" fillId="24" borderId="13" xfId="0" applyFont="1" applyFill="1" applyBorder="1"/>
    <xf numFmtId="168" fontId="23" fillId="16" borderId="8" xfId="0" applyNumberFormat="1" applyFont="1" applyFill="1" applyBorder="1"/>
    <xf numFmtId="168" fontId="23" fillId="18" borderId="8" xfId="0" applyNumberFormat="1" applyFont="1" applyFill="1" applyBorder="1"/>
    <xf numFmtId="168" fontId="23" fillId="24" borderId="8" xfId="0" applyNumberFormat="1" applyFont="1" applyFill="1" applyBorder="1"/>
    <xf numFmtId="168" fontId="23" fillId="5" borderId="8" xfId="0" applyNumberFormat="1" applyFont="1" applyFill="1" applyBorder="1"/>
    <xf numFmtId="168" fontId="23" fillId="9" borderId="8" xfId="0" applyNumberFormat="1" applyFont="1" applyFill="1" applyBorder="1"/>
    <xf numFmtId="168" fontId="23" fillId="25" borderId="8" xfId="0" applyNumberFormat="1" applyFont="1" applyFill="1" applyBorder="1"/>
    <xf numFmtId="0" fontId="40" fillId="26" borderId="10" xfId="0" applyFont="1" applyFill="1" applyBorder="1"/>
    <xf numFmtId="168" fontId="40" fillId="26" borderId="10" xfId="0" applyNumberFormat="1" applyFont="1" applyFill="1" applyBorder="1"/>
    <xf numFmtId="0" fontId="40" fillId="25" borderId="10" xfId="0" applyFont="1" applyFill="1" applyBorder="1"/>
    <xf numFmtId="168" fontId="40" fillId="25" borderId="10" xfId="0" applyNumberFormat="1" applyFont="1" applyFill="1" applyBorder="1"/>
    <xf numFmtId="0" fontId="40" fillId="9" borderId="10" xfId="0" applyFont="1" applyFill="1" applyBorder="1"/>
    <xf numFmtId="168" fontId="40" fillId="9" borderId="10" xfId="0" applyNumberFormat="1" applyFont="1" applyFill="1" applyBorder="1"/>
    <xf numFmtId="0" fontId="40" fillId="16" borderId="10" xfId="0" applyFont="1" applyFill="1" applyBorder="1"/>
    <xf numFmtId="168" fontId="40" fillId="16" borderId="10" xfId="0" applyNumberFormat="1" applyFont="1" applyFill="1" applyBorder="1"/>
    <xf numFmtId="0" fontId="40" fillId="5" borderId="10" xfId="0" applyFont="1" applyFill="1" applyBorder="1"/>
    <xf numFmtId="168" fontId="40" fillId="5" borderId="10" xfId="0" applyNumberFormat="1" applyFont="1" applyFill="1" applyBorder="1"/>
    <xf numFmtId="0" fontId="40" fillId="24" borderId="10" xfId="0" applyFont="1" applyFill="1" applyBorder="1"/>
    <xf numFmtId="0" fontId="40" fillId="24" borderId="10" xfId="0" applyFont="1" applyFill="1" applyBorder="1" applyAlignment="1">
      <alignment horizontal="center"/>
    </xf>
    <xf numFmtId="0" fontId="40" fillId="18" borderId="10" xfId="0" applyFont="1" applyFill="1" applyBorder="1"/>
    <xf numFmtId="0" fontId="40" fillId="18" borderId="10" xfId="0" applyFont="1" applyFill="1" applyBorder="1" applyAlignment="1">
      <alignment horizontal="center"/>
    </xf>
    <xf numFmtId="168" fontId="40" fillId="18" borderId="10" xfId="0" applyNumberFormat="1" applyFont="1" applyFill="1" applyBorder="1"/>
    <xf numFmtId="0" fontId="40" fillId="16" borderId="10" xfId="0" applyFont="1" applyFill="1" applyBorder="1" applyAlignment="1">
      <alignment horizontal="center"/>
    </xf>
    <xf numFmtId="168" fontId="40" fillId="23" borderId="10" xfId="0" applyNumberFormat="1" applyFont="1" applyFill="1" applyBorder="1"/>
    <xf numFmtId="0" fontId="40" fillId="23" borderId="10" xfId="0" applyFont="1" applyFill="1" applyBorder="1" applyAlignment="1">
      <alignment horizontal="center"/>
    </xf>
    <xf numFmtId="168" fontId="40" fillId="24" borderId="10" xfId="0" applyNumberFormat="1" applyFont="1" applyFill="1" applyBorder="1"/>
    <xf numFmtId="0" fontId="24" fillId="18" borderId="15" xfId="0" applyFont="1" applyFill="1" applyBorder="1" applyAlignment="1">
      <alignment horizontal="center"/>
    </xf>
    <xf numFmtId="0" fontId="24" fillId="18" borderId="15" xfId="0" applyFont="1" applyFill="1" applyBorder="1"/>
    <xf numFmtId="0" fontId="42" fillId="27" borderId="0" xfId="0" applyFont="1" applyFill="1" applyAlignment="1">
      <alignment horizontal="center"/>
    </xf>
    <xf numFmtId="165" fontId="43" fillId="0" borderId="11" xfId="0" applyNumberFormat="1" applyFont="1" applyBorder="1" applyAlignment="1">
      <alignment vertical="top" wrapText="1"/>
    </xf>
    <xf numFmtId="0" fontId="45" fillId="22" borderId="0" xfId="0" applyFont="1" applyFill="1" applyAlignment="1">
      <alignment horizontal="center"/>
    </xf>
    <xf numFmtId="0" fontId="46" fillId="17" borderId="18" xfId="0" applyFont="1" applyFill="1" applyBorder="1" applyAlignment="1">
      <alignment horizontal="center"/>
    </xf>
    <xf numFmtId="0" fontId="46" fillId="17" borderId="19" xfId="0" applyFont="1" applyFill="1" applyBorder="1" applyAlignment="1">
      <alignment horizontal="center"/>
    </xf>
    <xf numFmtId="0" fontId="14" fillId="0" borderId="18" xfId="0" applyFont="1" applyBorder="1"/>
    <xf numFmtId="0" fontId="14" fillId="0" borderId="19" xfId="0" applyFont="1" applyBorder="1"/>
    <xf numFmtId="0" fontId="14" fillId="28" borderId="18" xfId="0" applyFont="1" applyFill="1" applyBorder="1"/>
    <xf numFmtId="164" fontId="14" fillId="28" borderId="19" xfId="0" applyNumberFormat="1" applyFont="1" applyFill="1" applyBorder="1"/>
    <xf numFmtId="0" fontId="14" fillId="16" borderId="18" xfId="0" applyFont="1" applyFill="1" applyBorder="1"/>
    <xf numFmtId="164" fontId="14" fillId="16" borderId="19" xfId="0" applyNumberFormat="1" applyFont="1" applyFill="1" applyBorder="1"/>
    <xf numFmtId="0" fontId="14" fillId="18" borderId="18" xfId="0" applyFont="1" applyFill="1" applyBorder="1"/>
    <xf numFmtId="164" fontId="14" fillId="18" borderId="19" xfId="0" applyNumberFormat="1" applyFont="1" applyFill="1" applyBorder="1"/>
    <xf numFmtId="0" fontId="14" fillId="24" borderId="18" xfId="0" applyFont="1" applyFill="1" applyBorder="1"/>
    <xf numFmtId="164" fontId="14" fillId="24" borderId="19" xfId="0" applyNumberFormat="1" applyFont="1" applyFill="1" applyBorder="1"/>
    <xf numFmtId="0" fontId="14" fillId="5" borderId="18" xfId="0" applyFont="1" applyFill="1" applyBorder="1"/>
    <xf numFmtId="164" fontId="14" fillId="5" borderId="19" xfId="0" applyNumberFormat="1" applyFont="1" applyFill="1" applyBorder="1"/>
    <xf numFmtId="0" fontId="14" fillId="9" borderId="18" xfId="0" applyFont="1" applyFill="1" applyBorder="1"/>
    <xf numFmtId="164" fontId="14" fillId="9" borderId="19" xfId="0" applyNumberFormat="1" applyFont="1" applyFill="1" applyBorder="1"/>
    <xf numFmtId="0" fontId="14" fillId="25" borderId="18" xfId="0" applyFont="1" applyFill="1" applyBorder="1"/>
    <xf numFmtId="164" fontId="14" fillId="25" borderId="19" xfId="0" applyNumberFormat="1" applyFont="1" applyFill="1" applyBorder="1"/>
    <xf numFmtId="0" fontId="14" fillId="26" borderId="18" xfId="0" applyFont="1" applyFill="1" applyBorder="1"/>
    <xf numFmtId="164" fontId="14" fillId="26" borderId="20" xfId="0" applyNumberFormat="1" applyFont="1" applyFill="1" applyBorder="1"/>
    <xf numFmtId="0" fontId="14" fillId="2" borderId="18" xfId="0" applyFont="1" applyFill="1" applyBorder="1" applyAlignment="1">
      <alignment horizontal="right"/>
    </xf>
    <xf numFmtId="44" fontId="48" fillId="2" borderId="19" xfId="1" applyFont="1" applyFill="1" applyBorder="1"/>
    <xf numFmtId="0" fontId="24" fillId="18" borderId="23" xfId="0" applyFont="1" applyFill="1" applyBorder="1" applyAlignment="1">
      <alignment horizontal="center"/>
    </xf>
    <xf numFmtId="0" fontId="24" fillId="18" borderId="0" xfId="0" applyFont="1" applyFill="1" applyAlignment="1">
      <alignment horizontal="center"/>
    </xf>
    <xf numFmtId="0" fontId="24" fillId="18" borderId="0" xfId="0" applyFont="1" applyFill="1"/>
    <xf numFmtId="0" fontId="24" fillId="22" borderId="0" xfId="0" applyFont="1" applyFill="1" applyAlignment="1">
      <alignment horizontal="center"/>
    </xf>
    <xf numFmtId="9" fontId="24" fillId="22" borderId="0" xfId="3" applyFont="1" applyFill="1" applyBorder="1" applyAlignment="1">
      <alignment horizontal="center"/>
    </xf>
    <xf numFmtId="0" fontId="24" fillId="10" borderId="0" xfId="0" applyFont="1" applyFill="1" applyAlignment="1">
      <alignment horizontal="center"/>
    </xf>
    <xf numFmtId="0" fontId="24" fillId="22" borderId="19" xfId="0" applyFont="1" applyFill="1" applyBorder="1" applyAlignment="1">
      <alignment horizontal="center"/>
    </xf>
    <xf numFmtId="0" fontId="23" fillId="23" borderId="26" xfId="0" applyFont="1" applyFill="1" applyBorder="1"/>
    <xf numFmtId="164" fontId="23" fillId="23" borderId="27" xfId="0" applyNumberFormat="1" applyFont="1" applyFill="1" applyBorder="1"/>
    <xf numFmtId="0" fontId="14" fillId="2" borderId="0" xfId="0" applyFont="1" applyFill="1"/>
    <xf numFmtId="164" fontId="23" fillId="2" borderId="20" xfId="0" applyNumberFormat="1" applyFont="1" applyFill="1" applyBorder="1"/>
    <xf numFmtId="0" fontId="23" fillId="16" borderId="26" xfId="0" applyFont="1" applyFill="1" applyBorder="1"/>
    <xf numFmtId="164" fontId="23" fillId="16" borderId="27" xfId="0" applyNumberFormat="1" applyFont="1" applyFill="1" applyBorder="1"/>
    <xf numFmtId="0" fontId="23" fillId="16" borderId="26" xfId="0" applyFont="1" applyFill="1" applyBorder="1" applyAlignment="1">
      <alignment horizontal="left" indent="1"/>
    </xf>
    <xf numFmtId="0" fontId="23" fillId="16" borderId="26" xfId="0" applyFont="1" applyFill="1" applyBorder="1" applyAlignment="1">
      <alignment horizontal="left"/>
    </xf>
    <xf numFmtId="0" fontId="23" fillId="16" borderId="28" xfId="0" applyFont="1" applyFill="1" applyBorder="1" applyAlignment="1">
      <alignment horizontal="right"/>
    </xf>
    <xf numFmtId="0" fontId="23" fillId="16" borderId="0" xfId="0" applyFont="1" applyFill="1"/>
    <xf numFmtId="0" fontId="36" fillId="16" borderId="0" xfId="0" applyFont="1" applyFill="1"/>
    <xf numFmtId="0" fontId="23" fillId="16" borderId="0" xfId="0" applyFont="1" applyFill="1" applyAlignment="1">
      <alignment horizontal="center"/>
    </xf>
    <xf numFmtId="167" fontId="23" fillId="16" borderId="0" xfId="0" applyNumberFormat="1" applyFont="1" applyFill="1"/>
    <xf numFmtId="164" fontId="23" fillId="16" borderId="0" xfId="0" applyNumberFormat="1" applyFont="1" applyFill="1"/>
    <xf numFmtId="164" fontId="23" fillId="16" borderId="0" xfId="0" applyNumberFormat="1" applyFont="1" applyFill="1" applyAlignment="1">
      <alignment horizontal="center"/>
    </xf>
    <xf numFmtId="164" fontId="23" fillId="16" borderId="19" xfId="0" applyNumberFormat="1" applyFont="1" applyFill="1" applyBorder="1"/>
    <xf numFmtId="0" fontId="23" fillId="16" borderId="25" xfId="0" applyFont="1" applyFill="1" applyBorder="1" applyAlignment="1">
      <alignment horizontal="right"/>
    </xf>
    <xf numFmtId="164" fontId="23" fillId="2" borderId="0" xfId="0" applyNumberFormat="1" applyFont="1" applyFill="1" applyAlignment="1">
      <alignment horizontal="center"/>
    </xf>
    <xf numFmtId="164" fontId="23" fillId="2" borderId="0" xfId="0" applyNumberFormat="1" applyFont="1" applyFill="1"/>
    <xf numFmtId="164" fontId="23" fillId="2" borderId="19" xfId="0" applyNumberFormat="1" applyFont="1" applyFill="1" applyBorder="1"/>
    <xf numFmtId="0" fontId="23" fillId="18" borderId="26" xfId="0" applyFont="1" applyFill="1" applyBorder="1"/>
    <xf numFmtId="164" fontId="23" fillId="18" borderId="27" xfId="0" applyNumberFormat="1" applyFont="1" applyFill="1" applyBorder="1"/>
    <xf numFmtId="0" fontId="23" fillId="18" borderId="26" xfId="0" applyFont="1" applyFill="1" applyBorder="1" applyAlignment="1">
      <alignment horizontal="left" indent="1"/>
    </xf>
    <xf numFmtId="0" fontId="23" fillId="18" borderId="26" xfId="0" applyFont="1" applyFill="1" applyBorder="1" applyAlignment="1">
      <alignment horizontal="left"/>
    </xf>
    <xf numFmtId="0" fontId="23" fillId="18" borderId="28" xfId="0" applyFont="1" applyFill="1" applyBorder="1" applyAlignment="1">
      <alignment horizontal="right"/>
    </xf>
    <xf numFmtId="0" fontId="36" fillId="18" borderId="0" xfId="0" applyFont="1" applyFill="1"/>
    <xf numFmtId="0" fontId="23" fillId="18" borderId="0" xfId="0" applyFont="1" applyFill="1" applyAlignment="1">
      <alignment horizontal="center"/>
    </xf>
    <xf numFmtId="167" fontId="23" fillId="18" borderId="0" xfId="0" applyNumberFormat="1" applyFont="1" applyFill="1"/>
    <xf numFmtId="164" fontId="23" fillId="18" borderId="0" xfId="0" applyNumberFormat="1" applyFont="1" applyFill="1"/>
    <xf numFmtId="164" fontId="23" fillId="18" borderId="0" xfId="0" applyNumberFormat="1" applyFont="1" applyFill="1" applyAlignment="1">
      <alignment horizontal="center"/>
    </xf>
    <xf numFmtId="164" fontId="23" fillId="18" borderId="19" xfId="0" applyNumberFormat="1" applyFont="1" applyFill="1" applyBorder="1"/>
    <xf numFmtId="0" fontId="23" fillId="18" borderId="25" xfId="0" applyFont="1" applyFill="1" applyBorder="1" applyAlignment="1">
      <alignment horizontal="right"/>
    </xf>
    <xf numFmtId="0" fontId="23" fillId="24" borderId="26" xfId="0" applyFont="1" applyFill="1" applyBorder="1"/>
    <xf numFmtId="164" fontId="23" fillId="24" borderId="27" xfId="0" applyNumberFormat="1" applyFont="1" applyFill="1" applyBorder="1"/>
    <xf numFmtId="0" fontId="23" fillId="24" borderId="26" xfId="0" applyFont="1" applyFill="1" applyBorder="1" applyAlignment="1">
      <alignment horizontal="left" indent="1"/>
    </xf>
    <xf numFmtId="0" fontId="23" fillId="24" borderId="26" xfId="0" applyFont="1" applyFill="1" applyBorder="1" applyAlignment="1">
      <alignment horizontal="left"/>
    </xf>
    <xf numFmtId="0" fontId="23" fillId="24" borderId="28" xfId="0" applyFont="1" applyFill="1" applyBorder="1" applyAlignment="1">
      <alignment horizontal="right"/>
    </xf>
    <xf numFmtId="0" fontId="36" fillId="24" borderId="0" xfId="0" applyFont="1" applyFill="1"/>
    <xf numFmtId="0" fontId="23" fillId="24" borderId="0" xfId="0" applyFont="1" applyFill="1" applyAlignment="1">
      <alignment horizontal="center"/>
    </xf>
    <xf numFmtId="167" fontId="23" fillId="24" borderId="0" xfId="0" applyNumberFormat="1" applyFont="1" applyFill="1"/>
    <xf numFmtId="164" fontId="23" fillId="24" borderId="0" xfId="0" applyNumberFormat="1" applyFont="1" applyFill="1"/>
    <xf numFmtId="164" fontId="23" fillId="24" borderId="0" xfId="0" applyNumberFormat="1" applyFont="1" applyFill="1" applyAlignment="1">
      <alignment horizontal="center"/>
    </xf>
    <xf numFmtId="164" fontId="23" fillId="24" borderId="19" xfId="0" applyNumberFormat="1" applyFont="1" applyFill="1" applyBorder="1"/>
    <xf numFmtId="0" fontId="23" fillId="24" borderId="25" xfId="0" applyFont="1" applyFill="1" applyBorder="1" applyAlignment="1">
      <alignment horizontal="right"/>
    </xf>
    <xf numFmtId="0" fontId="23" fillId="5" borderId="26" xfId="0" applyFont="1" applyFill="1" applyBorder="1"/>
    <xf numFmtId="164" fontId="23" fillId="5" borderId="27" xfId="0" applyNumberFormat="1" applyFont="1" applyFill="1" applyBorder="1"/>
    <xf numFmtId="0" fontId="23" fillId="5" borderId="26" xfId="0" applyFont="1" applyFill="1" applyBorder="1" applyAlignment="1">
      <alignment horizontal="left" indent="1"/>
    </xf>
    <xf numFmtId="0" fontId="23" fillId="5" borderId="26" xfId="0" applyFont="1" applyFill="1" applyBorder="1" applyAlignment="1">
      <alignment horizontal="left"/>
    </xf>
    <xf numFmtId="0" fontId="23" fillId="5" borderId="28" xfId="0" applyFont="1" applyFill="1" applyBorder="1" applyAlignment="1">
      <alignment horizontal="right"/>
    </xf>
    <xf numFmtId="0" fontId="23" fillId="5" borderId="0" xfId="0" applyFont="1" applyFill="1"/>
    <xf numFmtId="0" fontId="36" fillId="5" borderId="0" xfId="0" applyFont="1" applyFill="1"/>
    <xf numFmtId="0" fontId="23" fillId="5" borderId="0" xfId="0" applyFont="1" applyFill="1" applyAlignment="1">
      <alignment horizontal="center"/>
    </xf>
    <xf numFmtId="167" fontId="23" fillId="5" borderId="0" xfId="0" applyNumberFormat="1" applyFont="1" applyFill="1"/>
    <xf numFmtId="164" fontId="23" fillId="5" borderId="0" xfId="0" applyNumberFormat="1" applyFont="1" applyFill="1"/>
    <xf numFmtId="164" fontId="23" fillId="5" borderId="0" xfId="0" applyNumberFormat="1" applyFont="1" applyFill="1" applyAlignment="1">
      <alignment horizontal="center"/>
    </xf>
    <xf numFmtId="164" fontId="23" fillId="5" borderId="19" xfId="0" applyNumberFormat="1" applyFont="1" applyFill="1" applyBorder="1"/>
    <xf numFmtId="0" fontId="23" fillId="5" borderId="25" xfId="0" applyFont="1" applyFill="1" applyBorder="1" applyAlignment="1">
      <alignment horizontal="right"/>
    </xf>
    <xf numFmtId="0" fontId="23" fillId="9" borderId="26" xfId="0" applyFont="1" applyFill="1" applyBorder="1"/>
    <xf numFmtId="164" fontId="23" fillId="9" borderId="27" xfId="0" applyNumberFormat="1" applyFont="1" applyFill="1" applyBorder="1"/>
    <xf numFmtId="0" fontId="23" fillId="9" borderId="26" xfId="0" applyFont="1" applyFill="1" applyBorder="1" applyAlignment="1">
      <alignment horizontal="left" indent="1"/>
    </xf>
    <xf numFmtId="0" fontId="23" fillId="9" borderId="26" xfId="0" applyFont="1" applyFill="1" applyBorder="1" applyAlignment="1">
      <alignment horizontal="left"/>
    </xf>
    <xf numFmtId="0" fontId="23" fillId="9" borderId="28" xfId="0" applyFont="1" applyFill="1" applyBorder="1" applyAlignment="1">
      <alignment horizontal="right"/>
    </xf>
    <xf numFmtId="0" fontId="23" fillId="9" borderId="0" xfId="0" applyFont="1" applyFill="1"/>
    <xf numFmtId="0" fontId="36" fillId="9" borderId="0" xfId="0" applyFont="1" applyFill="1"/>
    <xf numFmtId="0" fontId="23" fillId="9" borderId="0" xfId="0" applyFont="1" applyFill="1" applyAlignment="1">
      <alignment horizontal="center"/>
    </xf>
    <xf numFmtId="167" fontId="23" fillId="9" borderId="0" xfId="0" applyNumberFormat="1" applyFont="1" applyFill="1"/>
    <xf numFmtId="164" fontId="23" fillId="9" borderId="0" xfId="0" applyNumberFormat="1" applyFont="1" applyFill="1"/>
    <xf numFmtId="164" fontId="23" fillId="9" borderId="0" xfId="0" applyNumberFormat="1" applyFont="1" applyFill="1" applyAlignment="1">
      <alignment horizontal="center"/>
    </xf>
    <xf numFmtId="164" fontId="23" fillId="9" borderId="19" xfId="0" applyNumberFormat="1" applyFont="1" applyFill="1" applyBorder="1"/>
    <xf numFmtId="0" fontId="23" fillId="9" borderId="25" xfId="0" applyFont="1" applyFill="1" applyBorder="1" applyAlignment="1">
      <alignment horizontal="right"/>
    </xf>
    <xf numFmtId="0" fontId="23" fillId="25" borderId="26" xfId="0" applyFont="1" applyFill="1" applyBorder="1"/>
    <xf numFmtId="164" fontId="23" fillId="25" borderId="27" xfId="0" applyNumberFormat="1" applyFont="1" applyFill="1" applyBorder="1"/>
    <xf numFmtId="0" fontId="23" fillId="25" borderId="26" xfId="0" applyFont="1" applyFill="1" applyBorder="1" applyAlignment="1">
      <alignment horizontal="left" indent="1"/>
    </xf>
    <xf numFmtId="0" fontId="23" fillId="25" borderId="26" xfId="0" applyFont="1" applyFill="1" applyBorder="1" applyAlignment="1">
      <alignment horizontal="left"/>
    </xf>
    <xf numFmtId="0" fontId="23" fillId="25" borderId="28" xfId="0" applyFont="1" applyFill="1" applyBorder="1" applyAlignment="1">
      <alignment horizontal="right"/>
    </xf>
    <xf numFmtId="0" fontId="23" fillId="25" borderId="0" xfId="0" applyFont="1" applyFill="1"/>
    <xf numFmtId="0" fontId="36" fillId="25" borderId="0" xfId="0" applyFont="1" applyFill="1"/>
    <xf numFmtId="0" fontId="23" fillId="25" borderId="0" xfId="0" applyFont="1" applyFill="1" applyAlignment="1">
      <alignment horizontal="center"/>
    </xf>
    <xf numFmtId="167" fontId="23" fillId="25" borderId="0" xfId="0" applyNumberFormat="1" applyFont="1" applyFill="1"/>
    <xf numFmtId="164" fontId="23" fillId="25" borderId="0" xfId="0" applyNumberFormat="1" applyFont="1" applyFill="1"/>
    <xf numFmtId="164" fontId="23" fillId="25" borderId="0" xfId="0" applyNumberFormat="1" applyFont="1" applyFill="1" applyAlignment="1">
      <alignment horizontal="center"/>
    </xf>
    <xf numFmtId="164" fontId="23" fillId="25" borderId="19" xfId="0" applyNumberFormat="1" applyFont="1" applyFill="1" applyBorder="1"/>
    <xf numFmtId="0" fontId="23" fillId="25" borderId="25" xfId="0" applyFont="1" applyFill="1" applyBorder="1" applyAlignment="1">
      <alignment horizontal="right"/>
    </xf>
    <xf numFmtId="0" fontId="23" fillId="26" borderId="26" xfId="0" applyFont="1" applyFill="1" applyBorder="1"/>
    <xf numFmtId="164" fontId="23" fillId="26" borderId="27" xfId="0" applyNumberFormat="1" applyFont="1" applyFill="1" applyBorder="1"/>
    <xf numFmtId="0" fontId="23" fillId="26" borderId="26" xfId="0" applyFont="1" applyFill="1" applyBorder="1" applyAlignment="1">
      <alignment horizontal="left" indent="1"/>
    </xf>
    <xf numFmtId="0" fontId="23" fillId="26" borderId="26" xfId="0" applyFont="1" applyFill="1" applyBorder="1" applyAlignment="1">
      <alignment horizontal="left"/>
    </xf>
    <xf numFmtId="0" fontId="23" fillId="26" borderId="28" xfId="0" applyFont="1" applyFill="1" applyBorder="1" applyAlignment="1">
      <alignment horizontal="right"/>
    </xf>
    <xf numFmtId="0" fontId="23" fillId="26" borderId="0" xfId="0" applyFont="1" applyFill="1"/>
    <xf numFmtId="0" fontId="36" fillId="26" borderId="0" xfId="0" applyFont="1" applyFill="1"/>
    <xf numFmtId="0" fontId="23" fillId="26" borderId="0" xfId="0" applyFont="1" applyFill="1" applyAlignment="1">
      <alignment horizontal="center"/>
    </xf>
    <xf numFmtId="167" fontId="23" fillId="26" borderId="0" xfId="0" applyNumberFormat="1" applyFont="1" applyFill="1"/>
    <xf numFmtId="164" fontId="23" fillId="26" borderId="0" xfId="0" applyNumberFormat="1" applyFont="1" applyFill="1"/>
    <xf numFmtId="164" fontId="23" fillId="26" borderId="0" xfId="0" applyNumberFormat="1" applyFont="1" applyFill="1" applyAlignment="1">
      <alignment horizontal="center"/>
    </xf>
    <xf numFmtId="164" fontId="23" fillId="26" borderId="19" xfId="0" applyNumberFormat="1" applyFont="1" applyFill="1" applyBorder="1"/>
    <xf numFmtId="0" fontId="23" fillId="26" borderId="21" xfId="0" applyFont="1" applyFill="1" applyBorder="1" applyAlignment="1">
      <alignment horizontal="right"/>
    </xf>
    <xf numFmtId="0" fontId="36" fillId="26" borderId="29" xfId="0" applyFont="1" applyFill="1" applyBorder="1" applyAlignment="1">
      <alignment horizontal="left"/>
    </xf>
    <xf numFmtId="0" fontId="23" fillId="26" borderId="30" xfId="0" applyFont="1" applyFill="1" applyBorder="1" applyAlignment="1">
      <alignment horizontal="right"/>
    </xf>
    <xf numFmtId="0" fontId="36" fillId="26" borderId="30" xfId="0" applyFont="1" applyFill="1" applyBorder="1" applyAlignment="1">
      <alignment horizontal="left"/>
    </xf>
    <xf numFmtId="0" fontId="23" fillId="26" borderId="30" xfId="0" applyFont="1" applyFill="1" applyBorder="1"/>
    <xf numFmtId="168" fontId="23" fillId="26" borderId="30" xfId="0" applyNumberFormat="1" applyFont="1" applyFill="1" applyBorder="1"/>
    <xf numFmtId="0" fontId="23" fillId="26" borderId="31" xfId="0" applyFont="1" applyFill="1" applyBorder="1"/>
    <xf numFmtId="0" fontId="36" fillId="26" borderId="30" xfId="0" applyFont="1" applyFill="1" applyBorder="1"/>
    <xf numFmtId="0" fontId="23" fillId="26" borderId="30" xfId="0" applyFont="1" applyFill="1" applyBorder="1" applyAlignment="1">
      <alignment horizontal="center"/>
    </xf>
    <xf numFmtId="167" fontId="23" fillId="26" borderId="30" xfId="0" applyNumberFormat="1" applyFont="1" applyFill="1" applyBorder="1"/>
    <xf numFmtId="164" fontId="23" fillId="26" borderId="30" xfId="0" applyNumberFormat="1" applyFont="1" applyFill="1" applyBorder="1"/>
    <xf numFmtId="164" fontId="23" fillId="2" borderId="30" xfId="0" applyNumberFormat="1" applyFont="1" applyFill="1" applyBorder="1"/>
    <xf numFmtId="164" fontId="23" fillId="2" borderId="22" xfId="0" applyNumberFormat="1" applyFont="1" applyFill="1" applyBorder="1"/>
    <xf numFmtId="0" fontId="14" fillId="17" borderId="0" xfId="0" applyFont="1" applyFill="1"/>
    <xf numFmtId="44" fontId="14" fillId="17" borderId="0" xfId="1" applyFont="1" applyFill="1"/>
    <xf numFmtId="0" fontId="14" fillId="0" borderId="18" xfId="0" applyFont="1" applyBorder="1" applyAlignment="1">
      <alignment horizontal="right"/>
    </xf>
    <xf numFmtId="164" fontId="14" fillId="2" borderId="19" xfId="0" applyNumberFormat="1" applyFont="1" applyFill="1" applyBorder="1"/>
    <xf numFmtId="0" fontId="24" fillId="24" borderId="15" xfId="0" applyFont="1" applyFill="1" applyBorder="1" applyAlignment="1">
      <alignment horizontal="center"/>
    </xf>
    <xf numFmtId="0" fontId="24" fillId="24" borderId="24" xfId="0" applyFont="1" applyFill="1" applyBorder="1" applyAlignment="1">
      <alignment horizontal="center"/>
    </xf>
    <xf numFmtId="0" fontId="52" fillId="0" borderId="0" xfId="0" applyFont="1" applyAlignment="1">
      <alignment horizontal="center"/>
    </xf>
    <xf numFmtId="0" fontId="51" fillId="0" borderId="0" xfId="0" applyFont="1"/>
    <xf numFmtId="0" fontId="53" fillId="22" borderId="0" xfId="0" applyFont="1" applyFill="1" applyAlignment="1">
      <alignment horizontal="center"/>
    </xf>
    <xf numFmtId="0" fontId="53" fillId="0" borderId="0" xfId="0" applyFont="1"/>
    <xf numFmtId="0" fontId="47" fillId="16" borderId="0" xfId="0" applyFont="1" applyFill="1"/>
    <xf numFmtId="0" fontId="47" fillId="18" borderId="0" xfId="0" applyFont="1" applyFill="1"/>
    <xf numFmtId="0" fontId="47" fillId="24" borderId="0" xfId="0" applyFont="1" applyFill="1"/>
    <xf numFmtId="0" fontId="47" fillId="5" borderId="0" xfId="0" applyFont="1" applyFill="1"/>
    <xf numFmtId="0" fontId="47" fillId="9" borderId="0" xfId="0" applyFont="1" applyFill="1"/>
    <xf numFmtId="0" fontId="47" fillId="25" borderId="0" xfId="0" applyFont="1" applyFill="1"/>
    <xf numFmtId="0" fontId="47" fillId="26" borderId="0" xfId="0" applyFont="1" applyFill="1"/>
    <xf numFmtId="0" fontId="47" fillId="26" borderId="30" xfId="0" applyFont="1" applyFill="1" applyBorder="1"/>
    <xf numFmtId="0" fontId="53" fillId="18" borderId="0" xfId="0" applyFont="1" applyFill="1"/>
    <xf numFmtId="0" fontId="51" fillId="24" borderId="15" xfId="0" applyFont="1" applyFill="1" applyBorder="1" applyAlignment="1">
      <alignment horizontal="center"/>
    </xf>
    <xf numFmtId="0" fontId="54" fillId="24" borderId="0" xfId="0" applyFont="1" applyFill="1" applyAlignment="1">
      <alignment horizontal="center"/>
    </xf>
    <xf numFmtId="0" fontId="54" fillId="18" borderId="0" xfId="0" applyFont="1" applyFill="1" applyAlignment="1">
      <alignment horizontal="center"/>
    </xf>
    <xf numFmtId="0" fontId="29" fillId="30" borderId="0" xfId="0" applyFont="1" applyFill="1" applyAlignment="1">
      <alignment horizontal="center" vertical="center" wrapText="1"/>
    </xf>
    <xf numFmtId="165" fontId="30" fillId="0" borderId="11" xfId="0" applyNumberFormat="1" applyFont="1" applyBorder="1" applyAlignment="1">
      <alignment vertical="top" wrapText="1"/>
    </xf>
    <xf numFmtId="44" fontId="51" fillId="0" borderId="0" xfId="1" applyFont="1"/>
    <xf numFmtId="0" fontId="53" fillId="10" borderId="0" xfId="0" applyFont="1" applyFill="1" applyAlignment="1">
      <alignment horizontal="center"/>
    </xf>
    <xf numFmtId="44" fontId="23" fillId="0" borderId="0" xfId="1" applyFont="1"/>
    <xf numFmtId="168" fontId="56" fillId="10" borderId="10" xfId="0" applyNumberFormat="1" applyFont="1" applyFill="1" applyBorder="1"/>
    <xf numFmtId="0" fontId="56" fillId="10" borderId="10" xfId="0" applyFont="1" applyFill="1" applyBorder="1"/>
    <xf numFmtId="44" fontId="23" fillId="10" borderId="0" xfId="1" applyFont="1" applyFill="1"/>
    <xf numFmtId="0" fontId="57" fillId="10" borderId="0" xfId="0" applyFont="1" applyFill="1"/>
    <xf numFmtId="0" fontId="39" fillId="18" borderId="18" xfId="0" applyFont="1" applyFill="1" applyBorder="1"/>
    <xf numFmtId="0" fontId="39" fillId="18" borderId="0" xfId="0" applyFont="1" applyFill="1"/>
    <xf numFmtId="0" fontId="39" fillId="24" borderId="0" xfId="0" applyFont="1" applyFill="1"/>
    <xf numFmtId="0" fontId="39" fillId="24" borderId="19" xfId="0" applyFont="1" applyFill="1" applyBorder="1"/>
    <xf numFmtId="0" fontId="58" fillId="0" borderId="0" xfId="0" applyFont="1"/>
    <xf numFmtId="0" fontId="23" fillId="24" borderId="0" xfId="0" applyFont="1" applyFill="1"/>
    <xf numFmtId="0" fontId="23" fillId="24" borderId="0" xfId="0" applyFont="1" applyFill="1" applyAlignment="1">
      <alignment horizontal="center" wrapText="1"/>
    </xf>
    <xf numFmtId="0" fontId="42" fillId="27" borderId="16" xfId="0" applyFont="1" applyFill="1" applyBorder="1" applyAlignment="1">
      <alignment horizontal="center"/>
    </xf>
    <xf numFmtId="0" fontId="42" fillId="27" borderId="17" xfId="0" applyFont="1" applyFill="1" applyBorder="1" applyAlignment="1">
      <alignment horizontal="center"/>
    </xf>
    <xf numFmtId="0" fontId="25" fillId="5" borderId="5" xfId="0" applyFont="1" applyFill="1" applyBorder="1" applyAlignment="1">
      <alignment horizontal="center"/>
    </xf>
    <xf numFmtId="0" fontId="25" fillId="5" borderId="17" xfId="0" applyFont="1" applyFill="1" applyBorder="1" applyAlignment="1">
      <alignment horizontal="center"/>
    </xf>
    <xf numFmtId="0" fontId="26" fillId="0" borderId="0" xfId="0" applyFont="1" applyAlignment="1">
      <alignment horizontal="center"/>
    </xf>
    <xf numFmtId="0" fontId="26" fillId="0" borderId="19" xfId="0" applyFont="1" applyBorder="1" applyAlignment="1">
      <alignment horizontal="center"/>
    </xf>
    <xf numFmtId="0" fontId="49" fillId="27" borderId="0" xfId="0" applyFont="1" applyFill="1" applyAlignment="1">
      <alignment horizontal="center"/>
    </xf>
    <xf numFmtId="0" fontId="52" fillId="0" borderId="18" xfId="0" applyFont="1" applyBorder="1" applyAlignment="1">
      <alignment horizontal="center" vertical="center" wrapText="1"/>
    </xf>
    <xf numFmtId="0" fontId="52" fillId="0" borderId="19" xfId="0" applyFont="1" applyBorder="1" applyAlignment="1">
      <alignment horizontal="center" vertical="center" wrapText="1"/>
    </xf>
    <xf numFmtId="0" fontId="52" fillId="0" borderId="21" xfId="0" applyFont="1" applyBorder="1" applyAlignment="1">
      <alignment horizontal="center" vertical="center" wrapText="1"/>
    </xf>
    <xf numFmtId="0" fontId="52" fillId="0" borderId="22" xfId="0" applyFont="1" applyBorder="1" applyAlignment="1">
      <alignment horizontal="center" vertical="center" wrapText="1"/>
    </xf>
    <xf numFmtId="0" fontId="49" fillId="27" borderId="16" xfId="0" applyFont="1" applyFill="1" applyBorder="1" applyAlignment="1">
      <alignment horizontal="center"/>
    </xf>
    <xf numFmtId="0" fontId="49" fillId="27" borderId="5" xfId="0" applyFont="1" applyFill="1" applyBorder="1" applyAlignment="1">
      <alignment horizontal="center"/>
    </xf>
    <xf numFmtId="0" fontId="52" fillId="27" borderId="18" xfId="0" applyFont="1" applyFill="1" applyBorder="1" applyAlignment="1">
      <alignment horizontal="center"/>
    </xf>
    <xf numFmtId="0" fontId="52" fillId="27" borderId="0" xfId="0" applyFont="1" applyFill="1" applyAlignment="1">
      <alignment horizontal="center"/>
    </xf>
    <xf numFmtId="0" fontId="52" fillId="24" borderId="0" xfId="0" applyFont="1" applyFill="1" applyAlignment="1">
      <alignment horizontal="center" wrapText="1"/>
    </xf>
    <xf numFmtId="0" fontId="14" fillId="26" borderId="9" xfId="0" applyFont="1" applyFill="1" applyBorder="1" applyAlignment="1">
      <alignment horizontal="center"/>
    </xf>
    <xf numFmtId="0" fontId="14" fillId="26" borderId="10" xfId="0" applyFont="1" applyFill="1" applyBorder="1" applyAlignment="1">
      <alignment horizontal="center"/>
    </xf>
    <xf numFmtId="0" fontId="14" fillId="26" borderId="14" xfId="0" applyFont="1" applyFill="1" applyBorder="1" applyAlignment="1">
      <alignment horizontal="center"/>
    </xf>
    <xf numFmtId="0" fontId="37" fillId="17" borderId="25" xfId="0" applyFont="1" applyFill="1" applyBorder="1" applyAlignment="1">
      <alignment horizontal="center"/>
    </xf>
    <xf numFmtId="0" fontId="37" fillId="17" borderId="8" xfId="0" applyFont="1" applyFill="1" applyBorder="1" applyAlignment="1">
      <alignment horizontal="center"/>
    </xf>
    <xf numFmtId="0" fontId="37" fillId="17" borderId="20" xfId="0" applyFont="1" applyFill="1" applyBorder="1" applyAlignment="1">
      <alignment horizontal="center"/>
    </xf>
    <xf numFmtId="0" fontId="14" fillId="5" borderId="0" xfId="0" applyFont="1" applyFill="1" applyAlignment="1">
      <alignment horizontal="center"/>
    </xf>
    <xf numFmtId="0" fontId="14" fillId="24" borderId="0" xfId="0" applyFont="1" applyFill="1" applyAlignment="1">
      <alignment horizontal="center"/>
    </xf>
    <xf numFmtId="0" fontId="14" fillId="16" borderId="0" xfId="0" applyFont="1" applyFill="1" applyAlignment="1">
      <alignment horizontal="center"/>
    </xf>
    <xf numFmtId="0" fontId="50" fillId="27" borderId="0" xfId="0" applyFont="1" applyFill="1" applyAlignment="1">
      <alignment horizontal="center"/>
    </xf>
    <xf numFmtId="0" fontId="42" fillId="29" borderId="0" xfId="0" applyFont="1" applyFill="1" applyAlignment="1">
      <alignment horizontal="center"/>
    </xf>
    <xf numFmtId="0" fontId="42" fillId="27" borderId="0" xfId="0" applyFont="1" applyFill="1" applyAlignment="1">
      <alignment horizontal="center"/>
    </xf>
    <xf numFmtId="0" fontId="52" fillId="0" borderId="0" xfId="0" applyFont="1" applyAlignment="1">
      <alignment horizontal="center"/>
    </xf>
    <xf numFmtId="0" fontId="14" fillId="16" borderId="9" xfId="0" applyFont="1" applyFill="1" applyBorder="1" applyAlignment="1">
      <alignment horizontal="center"/>
    </xf>
    <xf numFmtId="0" fontId="14" fillId="16" borderId="10" xfId="0" applyFont="1" applyFill="1" applyBorder="1" applyAlignment="1">
      <alignment horizontal="center"/>
    </xf>
    <xf numFmtId="0" fontId="14" fillId="16" borderId="14" xfId="0" applyFont="1" applyFill="1" applyBorder="1" applyAlignment="1">
      <alignment horizontal="center"/>
    </xf>
    <xf numFmtId="0" fontId="39" fillId="18" borderId="18" xfId="0" applyFont="1" applyFill="1" applyBorder="1" applyAlignment="1">
      <alignment horizontal="center"/>
    </xf>
    <xf numFmtId="0" fontId="39" fillId="18" borderId="0" xfId="0" applyFont="1" applyFill="1" applyAlignment="1">
      <alignment horizontal="center"/>
    </xf>
    <xf numFmtId="0" fontId="39" fillId="24" borderId="0" xfId="0" applyFont="1" applyFill="1" applyAlignment="1">
      <alignment horizontal="center"/>
    </xf>
    <xf numFmtId="0" fontId="39" fillId="24" borderId="19" xfId="0" applyFont="1" applyFill="1" applyBorder="1" applyAlignment="1">
      <alignment horizontal="center"/>
    </xf>
    <xf numFmtId="0" fontId="14" fillId="18" borderId="9" xfId="0" applyFont="1" applyFill="1" applyBorder="1" applyAlignment="1">
      <alignment horizontal="center"/>
    </xf>
    <xf numFmtId="0" fontId="14" fillId="18" borderId="10" xfId="0" applyFont="1" applyFill="1" applyBorder="1" applyAlignment="1">
      <alignment horizontal="center"/>
    </xf>
    <xf numFmtId="0" fontId="14" fillId="18" borderId="14" xfId="0" applyFont="1" applyFill="1" applyBorder="1" applyAlignment="1">
      <alignment horizontal="center"/>
    </xf>
    <xf numFmtId="0" fontId="14" fillId="24" borderId="9" xfId="0" applyFont="1" applyFill="1" applyBorder="1" applyAlignment="1">
      <alignment horizontal="center"/>
    </xf>
    <xf numFmtId="0" fontId="14" fillId="24" borderId="10" xfId="0" applyFont="1" applyFill="1" applyBorder="1" applyAlignment="1">
      <alignment horizontal="center"/>
    </xf>
    <xf numFmtId="0" fontId="14" fillId="24" borderId="14" xfId="0" applyFont="1" applyFill="1" applyBorder="1" applyAlignment="1">
      <alignment horizontal="center"/>
    </xf>
    <xf numFmtId="0" fontId="14" fillId="5" borderId="9" xfId="0" applyFont="1" applyFill="1" applyBorder="1" applyAlignment="1">
      <alignment horizontal="center"/>
    </xf>
    <xf numFmtId="0" fontId="14" fillId="5" borderId="10" xfId="0" applyFont="1" applyFill="1" applyBorder="1" applyAlignment="1">
      <alignment horizontal="center"/>
    </xf>
    <xf numFmtId="0" fontId="14" fillId="5" borderId="14" xfId="0" applyFont="1" applyFill="1" applyBorder="1" applyAlignment="1">
      <alignment horizontal="center"/>
    </xf>
    <xf numFmtId="0" fontId="14" fillId="9" borderId="9" xfId="0" applyFont="1" applyFill="1" applyBorder="1" applyAlignment="1">
      <alignment horizontal="center"/>
    </xf>
    <xf numFmtId="0" fontId="14" fillId="9" borderId="10" xfId="0" applyFont="1" applyFill="1" applyBorder="1" applyAlignment="1">
      <alignment horizontal="center"/>
    </xf>
    <xf numFmtId="0" fontId="14" fillId="9" borderId="14" xfId="0" applyFont="1" applyFill="1" applyBorder="1" applyAlignment="1">
      <alignment horizontal="center"/>
    </xf>
    <xf numFmtId="0" fontId="14" fillId="25" borderId="9" xfId="0" applyFont="1" applyFill="1" applyBorder="1" applyAlignment="1">
      <alignment horizontal="center"/>
    </xf>
    <xf numFmtId="0" fontId="14" fillId="25" borderId="10" xfId="0" applyFont="1" applyFill="1" applyBorder="1" applyAlignment="1">
      <alignment horizontal="center"/>
    </xf>
    <xf numFmtId="0" fontId="14" fillId="25" borderId="14" xfId="0" applyFont="1" applyFill="1" applyBorder="1" applyAlignment="1">
      <alignment horizontal="center"/>
    </xf>
    <xf numFmtId="0" fontId="17" fillId="10" borderId="7" xfId="0" applyFont="1" applyFill="1" applyBorder="1" applyAlignment="1">
      <alignment horizontal="center" vertical="top"/>
    </xf>
    <xf numFmtId="0" fontId="0" fillId="0" borderId="8" xfId="0" applyBorder="1"/>
    <xf numFmtId="0" fontId="55" fillId="31" borderId="6" xfId="0" applyFont="1" applyFill="1" applyBorder="1" applyAlignment="1">
      <alignment horizontal="center" vertical="top"/>
    </xf>
    <xf numFmtId="0" fontId="55" fillId="31" borderId="0" xfId="0" applyFont="1" applyFill="1" applyAlignment="1">
      <alignment horizontal="center" vertical="top"/>
    </xf>
    <xf numFmtId="0" fontId="17" fillId="3" borderId="9" xfId="0" applyFont="1" applyFill="1" applyBorder="1" applyAlignment="1">
      <alignment horizontal="center" vertical="top"/>
    </xf>
    <xf numFmtId="0" fontId="0" fillId="0" borderId="10" xfId="0" applyBorder="1"/>
    <xf numFmtId="0" fontId="5" fillId="0" borderId="0" xfId="0" applyFont="1" applyAlignment="1">
      <alignment horizontal="center" wrapText="1"/>
    </xf>
    <xf numFmtId="0" fontId="2" fillId="0" borderId="0" xfId="0" applyFont="1"/>
    <xf numFmtId="0" fontId="17" fillId="7" borderId="6" xfId="0" applyFont="1" applyFill="1" applyBorder="1" applyAlignment="1">
      <alignment horizontal="center" vertical="top"/>
    </xf>
    <xf numFmtId="0" fontId="17" fillId="11" borderId="6" xfId="0" applyFont="1" applyFill="1" applyBorder="1" applyAlignment="1">
      <alignment horizontal="center" vertical="top"/>
    </xf>
    <xf numFmtId="0" fontId="22" fillId="0" borderId="0" xfId="0" applyFont="1" applyAlignment="1">
      <alignment horizontal="center" wrapText="1"/>
    </xf>
    <xf numFmtId="0" fontId="17" fillId="14" borderId="6" xfId="0" applyFont="1" applyFill="1" applyBorder="1" applyAlignment="1">
      <alignment horizontal="center" vertical="top"/>
    </xf>
    <xf numFmtId="0" fontId="17" fillId="6" borderId="6" xfId="0" applyFont="1" applyFill="1" applyBorder="1" applyAlignment="1">
      <alignment horizontal="center" vertical="top"/>
    </xf>
    <xf numFmtId="0" fontId="17" fillId="13" borderId="6" xfId="0" applyFont="1" applyFill="1" applyBorder="1" applyAlignment="1">
      <alignment horizontal="center" vertical="top"/>
    </xf>
    <xf numFmtId="0" fontId="17" fillId="2" borderId="6" xfId="0" applyFont="1" applyFill="1" applyBorder="1" applyAlignment="1">
      <alignment horizontal="center" vertical="top"/>
    </xf>
    <xf numFmtId="0" fontId="21" fillId="11" borderId="8" xfId="0" applyFont="1" applyFill="1" applyBorder="1" applyAlignment="1">
      <alignment horizontal="center" vertical="center" wrapText="1"/>
    </xf>
    <xf numFmtId="0" fontId="21" fillId="11" borderId="0" xfId="0" applyFont="1" applyFill="1" applyAlignment="1">
      <alignment horizontal="center" vertical="center" wrapText="1"/>
    </xf>
    <xf numFmtId="44" fontId="20" fillId="0" borderId="0" xfId="1" applyFont="1" applyAlignment="1">
      <alignment horizontal="center" vertical="center" wrapText="1"/>
    </xf>
    <xf numFmtId="0" fontId="17" fillId="9" borderId="6" xfId="0" applyFont="1" applyFill="1" applyBorder="1" applyAlignment="1">
      <alignment horizontal="center" vertical="top"/>
    </xf>
    <xf numFmtId="0" fontId="17" fillId="0" borderId="6" xfId="0" applyFont="1" applyBorder="1" applyAlignment="1">
      <alignment horizontal="center" vertical="top"/>
    </xf>
    <xf numFmtId="0" fontId="17" fillId="12" borderId="6" xfId="0" applyFont="1" applyFill="1" applyBorder="1" applyAlignment="1">
      <alignment horizontal="center" vertical="top"/>
    </xf>
    <xf numFmtId="0" fontId="17" fillId="15" borderId="6" xfId="0" applyFont="1" applyFill="1" applyBorder="1" applyAlignment="1">
      <alignment horizontal="center" vertical="top"/>
    </xf>
    <xf numFmtId="0" fontId="17" fillId="8" borderId="6" xfId="0" applyFont="1" applyFill="1" applyBorder="1" applyAlignment="1">
      <alignment horizontal="center" vertical="top"/>
    </xf>
    <xf numFmtId="0" fontId="14" fillId="0" borderId="5" xfId="0" applyFont="1" applyBorder="1" applyAlignment="1">
      <alignment horizontal="center"/>
    </xf>
    <xf numFmtId="0" fontId="0" fillId="0" borderId="5" xfId="0" applyBorder="1"/>
    <xf numFmtId="0" fontId="15" fillId="5" borderId="2" xfId="0" applyFont="1" applyFill="1" applyBorder="1" applyAlignment="1">
      <alignment horizontal="center"/>
    </xf>
    <xf numFmtId="0" fontId="0" fillId="0" borderId="3" xfId="0" applyBorder="1"/>
    <xf numFmtId="0" fontId="15" fillId="5" borderId="12" xfId="0" applyFont="1" applyFill="1" applyBorder="1" applyAlignment="1">
      <alignment horizontal="center"/>
    </xf>
    <xf numFmtId="0" fontId="0" fillId="0" borderId="4" xfId="0" applyBorder="1"/>
    <xf numFmtId="0" fontId="16" fillId="5" borderId="8" xfId="0" applyFont="1" applyFill="1" applyBorder="1" applyAlignment="1">
      <alignment horizontal="center"/>
    </xf>
  </cellXfs>
  <cellStyles count="4">
    <cellStyle name="Currency" xfId="1" builtinId="4"/>
    <cellStyle name="Normal" xfId="0" builtinId="0"/>
    <cellStyle name="Normal 2" xfId="2" xr:uid="{00000000-0005-0000-0000-000002000000}"/>
    <cellStyle name="Percent" xfId="3" builtinId="5"/>
  </cellStyles>
  <dxfs count="36">
    <dxf>
      <fill>
        <patternFill>
          <bgColor rgb="FFFFFF00"/>
        </patternFill>
      </fill>
    </dxf>
    <dxf>
      <fill>
        <patternFill>
          <bgColor theme="5" tint="0.59996337778862885"/>
        </patternFill>
      </fill>
    </dxf>
    <dxf>
      <fill>
        <patternFill>
          <bgColor theme="4" tint="0.59996337778862885"/>
        </patternFill>
      </fill>
    </dxf>
    <dxf>
      <fill>
        <patternFill>
          <bgColor theme="9" tint="0.59996337778862885"/>
        </patternFill>
      </fill>
    </dxf>
    <dxf>
      <fill>
        <patternFill>
          <bgColor theme="0" tint="-0.14993743705557422"/>
        </patternFill>
      </fill>
    </dxf>
    <dxf>
      <fill>
        <patternFill>
          <bgColor theme="0"/>
        </patternFill>
      </fill>
    </dxf>
    <dxf>
      <fill>
        <patternFill>
          <bgColor rgb="FFFFC000"/>
        </patternFill>
      </fill>
    </dxf>
    <dxf>
      <fill>
        <patternFill>
          <bgColor rgb="FFFF0000"/>
        </patternFill>
      </fill>
    </dxf>
    <dxf>
      <fill>
        <patternFill>
          <bgColor rgb="FFFFCCFF"/>
        </patternFill>
      </fill>
    </dxf>
    <dxf>
      <fill>
        <patternFill>
          <bgColor rgb="FF00B0F0"/>
        </patternFill>
      </fill>
    </dxf>
    <dxf>
      <fill>
        <patternFill>
          <bgColor rgb="FFFF00FF"/>
        </patternFill>
      </fill>
    </dxf>
    <dxf>
      <fill>
        <patternFill>
          <bgColor rgb="FF00CC00"/>
        </patternFill>
      </fill>
    </dxf>
    <dxf>
      <font>
        <color rgb="FFC00000"/>
      </font>
      <fill>
        <patternFill>
          <bgColor theme="7" tint="0.59996337778862885"/>
        </patternFill>
      </fill>
    </dxf>
    <dxf>
      <font>
        <b val="0"/>
        <i val="0"/>
        <strike val="0"/>
        <condense val="0"/>
        <extend val="0"/>
        <outline val="0"/>
        <shadow val="0"/>
        <u val="none"/>
        <vertAlign val="baseline"/>
        <sz val="11"/>
        <color theme="1"/>
        <name val="Carlito"/>
        <scheme val="none"/>
      </font>
      <fill>
        <patternFill patternType="none">
          <fgColor indexed="64"/>
          <bgColor auto="1"/>
        </patternFill>
      </fill>
      <alignment horizontal="general" vertical="top" textRotation="0" wrapText="1"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Carlito"/>
        <scheme val="none"/>
      </font>
      <numFmt numFmtId="166" formatCode="yyyy\-mm\-dd"/>
      <fill>
        <patternFill patternType="none">
          <fgColor indexed="64"/>
          <bgColor auto="1"/>
        </patternFill>
      </fill>
      <alignment horizontal="general" vertical="top" textRotation="0" wrapText="1"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Carlito"/>
        <scheme val="none"/>
      </font>
      <numFmt numFmtId="165" formatCode="\$#,##0.00;[Red]\(\$#,##0.00\);\-"/>
      <fill>
        <patternFill patternType="none">
          <fgColor indexed="64"/>
          <bgColor auto="1"/>
        </patternFill>
      </fill>
      <alignment horizontal="general" vertical="top" textRotation="0" wrapText="1"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Carlito"/>
        <scheme val="none"/>
      </font>
      <numFmt numFmtId="165" formatCode="\$#,##0.00;[Red]\(\$#,##0.00\);\-"/>
      <fill>
        <patternFill patternType="none">
          <fgColor indexed="64"/>
          <bgColor auto="1"/>
        </patternFill>
      </fill>
      <alignment horizontal="general" vertical="top" textRotation="0" wrapText="1"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Carlito"/>
        <scheme val="none"/>
      </font>
      <fill>
        <patternFill patternType="none">
          <fgColor indexed="64"/>
          <bgColor auto="1"/>
        </patternFill>
      </fill>
      <alignment horizontal="general" vertical="top" textRotation="0" wrapText="1"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Carlito"/>
        <scheme val="none"/>
      </font>
      <fill>
        <patternFill patternType="none">
          <fgColor indexed="64"/>
          <bgColor auto="1"/>
        </patternFill>
      </fill>
      <alignment horizontal="general" vertical="top" textRotation="0" wrapText="1"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Carlito"/>
        <scheme val="none"/>
      </font>
      <fill>
        <patternFill patternType="none">
          <fgColor indexed="64"/>
          <bgColor auto="1"/>
        </patternFill>
      </fill>
      <alignment horizontal="general" vertical="top" textRotation="0" wrapText="1"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Carlito"/>
        <scheme val="none"/>
      </font>
      <fill>
        <patternFill patternType="none">
          <fgColor indexed="64"/>
          <bgColor auto="1"/>
        </patternFill>
      </fill>
      <alignment horizontal="general" vertical="top" textRotation="0" wrapText="1"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Carlito"/>
        <scheme val="none"/>
      </font>
      <fill>
        <patternFill patternType="none">
          <fgColor indexed="64"/>
          <bgColor auto="1"/>
        </patternFill>
      </fill>
      <alignment horizontal="general" vertical="top" textRotation="0" wrapText="1" indent="0" justifyLastLine="0" shrinkToFit="0" readingOrder="0"/>
      <border diagonalUp="0" diagonalDown="0" outline="0">
        <left/>
        <right/>
        <top style="thin">
          <color theme="4" tint="0.39997558519241921"/>
        </top>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Carlito"/>
        <scheme val="none"/>
      </font>
      <fill>
        <patternFill patternType="none">
          <fgColor indexed="64"/>
          <bgColor auto="1"/>
        </patternFill>
      </fill>
      <alignment horizontal="general" vertical="top" textRotation="0" wrapText="1" indent="0" justifyLastLine="0" shrinkToFit="0" readingOrder="0"/>
    </dxf>
    <dxf>
      <font>
        <b/>
        <i val="0"/>
        <strike val="0"/>
        <condense val="0"/>
        <extend val="0"/>
        <outline val="0"/>
        <shadow val="0"/>
        <u val="none"/>
        <vertAlign val="baseline"/>
        <sz val="11"/>
        <color rgb="FFFFFFFF"/>
        <name val="Carlito"/>
        <scheme val="none"/>
      </font>
      <fill>
        <patternFill patternType="solid">
          <fgColor indexed="64"/>
          <bgColor rgb="FF1F4E78"/>
        </patternFill>
      </fill>
      <alignment horizontal="center" vertical="center" textRotation="0" wrapText="1" indent="0" justifyLastLine="0" shrinkToFit="0" readingOrder="0"/>
    </dxf>
    <dxf>
      <font>
        <strike val="0"/>
        <condense val="0"/>
        <extend val="0"/>
        <outline val="0"/>
        <shadow val="0"/>
        <vertAlign val="baseline"/>
        <sz val="11"/>
        <color theme="1"/>
        <name val="Carlito"/>
      </font>
      <fill>
        <patternFill>
          <bgColor auto="1"/>
        </patternFill>
      </fill>
      <alignment horizontal="general" vertical="top" wrapText="1"/>
      <border outline="0">
        <left/>
        <right/>
        <top style="thin">
          <color theme="4" tint="0.39997558519241921"/>
        </top>
        <bottom/>
      </border>
    </dxf>
    <dxf>
      <font>
        <strike val="0"/>
        <condense val="0"/>
        <extend val="0"/>
        <outline val="0"/>
        <shadow val="0"/>
        <vertAlign val="baseline"/>
        <sz val="11"/>
        <color theme="1"/>
        <name val="Carlito"/>
      </font>
      <numFmt numFmtId="166" formatCode="yyyy\-mm\-dd"/>
      <fill>
        <patternFill>
          <bgColor auto="1"/>
        </patternFill>
      </fill>
      <alignment horizontal="general" vertical="top" wrapText="1"/>
      <border outline="0">
        <left/>
        <right/>
        <top style="thin">
          <color theme="4" tint="0.39997558519241921"/>
        </top>
        <bottom/>
      </border>
    </dxf>
    <dxf>
      <font>
        <strike val="0"/>
        <condense val="0"/>
        <extend val="0"/>
        <outline val="0"/>
        <shadow val="0"/>
        <vertAlign val="baseline"/>
        <sz val="11"/>
        <color theme="1"/>
        <name val="Carlito"/>
      </font>
      <fill>
        <patternFill>
          <bgColor auto="1"/>
        </patternFill>
      </fill>
      <alignment horizontal="general" vertical="top" wrapText="1"/>
      <border outline="0">
        <left/>
        <right/>
        <top style="thin">
          <color theme="4" tint="0.39997558519241921"/>
        </top>
        <bottom/>
      </border>
    </dxf>
    <dxf>
      <font>
        <strike val="0"/>
        <condense val="0"/>
        <extend val="0"/>
        <outline val="0"/>
        <shadow val="0"/>
        <vertAlign val="baseline"/>
        <sz val="11"/>
        <color auto="1"/>
        <name val="Carlito"/>
      </font>
      <numFmt numFmtId="165" formatCode="\$#,##0.00;[Red]\(\$#,##0.00\);\-"/>
      <fill>
        <patternFill>
          <bgColor auto="1"/>
        </patternFill>
      </fill>
      <alignment horizontal="general" vertical="top" wrapText="1"/>
      <border outline="0">
        <left/>
        <right/>
        <top style="thin">
          <color theme="4" tint="0.39997558519241921"/>
        </top>
        <bottom/>
      </border>
    </dxf>
    <dxf>
      <font>
        <strike val="0"/>
        <condense val="0"/>
        <extend val="0"/>
        <outline val="0"/>
        <shadow val="0"/>
        <vertAlign val="baseline"/>
        <sz val="11"/>
        <color theme="1"/>
        <name val="Carlito"/>
      </font>
      <fill>
        <patternFill>
          <bgColor auto="1"/>
        </patternFill>
      </fill>
      <alignment horizontal="general" vertical="top" wrapText="1"/>
      <border outline="0">
        <left/>
        <right/>
        <top style="thin">
          <color theme="4" tint="0.39997558519241921"/>
        </top>
        <bottom/>
      </border>
    </dxf>
    <dxf>
      <font>
        <strike val="0"/>
        <condense val="0"/>
        <extend val="0"/>
        <outline val="0"/>
        <shadow val="0"/>
        <vertAlign val="baseline"/>
        <sz val="11"/>
        <color theme="1"/>
        <name val="Carlito"/>
      </font>
      <fill>
        <patternFill>
          <bgColor auto="1"/>
        </patternFill>
      </fill>
      <alignment horizontal="general" vertical="top" wrapText="1"/>
      <border outline="0">
        <left/>
        <right/>
        <top style="thin">
          <color theme="4" tint="0.39997558519241921"/>
        </top>
        <bottom/>
      </border>
    </dxf>
    <dxf>
      <font>
        <strike val="0"/>
        <condense val="0"/>
        <extend val="0"/>
        <outline val="0"/>
        <shadow val="0"/>
        <vertAlign val="baseline"/>
        <sz val="11"/>
        <color theme="1"/>
        <name val="Carlito"/>
      </font>
      <fill>
        <patternFill>
          <bgColor auto="1"/>
        </patternFill>
      </fill>
      <alignment horizontal="general" vertical="top" wrapText="1"/>
      <border outline="0">
        <left/>
        <right/>
        <top style="thin">
          <color theme="4" tint="0.39997558519241921"/>
        </top>
        <bottom/>
      </border>
    </dxf>
    <dxf>
      <font>
        <strike val="0"/>
        <condense val="0"/>
        <extend val="0"/>
        <outline val="0"/>
        <shadow val="0"/>
        <vertAlign val="baseline"/>
        <sz val="11"/>
        <color theme="1"/>
        <name val="Carlito"/>
      </font>
      <fill>
        <patternFill>
          <bgColor auto="1"/>
        </patternFill>
      </fill>
      <alignment horizontal="general" vertical="top" wrapText="1"/>
      <border outline="0">
        <left/>
        <right/>
        <top style="thin">
          <color theme="4" tint="0.39997558519241921"/>
        </top>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strike val="0"/>
        <condense val="0"/>
        <extend val="0"/>
        <outline val="0"/>
        <shadow val="0"/>
        <vertAlign val="baseline"/>
        <sz val="11"/>
        <color theme="1"/>
        <name val="Carlito"/>
      </font>
      <fill>
        <patternFill>
          <bgColor auto="1"/>
        </patternFill>
      </fill>
      <alignment horizontal="general" vertical="top" wrapText="1"/>
    </dxf>
    <dxf>
      <font>
        <b/>
        <strike val="0"/>
        <condense val="0"/>
        <extend val="0"/>
        <outline val="0"/>
        <shadow val="0"/>
        <vertAlign val="baseline"/>
        <sz val="11"/>
        <color rgb="FFFFFFFF"/>
        <name val="Carlito"/>
      </font>
      <fill>
        <patternFill>
          <fgColor indexed="64"/>
          <bgColor auto="1"/>
        </patternFill>
      </fill>
      <alignment horizontal="center" vertical="center" wrapText="1"/>
    </dxf>
  </dxfs>
  <tableStyles count="0" defaultTableStyle="TableStyleMedium2" defaultPivotStyle="PivotStyleLight16"/>
  <colors>
    <mruColors>
      <color rgb="FFCCFFFF"/>
      <color rgb="FFFFCCFF"/>
      <color rgb="FFFF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133349</xdr:colOff>
      <xdr:row>0</xdr:row>
      <xdr:rowOff>28576</xdr:rowOff>
    </xdr:from>
    <xdr:to>
      <xdr:col>2</xdr:col>
      <xdr:colOff>619125</xdr:colOff>
      <xdr:row>2</xdr:row>
      <xdr:rowOff>637864</xdr:rowOff>
    </xdr:to>
    <xdr:pic>
      <xdr:nvPicPr>
        <xdr:cNvPr id="3" name="Picture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33349" y="28576"/>
          <a:ext cx="2343151" cy="1218888"/>
        </a:xfrm>
        <a:prstGeom prst="rect">
          <a:avLst/>
        </a:prstGeom>
        <a:noFill/>
        <a:ln>
          <a:prstDash val="solid"/>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RecoveredExternalLink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stomer Option Cover Page"/>
      <sheetName val="Allowances"/>
      <sheetName val="Options"/>
      <sheetName val="Cabinets"/>
      <sheetName val="Countertops"/>
      <sheetName val="Pavers"/>
      <sheetName val="Stone"/>
      <sheetName val="Summer Kitchen"/>
      <sheetName val="Tile-Floor"/>
      <sheetName val="Sheet8"/>
      <sheetName val="Sheet9"/>
      <sheetName val="Sheet10"/>
      <sheetName val="Sheet11"/>
      <sheetName val="RecoveredExternalLink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1783F69-52BA-4F95-AA45-48A7CA5B059C}" name="Counter_Pricing" displayName="Counter_Pricing" ref="B546:J676" totalsRowShown="0" headerRowDxfId="24" dataDxfId="23" tableBorderDxfId="22">
  <autoFilter ref="B546:J676" xr:uid="{01783F69-52BA-4F95-AA45-48A7CA5B059C}"/>
  <tableColumns count="9">
    <tableColumn id="1" xr3:uid="{CF4FD659-378D-4EF8-96D1-830323BFEDF1}" name="Material_Name" dataDxfId="21"/>
    <tableColumn id="2" xr3:uid="{6CEFEB3E-3485-49A6-88E1-9C1C2A24B57E}" name="Surface_Type" dataDxfId="20"/>
    <tableColumn id="3" xr3:uid="{4A28CC1E-52C8-4254-9B5B-BDE9040C54C0}" name="Brand_Series" dataDxfId="19"/>
    <tableColumn id="4" xr3:uid="{14E886B8-670A-45A9-979C-36EBA508F167}" name="Vendor_Source" dataDxfId="18"/>
    <tableColumn id="5" xr3:uid="{434605FB-0530-494F-9966-7537505F5DA5}" name="Level" dataDxfId="17"/>
    <tableColumn id="6" xr3:uid="{503C1240-AC28-4322-9029-82CFE4BC7AFA}" name="Olsen_Cost" dataDxfId="16"/>
    <tableColumn id="7" xr3:uid="{0A994C4F-CA4F-40EB-807B-8AD2A97FCF57}" name="Unit" dataDxfId="15"/>
    <tableColumn id="8" xr3:uid="{7CA6FF72-F762-4E84-9C40-00C3EBE9DAD5}" name="Last_Revision" dataDxfId="14"/>
    <tableColumn id="10" xr3:uid="{26D018E9-A132-4347-BF1F-67EB52F223C6}" name="Notes" dataDxfId="1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ileTable" displayName="TileTable" ref="B503:I887" totalsRowShown="0" headerRowDxfId="35" dataDxfId="34" tableBorderDxfId="33">
  <autoFilter ref="B503:I887" xr:uid="{00000000-0009-0000-0100-000001000000}"/>
  <sortState xmlns:xlrd2="http://schemas.microsoft.com/office/spreadsheetml/2017/richdata2" ref="B504:I583">
    <sortCondition ref="D1:D156"/>
  </sortState>
  <tableColumns count="8">
    <tableColumn id="3" xr3:uid="{00000000-0010-0000-0000-000003000000}" name="Section" dataDxfId="32"/>
    <tableColumn id="4" xr3:uid="{00000000-0010-0000-0000-000004000000}" name="Item_Name" dataDxfId="31"/>
    <tableColumn id="6" xr3:uid="{00000000-0010-0000-0000-000006000000}" name="Level" dataDxfId="30"/>
    <tableColumn id="7" xr3:uid="{00000000-0010-0000-0000-000007000000}" name="Vendor_Source" dataDxfId="29"/>
    <tableColumn id="9" xr3:uid="{00000000-0010-0000-0000-000009000000}" name="Olsen_Cost" dataDxfId="28"/>
    <tableColumn id="10" xr3:uid="{00000000-0010-0000-0000-00000A000000}" name="Unit" dataDxfId="27"/>
    <tableColumn id="11" xr3:uid="{00000000-0010-0000-0000-00000B000000}" name="Last_Revision" dataDxfId="26"/>
    <tableColumn id="12" xr3:uid="{00000000-0010-0000-0000-00000C000000}" name="Notes" dataDxfId="25"/>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50"/>
  </sheetPr>
  <dimension ref="B1:K88"/>
  <sheetViews>
    <sheetView topLeftCell="C7" workbookViewId="0">
      <selection activeCell="I24" sqref="I24"/>
    </sheetView>
  </sheetViews>
  <sheetFormatPr defaultRowHeight="15" x14ac:dyDescent="0.25"/>
  <cols>
    <col min="1" max="1" width="4.85546875" customWidth="1"/>
    <col min="2" max="2" width="23" style="42" customWidth="1"/>
    <col min="3" max="3" width="82" customWidth="1"/>
    <col min="4" max="4" width="15.28515625" style="42" customWidth="1"/>
    <col min="5" max="5" width="12" style="42" customWidth="1"/>
    <col min="6" max="6" width="17" style="42" customWidth="1"/>
    <col min="7" max="7" width="14" style="42" customWidth="1"/>
    <col min="8" max="8" width="18.28515625" style="43" customWidth="1"/>
    <col min="9" max="9" width="22.7109375" customWidth="1"/>
    <col min="11" max="11" width="11.42578125" customWidth="1"/>
    <col min="257" max="257" width="4.85546875" customWidth="1"/>
    <col min="258" max="258" width="22.140625" customWidth="1"/>
    <col min="259" max="259" width="82.5703125" customWidth="1"/>
    <col min="260" max="260" width="15.28515625" customWidth="1"/>
    <col min="261" max="261" width="11.140625" customWidth="1"/>
    <col min="262" max="262" width="17" customWidth="1"/>
    <col min="263" max="263" width="14" customWidth="1"/>
    <col min="264" max="264" width="17.140625" customWidth="1"/>
    <col min="265" max="265" width="16.28515625" bestFit="1" customWidth="1"/>
    <col min="267" max="267" width="11.42578125" customWidth="1"/>
    <col min="513" max="513" width="4.85546875" customWidth="1"/>
    <col min="514" max="514" width="22.140625" customWidth="1"/>
    <col min="515" max="515" width="82.5703125" customWidth="1"/>
    <col min="516" max="516" width="15.28515625" customWidth="1"/>
    <col min="517" max="517" width="11.140625" customWidth="1"/>
    <col min="518" max="518" width="17" customWidth="1"/>
    <col min="519" max="519" width="14" customWidth="1"/>
    <col min="520" max="520" width="17.140625" customWidth="1"/>
    <col min="521" max="521" width="16.28515625" bestFit="1" customWidth="1"/>
    <col min="523" max="523" width="11.42578125" customWidth="1"/>
    <col min="769" max="769" width="4.85546875" customWidth="1"/>
    <col min="770" max="770" width="22.140625" customWidth="1"/>
    <col min="771" max="771" width="82.5703125" customWidth="1"/>
    <col min="772" max="772" width="15.28515625" customWidth="1"/>
    <col min="773" max="773" width="11.140625" customWidth="1"/>
    <col min="774" max="774" width="17" customWidth="1"/>
    <col min="775" max="775" width="14" customWidth="1"/>
    <col min="776" max="776" width="17.140625" customWidth="1"/>
    <col min="777" max="777" width="16.28515625" bestFit="1" customWidth="1"/>
    <col min="779" max="779" width="11.42578125" customWidth="1"/>
    <col min="1025" max="1025" width="4.85546875" customWidth="1"/>
    <col min="1026" max="1026" width="22.140625" customWidth="1"/>
    <col min="1027" max="1027" width="82.5703125" customWidth="1"/>
    <col min="1028" max="1028" width="15.28515625" customWidth="1"/>
    <col min="1029" max="1029" width="11.140625" customWidth="1"/>
    <col min="1030" max="1030" width="17" customWidth="1"/>
    <col min="1031" max="1031" width="14" customWidth="1"/>
    <col min="1032" max="1032" width="17.140625" customWidth="1"/>
    <col min="1033" max="1033" width="16.28515625" bestFit="1" customWidth="1"/>
    <col min="1035" max="1035" width="11.42578125" customWidth="1"/>
    <col min="1281" max="1281" width="4.85546875" customWidth="1"/>
    <col min="1282" max="1282" width="22.140625" customWidth="1"/>
    <col min="1283" max="1283" width="82.5703125" customWidth="1"/>
    <col min="1284" max="1284" width="15.28515625" customWidth="1"/>
    <col min="1285" max="1285" width="11.140625" customWidth="1"/>
    <col min="1286" max="1286" width="17" customWidth="1"/>
    <col min="1287" max="1287" width="14" customWidth="1"/>
    <col min="1288" max="1288" width="17.140625" customWidth="1"/>
    <col min="1289" max="1289" width="16.28515625" bestFit="1" customWidth="1"/>
    <col min="1291" max="1291" width="11.42578125" customWidth="1"/>
    <col min="1537" max="1537" width="4.85546875" customWidth="1"/>
    <col min="1538" max="1538" width="22.140625" customWidth="1"/>
    <col min="1539" max="1539" width="82.5703125" customWidth="1"/>
    <col min="1540" max="1540" width="15.28515625" customWidth="1"/>
    <col min="1541" max="1541" width="11.140625" customWidth="1"/>
    <col min="1542" max="1542" width="17" customWidth="1"/>
    <col min="1543" max="1543" width="14" customWidth="1"/>
    <col min="1544" max="1544" width="17.140625" customWidth="1"/>
    <col min="1545" max="1545" width="16.28515625" bestFit="1" customWidth="1"/>
    <col min="1547" max="1547" width="11.42578125" customWidth="1"/>
    <col min="1793" max="1793" width="4.85546875" customWidth="1"/>
    <col min="1794" max="1794" width="22.140625" customWidth="1"/>
    <col min="1795" max="1795" width="82.5703125" customWidth="1"/>
    <col min="1796" max="1796" width="15.28515625" customWidth="1"/>
    <col min="1797" max="1797" width="11.140625" customWidth="1"/>
    <col min="1798" max="1798" width="17" customWidth="1"/>
    <col min="1799" max="1799" width="14" customWidth="1"/>
    <col min="1800" max="1800" width="17.140625" customWidth="1"/>
    <col min="1801" max="1801" width="16.28515625" bestFit="1" customWidth="1"/>
    <col min="1803" max="1803" width="11.42578125" customWidth="1"/>
    <col min="2049" max="2049" width="4.85546875" customWidth="1"/>
    <col min="2050" max="2050" width="22.140625" customWidth="1"/>
    <col min="2051" max="2051" width="82.5703125" customWidth="1"/>
    <col min="2052" max="2052" width="15.28515625" customWidth="1"/>
    <col min="2053" max="2053" width="11.140625" customWidth="1"/>
    <col min="2054" max="2054" width="17" customWidth="1"/>
    <col min="2055" max="2055" width="14" customWidth="1"/>
    <col min="2056" max="2056" width="17.140625" customWidth="1"/>
    <col min="2057" max="2057" width="16.28515625" bestFit="1" customWidth="1"/>
    <col min="2059" max="2059" width="11.42578125" customWidth="1"/>
    <col min="2305" max="2305" width="4.85546875" customWidth="1"/>
    <col min="2306" max="2306" width="22.140625" customWidth="1"/>
    <col min="2307" max="2307" width="82.5703125" customWidth="1"/>
    <col min="2308" max="2308" width="15.28515625" customWidth="1"/>
    <col min="2309" max="2309" width="11.140625" customWidth="1"/>
    <col min="2310" max="2310" width="17" customWidth="1"/>
    <col min="2311" max="2311" width="14" customWidth="1"/>
    <col min="2312" max="2312" width="17.140625" customWidth="1"/>
    <col min="2313" max="2313" width="16.28515625" bestFit="1" customWidth="1"/>
    <col min="2315" max="2315" width="11.42578125" customWidth="1"/>
    <col min="2561" max="2561" width="4.85546875" customWidth="1"/>
    <col min="2562" max="2562" width="22.140625" customWidth="1"/>
    <col min="2563" max="2563" width="82.5703125" customWidth="1"/>
    <col min="2564" max="2564" width="15.28515625" customWidth="1"/>
    <col min="2565" max="2565" width="11.140625" customWidth="1"/>
    <col min="2566" max="2566" width="17" customWidth="1"/>
    <col min="2567" max="2567" width="14" customWidth="1"/>
    <col min="2568" max="2568" width="17.140625" customWidth="1"/>
    <col min="2569" max="2569" width="16.28515625" bestFit="1" customWidth="1"/>
    <col min="2571" max="2571" width="11.42578125" customWidth="1"/>
    <col min="2817" max="2817" width="4.85546875" customWidth="1"/>
    <col min="2818" max="2818" width="22.140625" customWidth="1"/>
    <col min="2819" max="2819" width="82.5703125" customWidth="1"/>
    <col min="2820" max="2820" width="15.28515625" customWidth="1"/>
    <col min="2821" max="2821" width="11.140625" customWidth="1"/>
    <col min="2822" max="2822" width="17" customWidth="1"/>
    <col min="2823" max="2823" width="14" customWidth="1"/>
    <col min="2824" max="2824" width="17.140625" customWidth="1"/>
    <col min="2825" max="2825" width="16.28515625" bestFit="1" customWidth="1"/>
    <col min="2827" max="2827" width="11.42578125" customWidth="1"/>
    <col min="3073" max="3073" width="4.85546875" customWidth="1"/>
    <col min="3074" max="3074" width="22.140625" customWidth="1"/>
    <col min="3075" max="3075" width="82.5703125" customWidth="1"/>
    <col min="3076" max="3076" width="15.28515625" customWidth="1"/>
    <col min="3077" max="3077" width="11.140625" customWidth="1"/>
    <col min="3078" max="3078" width="17" customWidth="1"/>
    <col min="3079" max="3079" width="14" customWidth="1"/>
    <col min="3080" max="3080" width="17.140625" customWidth="1"/>
    <col min="3081" max="3081" width="16.28515625" bestFit="1" customWidth="1"/>
    <col min="3083" max="3083" width="11.42578125" customWidth="1"/>
    <col min="3329" max="3329" width="4.85546875" customWidth="1"/>
    <col min="3330" max="3330" width="22.140625" customWidth="1"/>
    <col min="3331" max="3331" width="82.5703125" customWidth="1"/>
    <col min="3332" max="3332" width="15.28515625" customWidth="1"/>
    <col min="3333" max="3333" width="11.140625" customWidth="1"/>
    <col min="3334" max="3334" width="17" customWidth="1"/>
    <col min="3335" max="3335" width="14" customWidth="1"/>
    <col min="3336" max="3336" width="17.140625" customWidth="1"/>
    <col min="3337" max="3337" width="16.28515625" bestFit="1" customWidth="1"/>
    <col min="3339" max="3339" width="11.42578125" customWidth="1"/>
    <col min="3585" max="3585" width="4.85546875" customWidth="1"/>
    <col min="3586" max="3586" width="22.140625" customWidth="1"/>
    <col min="3587" max="3587" width="82.5703125" customWidth="1"/>
    <col min="3588" max="3588" width="15.28515625" customWidth="1"/>
    <col min="3589" max="3589" width="11.140625" customWidth="1"/>
    <col min="3590" max="3590" width="17" customWidth="1"/>
    <col min="3591" max="3591" width="14" customWidth="1"/>
    <col min="3592" max="3592" width="17.140625" customWidth="1"/>
    <col min="3593" max="3593" width="16.28515625" bestFit="1" customWidth="1"/>
    <col min="3595" max="3595" width="11.42578125" customWidth="1"/>
    <col min="3841" max="3841" width="4.85546875" customWidth="1"/>
    <col min="3842" max="3842" width="22.140625" customWidth="1"/>
    <col min="3843" max="3843" width="82.5703125" customWidth="1"/>
    <col min="3844" max="3844" width="15.28515625" customWidth="1"/>
    <col min="3845" max="3845" width="11.140625" customWidth="1"/>
    <col min="3846" max="3846" width="17" customWidth="1"/>
    <col min="3847" max="3847" width="14" customWidth="1"/>
    <col min="3848" max="3848" width="17.140625" customWidth="1"/>
    <col min="3849" max="3849" width="16.28515625" bestFit="1" customWidth="1"/>
    <col min="3851" max="3851" width="11.42578125" customWidth="1"/>
    <col min="4097" max="4097" width="4.85546875" customWidth="1"/>
    <col min="4098" max="4098" width="22.140625" customWidth="1"/>
    <col min="4099" max="4099" width="82.5703125" customWidth="1"/>
    <col min="4100" max="4100" width="15.28515625" customWidth="1"/>
    <col min="4101" max="4101" width="11.140625" customWidth="1"/>
    <col min="4102" max="4102" width="17" customWidth="1"/>
    <col min="4103" max="4103" width="14" customWidth="1"/>
    <col min="4104" max="4104" width="17.140625" customWidth="1"/>
    <col min="4105" max="4105" width="16.28515625" bestFit="1" customWidth="1"/>
    <col min="4107" max="4107" width="11.42578125" customWidth="1"/>
    <col min="4353" max="4353" width="4.85546875" customWidth="1"/>
    <col min="4354" max="4354" width="22.140625" customWidth="1"/>
    <col min="4355" max="4355" width="82.5703125" customWidth="1"/>
    <col min="4356" max="4356" width="15.28515625" customWidth="1"/>
    <col min="4357" max="4357" width="11.140625" customWidth="1"/>
    <col min="4358" max="4358" width="17" customWidth="1"/>
    <col min="4359" max="4359" width="14" customWidth="1"/>
    <col min="4360" max="4360" width="17.140625" customWidth="1"/>
    <col min="4361" max="4361" width="16.28515625" bestFit="1" customWidth="1"/>
    <col min="4363" max="4363" width="11.42578125" customWidth="1"/>
    <col min="4609" max="4609" width="4.85546875" customWidth="1"/>
    <col min="4610" max="4610" width="22.140625" customWidth="1"/>
    <col min="4611" max="4611" width="82.5703125" customWidth="1"/>
    <col min="4612" max="4612" width="15.28515625" customWidth="1"/>
    <col min="4613" max="4613" width="11.140625" customWidth="1"/>
    <col min="4614" max="4614" width="17" customWidth="1"/>
    <col min="4615" max="4615" width="14" customWidth="1"/>
    <col min="4616" max="4616" width="17.140625" customWidth="1"/>
    <col min="4617" max="4617" width="16.28515625" bestFit="1" customWidth="1"/>
    <col min="4619" max="4619" width="11.42578125" customWidth="1"/>
    <col min="4865" max="4865" width="4.85546875" customWidth="1"/>
    <col min="4866" max="4866" width="22.140625" customWidth="1"/>
    <col min="4867" max="4867" width="82.5703125" customWidth="1"/>
    <col min="4868" max="4868" width="15.28515625" customWidth="1"/>
    <col min="4869" max="4869" width="11.140625" customWidth="1"/>
    <col min="4870" max="4870" width="17" customWidth="1"/>
    <col min="4871" max="4871" width="14" customWidth="1"/>
    <col min="4872" max="4872" width="17.140625" customWidth="1"/>
    <col min="4873" max="4873" width="16.28515625" bestFit="1" customWidth="1"/>
    <col min="4875" max="4875" width="11.42578125" customWidth="1"/>
    <col min="5121" max="5121" width="4.85546875" customWidth="1"/>
    <col min="5122" max="5122" width="22.140625" customWidth="1"/>
    <col min="5123" max="5123" width="82.5703125" customWidth="1"/>
    <col min="5124" max="5124" width="15.28515625" customWidth="1"/>
    <col min="5125" max="5125" width="11.140625" customWidth="1"/>
    <col min="5126" max="5126" width="17" customWidth="1"/>
    <col min="5127" max="5127" width="14" customWidth="1"/>
    <col min="5128" max="5128" width="17.140625" customWidth="1"/>
    <col min="5129" max="5129" width="16.28515625" bestFit="1" customWidth="1"/>
    <col min="5131" max="5131" width="11.42578125" customWidth="1"/>
    <col min="5377" max="5377" width="4.85546875" customWidth="1"/>
    <col min="5378" max="5378" width="22.140625" customWidth="1"/>
    <col min="5379" max="5379" width="82.5703125" customWidth="1"/>
    <col min="5380" max="5380" width="15.28515625" customWidth="1"/>
    <col min="5381" max="5381" width="11.140625" customWidth="1"/>
    <col min="5382" max="5382" width="17" customWidth="1"/>
    <col min="5383" max="5383" width="14" customWidth="1"/>
    <col min="5384" max="5384" width="17.140625" customWidth="1"/>
    <col min="5385" max="5385" width="16.28515625" bestFit="1" customWidth="1"/>
    <col min="5387" max="5387" width="11.42578125" customWidth="1"/>
    <col min="5633" max="5633" width="4.85546875" customWidth="1"/>
    <col min="5634" max="5634" width="22.140625" customWidth="1"/>
    <col min="5635" max="5635" width="82.5703125" customWidth="1"/>
    <col min="5636" max="5636" width="15.28515625" customWidth="1"/>
    <col min="5637" max="5637" width="11.140625" customWidth="1"/>
    <col min="5638" max="5638" width="17" customWidth="1"/>
    <col min="5639" max="5639" width="14" customWidth="1"/>
    <col min="5640" max="5640" width="17.140625" customWidth="1"/>
    <col min="5641" max="5641" width="16.28515625" bestFit="1" customWidth="1"/>
    <col min="5643" max="5643" width="11.42578125" customWidth="1"/>
    <col min="5889" max="5889" width="4.85546875" customWidth="1"/>
    <col min="5890" max="5890" width="22.140625" customWidth="1"/>
    <col min="5891" max="5891" width="82.5703125" customWidth="1"/>
    <col min="5892" max="5892" width="15.28515625" customWidth="1"/>
    <col min="5893" max="5893" width="11.140625" customWidth="1"/>
    <col min="5894" max="5894" width="17" customWidth="1"/>
    <col min="5895" max="5895" width="14" customWidth="1"/>
    <col min="5896" max="5896" width="17.140625" customWidth="1"/>
    <col min="5897" max="5897" width="16.28515625" bestFit="1" customWidth="1"/>
    <col min="5899" max="5899" width="11.42578125" customWidth="1"/>
    <col min="6145" max="6145" width="4.85546875" customWidth="1"/>
    <col min="6146" max="6146" width="22.140625" customWidth="1"/>
    <col min="6147" max="6147" width="82.5703125" customWidth="1"/>
    <col min="6148" max="6148" width="15.28515625" customWidth="1"/>
    <col min="6149" max="6149" width="11.140625" customWidth="1"/>
    <col min="6150" max="6150" width="17" customWidth="1"/>
    <col min="6151" max="6151" width="14" customWidth="1"/>
    <col min="6152" max="6152" width="17.140625" customWidth="1"/>
    <col min="6153" max="6153" width="16.28515625" bestFit="1" customWidth="1"/>
    <col min="6155" max="6155" width="11.42578125" customWidth="1"/>
    <col min="6401" max="6401" width="4.85546875" customWidth="1"/>
    <col min="6402" max="6402" width="22.140625" customWidth="1"/>
    <col min="6403" max="6403" width="82.5703125" customWidth="1"/>
    <col min="6404" max="6404" width="15.28515625" customWidth="1"/>
    <col min="6405" max="6405" width="11.140625" customWidth="1"/>
    <col min="6406" max="6406" width="17" customWidth="1"/>
    <col min="6407" max="6407" width="14" customWidth="1"/>
    <col min="6408" max="6408" width="17.140625" customWidth="1"/>
    <col min="6409" max="6409" width="16.28515625" bestFit="1" customWidth="1"/>
    <col min="6411" max="6411" width="11.42578125" customWidth="1"/>
    <col min="6657" max="6657" width="4.85546875" customWidth="1"/>
    <col min="6658" max="6658" width="22.140625" customWidth="1"/>
    <col min="6659" max="6659" width="82.5703125" customWidth="1"/>
    <col min="6660" max="6660" width="15.28515625" customWidth="1"/>
    <col min="6661" max="6661" width="11.140625" customWidth="1"/>
    <col min="6662" max="6662" width="17" customWidth="1"/>
    <col min="6663" max="6663" width="14" customWidth="1"/>
    <col min="6664" max="6664" width="17.140625" customWidth="1"/>
    <col min="6665" max="6665" width="16.28515625" bestFit="1" customWidth="1"/>
    <col min="6667" max="6667" width="11.42578125" customWidth="1"/>
    <col min="6913" max="6913" width="4.85546875" customWidth="1"/>
    <col min="6914" max="6914" width="22.140625" customWidth="1"/>
    <col min="6915" max="6915" width="82.5703125" customWidth="1"/>
    <col min="6916" max="6916" width="15.28515625" customWidth="1"/>
    <col min="6917" max="6917" width="11.140625" customWidth="1"/>
    <col min="6918" max="6918" width="17" customWidth="1"/>
    <col min="6919" max="6919" width="14" customWidth="1"/>
    <col min="6920" max="6920" width="17.140625" customWidth="1"/>
    <col min="6921" max="6921" width="16.28515625" bestFit="1" customWidth="1"/>
    <col min="6923" max="6923" width="11.42578125" customWidth="1"/>
    <col min="7169" max="7169" width="4.85546875" customWidth="1"/>
    <col min="7170" max="7170" width="22.140625" customWidth="1"/>
    <col min="7171" max="7171" width="82.5703125" customWidth="1"/>
    <col min="7172" max="7172" width="15.28515625" customWidth="1"/>
    <col min="7173" max="7173" width="11.140625" customWidth="1"/>
    <col min="7174" max="7174" width="17" customWidth="1"/>
    <col min="7175" max="7175" width="14" customWidth="1"/>
    <col min="7176" max="7176" width="17.140625" customWidth="1"/>
    <col min="7177" max="7177" width="16.28515625" bestFit="1" customWidth="1"/>
    <col min="7179" max="7179" width="11.42578125" customWidth="1"/>
    <col min="7425" max="7425" width="4.85546875" customWidth="1"/>
    <col min="7426" max="7426" width="22.140625" customWidth="1"/>
    <col min="7427" max="7427" width="82.5703125" customWidth="1"/>
    <col min="7428" max="7428" width="15.28515625" customWidth="1"/>
    <col min="7429" max="7429" width="11.140625" customWidth="1"/>
    <col min="7430" max="7430" width="17" customWidth="1"/>
    <col min="7431" max="7431" width="14" customWidth="1"/>
    <col min="7432" max="7432" width="17.140625" customWidth="1"/>
    <col min="7433" max="7433" width="16.28515625" bestFit="1" customWidth="1"/>
    <col min="7435" max="7435" width="11.42578125" customWidth="1"/>
    <col min="7681" max="7681" width="4.85546875" customWidth="1"/>
    <col min="7682" max="7682" width="22.140625" customWidth="1"/>
    <col min="7683" max="7683" width="82.5703125" customWidth="1"/>
    <col min="7684" max="7684" width="15.28515625" customWidth="1"/>
    <col min="7685" max="7685" width="11.140625" customWidth="1"/>
    <col min="7686" max="7686" width="17" customWidth="1"/>
    <col min="7687" max="7687" width="14" customWidth="1"/>
    <col min="7688" max="7688" width="17.140625" customWidth="1"/>
    <col min="7689" max="7689" width="16.28515625" bestFit="1" customWidth="1"/>
    <col min="7691" max="7691" width="11.42578125" customWidth="1"/>
    <col min="7937" max="7937" width="4.85546875" customWidth="1"/>
    <col min="7938" max="7938" width="22.140625" customWidth="1"/>
    <col min="7939" max="7939" width="82.5703125" customWidth="1"/>
    <col min="7940" max="7940" width="15.28515625" customWidth="1"/>
    <col min="7941" max="7941" width="11.140625" customWidth="1"/>
    <col min="7942" max="7942" width="17" customWidth="1"/>
    <col min="7943" max="7943" width="14" customWidth="1"/>
    <col min="7944" max="7944" width="17.140625" customWidth="1"/>
    <col min="7945" max="7945" width="16.28515625" bestFit="1" customWidth="1"/>
    <col min="7947" max="7947" width="11.42578125" customWidth="1"/>
    <col min="8193" max="8193" width="4.85546875" customWidth="1"/>
    <col min="8194" max="8194" width="22.140625" customWidth="1"/>
    <col min="8195" max="8195" width="82.5703125" customWidth="1"/>
    <col min="8196" max="8196" width="15.28515625" customWidth="1"/>
    <col min="8197" max="8197" width="11.140625" customWidth="1"/>
    <col min="8198" max="8198" width="17" customWidth="1"/>
    <col min="8199" max="8199" width="14" customWidth="1"/>
    <col min="8200" max="8200" width="17.140625" customWidth="1"/>
    <col min="8201" max="8201" width="16.28515625" bestFit="1" customWidth="1"/>
    <col min="8203" max="8203" width="11.42578125" customWidth="1"/>
    <col min="8449" max="8449" width="4.85546875" customWidth="1"/>
    <col min="8450" max="8450" width="22.140625" customWidth="1"/>
    <col min="8451" max="8451" width="82.5703125" customWidth="1"/>
    <col min="8452" max="8452" width="15.28515625" customWidth="1"/>
    <col min="8453" max="8453" width="11.140625" customWidth="1"/>
    <col min="8454" max="8454" width="17" customWidth="1"/>
    <col min="8455" max="8455" width="14" customWidth="1"/>
    <col min="8456" max="8456" width="17.140625" customWidth="1"/>
    <col min="8457" max="8457" width="16.28515625" bestFit="1" customWidth="1"/>
    <col min="8459" max="8459" width="11.42578125" customWidth="1"/>
    <col min="8705" max="8705" width="4.85546875" customWidth="1"/>
    <col min="8706" max="8706" width="22.140625" customWidth="1"/>
    <col min="8707" max="8707" width="82.5703125" customWidth="1"/>
    <col min="8708" max="8708" width="15.28515625" customWidth="1"/>
    <col min="8709" max="8709" width="11.140625" customWidth="1"/>
    <col min="8710" max="8710" width="17" customWidth="1"/>
    <col min="8711" max="8711" width="14" customWidth="1"/>
    <col min="8712" max="8712" width="17.140625" customWidth="1"/>
    <col min="8713" max="8713" width="16.28515625" bestFit="1" customWidth="1"/>
    <col min="8715" max="8715" width="11.42578125" customWidth="1"/>
    <col min="8961" max="8961" width="4.85546875" customWidth="1"/>
    <col min="8962" max="8962" width="22.140625" customWidth="1"/>
    <col min="8963" max="8963" width="82.5703125" customWidth="1"/>
    <col min="8964" max="8964" width="15.28515625" customWidth="1"/>
    <col min="8965" max="8965" width="11.140625" customWidth="1"/>
    <col min="8966" max="8966" width="17" customWidth="1"/>
    <col min="8967" max="8967" width="14" customWidth="1"/>
    <col min="8968" max="8968" width="17.140625" customWidth="1"/>
    <col min="8969" max="8969" width="16.28515625" bestFit="1" customWidth="1"/>
    <col min="8971" max="8971" width="11.42578125" customWidth="1"/>
    <col min="9217" max="9217" width="4.85546875" customWidth="1"/>
    <col min="9218" max="9218" width="22.140625" customWidth="1"/>
    <col min="9219" max="9219" width="82.5703125" customWidth="1"/>
    <col min="9220" max="9220" width="15.28515625" customWidth="1"/>
    <col min="9221" max="9221" width="11.140625" customWidth="1"/>
    <col min="9222" max="9222" width="17" customWidth="1"/>
    <col min="9223" max="9223" width="14" customWidth="1"/>
    <col min="9224" max="9224" width="17.140625" customWidth="1"/>
    <col min="9225" max="9225" width="16.28515625" bestFit="1" customWidth="1"/>
    <col min="9227" max="9227" width="11.42578125" customWidth="1"/>
    <col min="9473" max="9473" width="4.85546875" customWidth="1"/>
    <col min="9474" max="9474" width="22.140625" customWidth="1"/>
    <col min="9475" max="9475" width="82.5703125" customWidth="1"/>
    <col min="9476" max="9476" width="15.28515625" customWidth="1"/>
    <col min="9477" max="9477" width="11.140625" customWidth="1"/>
    <col min="9478" max="9478" width="17" customWidth="1"/>
    <col min="9479" max="9479" width="14" customWidth="1"/>
    <col min="9480" max="9480" width="17.140625" customWidth="1"/>
    <col min="9481" max="9481" width="16.28515625" bestFit="1" customWidth="1"/>
    <col min="9483" max="9483" width="11.42578125" customWidth="1"/>
    <col min="9729" max="9729" width="4.85546875" customWidth="1"/>
    <col min="9730" max="9730" width="22.140625" customWidth="1"/>
    <col min="9731" max="9731" width="82.5703125" customWidth="1"/>
    <col min="9732" max="9732" width="15.28515625" customWidth="1"/>
    <col min="9733" max="9733" width="11.140625" customWidth="1"/>
    <col min="9734" max="9734" width="17" customWidth="1"/>
    <col min="9735" max="9735" width="14" customWidth="1"/>
    <col min="9736" max="9736" width="17.140625" customWidth="1"/>
    <col min="9737" max="9737" width="16.28515625" bestFit="1" customWidth="1"/>
    <col min="9739" max="9739" width="11.42578125" customWidth="1"/>
    <col min="9985" max="9985" width="4.85546875" customWidth="1"/>
    <col min="9986" max="9986" width="22.140625" customWidth="1"/>
    <col min="9987" max="9987" width="82.5703125" customWidth="1"/>
    <col min="9988" max="9988" width="15.28515625" customWidth="1"/>
    <col min="9989" max="9989" width="11.140625" customWidth="1"/>
    <col min="9990" max="9990" width="17" customWidth="1"/>
    <col min="9991" max="9991" width="14" customWidth="1"/>
    <col min="9992" max="9992" width="17.140625" customWidth="1"/>
    <col min="9993" max="9993" width="16.28515625" bestFit="1" customWidth="1"/>
    <col min="9995" max="9995" width="11.42578125" customWidth="1"/>
    <col min="10241" max="10241" width="4.85546875" customWidth="1"/>
    <col min="10242" max="10242" width="22.140625" customWidth="1"/>
    <col min="10243" max="10243" width="82.5703125" customWidth="1"/>
    <col min="10244" max="10244" width="15.28515625" customWidth="1"/>
    <col min="10245" max="10245" width="11.140625" customWidth="1"/>
    <col min="10246" max="10246" width="17" customWidth="1"/>
    <col min="10247" max="10247" width="14" customWidth="1"/>
    <col min="10248" max="10248" width="17.140625" customWidth="1"/>
    <col min="10249" max="10249" width="16.28515625" bestFit="1" customWidth="1"/>
    <col min="10251" max="10251" width="11.42578125" customWidth="1"/>
    <col min="10497" max="10497" width="4.85546875" customWidth="1"/>
    <col min="10498" max="10498" width="22.140625" customWidth="1"/>
    <col min="10499" max="10499" width="82.5703125" customWidth="1"/>
    <col min="10500" max="10500" width="15.28515625" customWidth="1"/>
    <col min="10501" max="10501" width="11.140625" customWidth="1"/>
    <col min="10502" max="10502" width="17" customWidth="1"/>
    <col min="10503" max="10503" width="14" customWidth="1"/>
    <col min="10504" max="10504" width="17.140625" customWidth="1"/>
    <col min="10505" max="10505" width="16.28515625" bestFit="1" customWidth="1"/>
    <col min="10507" max="10507" width="11.42578125" customWidth="1"/>
    <col min="10753" max="10753" width="4.85546875" customWidth="1"/>
    <col min="10754" max="10754" width="22.140625" customWidth="1"/>
    <col min="10755" max="10755" width="82.5703125" customWidth="1"/>
    <col min="10756" max="10756" width="15.28515625" customWidth="1"/>
    <col min="10757" max="10757" width="11.140625" customWidth="1"/>
    <col min="10758" max="10758" width="17" customWidth="1"/>
    <col min="10759" max="10759" width="14" customWidth="1"/>
    <col min="10760" max="10760" width="17.140625" customWidth="1"/>
    <col min="10761" max="10761" width="16.28515625" bestFit="1" customWidth="1"/>
    <col min="10763" max="10763" width="11.42578125" customWidth="1"/>
    <col min="11009" max="11009" width="4.85546875" customWidth="1"/>
    <col min="11010" max="11010" width="22.140625" customWidth="1"/>
    <col min="11011" max="11011" width="82.5703125" customWidth="1"/>
    <col min="11012" max="11012" width="15.28515625" customWidth="1"/>
    <col min="11013" max="11013" width="11.140625" customWidth="1"/>
    <col min="11014" max="11014" width="17" customWidth="1"/>
    <col min="11015" max="11015" width="14" customWidth="1"/>
    <col min="11016" max="11016" width="17.140625" customWidth="1"/>
    <col min="11017" max="11017" width="16.28515625" bestFit="1" customWidth="1"/>
    <col min="11019" max="11019" width="11.42578125" customWidth="1"/>
    <col min="11265" max="11265" width="4.85546875" customWidth="1"/>
    <col min="11266" max="11266" width="22.140625" customWidth="1"/>
    <col min="11267" max="11267" width="82.5703125" customWidth="1"/>
    <col min="11268" max="11268" width="15.28515625" customWidth="1"/>
    <col min="11269" max="11269" width="11.140625" customWidth="1"/>
    <col min="11270" max="11270" width="17" customWidth="1"/>
    <col min="11271" max="11271" width="14" customWidth="1"/>
    <col min="11272" max="11272" width="17.140625" customWidth="1"/>
    <col min="11273" max="11273" width="16.28515625" bestFit="1" customWidth="1"/>
    <col min="11275" max="11275" width="11.42578125" customWidth="1"/>
    <col min="11521" max="11521" width="4.85546875" customWidth="1"/>
    <col min="11522" max="11522" width="22.140625" customWidth="1"/>
    <col min="11523" max="11523" width="82.5703125" customWidth="1"/>
    <col min="11524" max="11524" width="15.28515625" customWidth="1"/>
    <col min="11525" max="11525" width="11.140625" customWidth="1"/>
    <col min="11526" max="11526" width="17" customWidth="1"/>
    <col min="11527" max="11527" width="14" customWidth="1"/>
    <col min="11528" max="11528" width="17.140625" customWidth="1"/>
    <col min="11529" max="11529" width="16.28515625" bestFit="1" customWidth="1"/>
    <col min="11531" max="11531" width="11.42578125" customWidth="1"/>
    <col min="11777" max="11777" width="4.85546875" customWidth="1"/>
    <col min="11778" max="11778" width="22.140625" customWidth="1"/>
    <col min="11779" max="11779" width="82.5703125" customWidth="1"/>
    <col min="11780" max="11780" width="15.28515625" customWidth="1"/>
    <col min="11781" max="11781" width="11.140625" customWidth="1"/>
    <col min="11782" max="11782" width="17" customWidth="1"/>
    <col min="11783" max="11783" width="14" customWidth="1"/>
    <col min="11784" max="11784" width="17.140625" customWidth="1"/>
    <col min="11785" max="11785" width="16.28515625" bestFit="1" customWidth="1"/>
    <col min="11787" max="11787" width="11.42578125" customWidth="1"/>
    <col min="12033" max="12033" width="4.85546875" customWidth="1"/>
    <col min="12034" max="12034" width="22.140625" customWidth="1"/>
    <col min="12035" max="12035" width="82.5703125" customWidth="1"/>
    <col min="12036" max="12036" width="15.28515625" customWidth="1"/>
    <col min="12037" max="12037" width="11.140625" customWidth="1"/>
    <col min="12038" max="12038" width="17" customWidth="1"/>
    <col min="12039" max="12039" width="14" customWidth="1"/>
    <col min="12040" max="12040" width="17.140625" customWidth="1"/>
    <col min="12041" max="12041" width="16.28515625" bestFit="1" customWidth="1"/>
    <col min="12043" max="12043" width="11.42578125" customWidth="1"/>
    <col min="12289" max="12289" width="4.85546875" customWidth="1"/>
    <col min="12290" max="12290" width="22.140625" customWidth="1"/>
    <col min="12291" max="12291" width="82.5703125" customWidth="1"/>
    <col min="12292" max="12292" width="15.28515625" customWidth="1"/>
    <col min="12293" max="12293" width="11.140625" customWidth="1"/>
    <col min="12294" max="12294" width="17" customWidth="1"/>
    <col min="12295" max="12295" width="14" customWidth="1"/>
    <col min="12296" max="12296" width="17.140625" customWidth="1"/>
    <col min="12297" max="12297" width="16.28515625" bestFit="1" customWidth="1"/>
    <col min="12299" max="12299" width="11.42578125" customWidth="1"/>
    <col min="12545" max="12545" width="4.85546875" customWidth="1"/>
    <col min="12546" max="12546" width="22.140625" customWidth="1"/>
    <col min="12547" max="12547" width="82.5703125" customWidth="1"/>
    <col min="12548" max="12548" width="15.28515625" customWidth="1"/>
    <col min="12549" max="12549" width="11.140625" customWidth="1"/>
    <col min="12550" max="12550" width="17" customWidth="1"/>
    <col min="12551" max="12551" width="14" customWidth="1"/>
    <col min="12552" max="12552" width="17.140625" customWidth="1"/>
    <col min="12553" max="12553" width="16.28515625" bestFit="1" customWidth="1"/>
    <col min="12555" max="12555" width="11.42578125" customWidth="1"/>
    <col min="12801" max="12801" width="4.85546875" customWidth="1"/>
    <col min="12802" max="12802" width="22.140625" customWidth="1"/>
    <col min="12803" max="12803" width="82.5703125" customWidth="1"/>
    <col min="12804" max="12804" width="15.28515625" customWidth="1"/>
    <col min="12805" max="12805" width="11.140625" customWidth="1"/>
    <col min="12806" max="12806" width="17" customWidth="1"/>
    <col min="12807" max="12807" width="14" customWidth="1"/>
    <col min="12808" max="12808" width="17.140625" customWidth="1"/>
    <col min="12809" max="12809" width="16.28515625" bestFit="1" customWidth="1"/>
    <col min="12811" max="12811" width="11.42578125" customWidth="1"/>
    <col min="13057" max="13057" width="4.85546875" customWidth="1"/>
    <col min="13058" max="13058" width="22.140625" customWidth="1"/>
    <col min="13059" max="13059" width="82.5703125" customWidth="1"/>
    <col min="13060" max="13060" width="15.28515625" customWidth="1"/>
    <col min="13061" max="13061" width="11.140625" customWidth="1"/>
    <col min="13062" max="13062" width="17" customWidth="1"/>
    <col min="13063" max="13063" width="14" customWidth="1"/>
    <col min="13064" max="13064" width="17.140625" customWidth="1"/>
    <col min="13065" max="13065" width="16.28515625" bestFit="1" customWidth="1"/>
    <col min="13067" max="13067" width="11.42578125" customWidth="1"/>
    <col min="13313" max="13313" width="4.85546875" customWidth="1"/>
    <col min="13314" max="13314" width="22.140625" customWidth="1"/>
    <col min="13315" max="13315" width="82.5703125" customWidth="1"/>
    <col min="13316" max="13316" width="15.28515625" customWidth="1"/>
    <col min="13317" max="13317" width="11.140625" customWidth="1"/>
    <col min="13318" max="13318" width="17" customWidth="1"/>
    <col min="13319" max="13319" width="14" customWidth="1"/>
    <col min="13320" max="13320" width="17.140625" customWidth="1"/>
    <col min="13321" max="13321" width="16.28515625" bestFit="1" customWidth="1"/>
    <col min="13323" max="13323" width="11.42578125" customWidth="1"/>
    <col min="13569" max="13569" width="4.85546875" customWidth="1"/>
    <col min="13570" max="13570" width="22.140625" customWidth="1"/>
    <col min="13571" max="13571" width="82.5703125" customWidth="1"/>
    <col min="13572" max="13572" width="15.28515625" customWidth="1"/>
    <col min="13573" max="13573" width="11.140625" customWidth="1"/>
    <col min="13574" max="13574" width="17" customWidth="1"/>
    <col min="13575" max="13575" width="14" customWidth="1"/>
    <col min="13576" max="13576" width="17.140625" customWidth="1"/>
    <col min="13577" max="13577" width="16.28515625" bestFit="1" customWidth="1"/>
    <col min="13579" max="13579" width="11.42578125" customWidth="1"/>
    <col min="13825" max="13825" width="4.85546875" customWidth="1"/>
    <col min="13826" max="13826" width="22.140625" customWidth="1"/>
    <col min="13827" max="13827" width="82.5703125" customWidth="1"/>
    <col min="13828" max="13828" width="15.28515625" customWidth="1"/>
    <col min="13829" max="13829" width="11.140625" customWidth="1"/>
    <col min="13830" max="13830" width="17" customWidth="1"/>
    <col min="13831" max="13831" width="14" customWidth="1"/>
    <col min="13832" max="13832" width="17.140625" customWidth="1"/>
    <col min="13833" max="13833" width="16.28515625" bestFit="1" customWidth="1"/>
    <col min="13835" max="13835" width="11.42578125" customWidth="1"/>
    <col min="14081" max="14081" width="4.85546875" customWidth="1"/>
    <col min="14082" max="14082" width="22.140625" customWidth="1"/>
    <col min="14083" max="14083" width="82.5703125" customWidth="1"/>
    <col min="14084" max="14084" width="15.28515625" customWidth="1"/>
    <col min="14085" max="14085" width="11.140625" customWidth="1"/>
    <col min="14086" max="14086" width="17" customWidth="1"/>
    <col min="14087" max="14087" width="14" customWidth="1"/>
    <col min="14088" max="14088" width="17.140625" customWidth="1"/>
    <col min="14089" max="14089" width="16.28515625" bestFit="1" customWidth="1"/>
    <col min="14091" max="14091" width="11.42578125" customWidth="1"/>
    <col min="14337" max="14337" width="4.85546875" customWidth="1"/>
    <col min="14338" max="14338" width="22.140625" customWidth="1"/>
    <col min="14339" max="14339" width="82.5703125" customWidth="1"/>
    <col min="14340" max="14340" width="15.28515625" customWidth="1"/>
    <col min="14341" max="14341" width="11.140625" customWidth="1"/>
    <col min="14342" max="14342" width="17" customWidth="1"/>
    <col min="14343" max="14343" width="14" customWidth="1"/>
    <col min="14344" max="14344" width="17.140625" customWidth="1"/>
    <col min="14345" max="14345" width="16.28515625" bestFit="1" customWidth="1"/>
    <col min="14347" max="14347" width="11.42578125" customWidth="1"/>
    <col min="14593" max="14593" width="4.85546875" customWidth="1"/>
    <col min="14594" max="14594" width="22.140625" customWidth="1"/>
    <col min="14595" max="14595" width="82.5703125" customWidth="1"/>
    <col min="14596" max="14596" width="15.28515625" customWidth="1"/>
    <col min="14597" max="14597" width="11.140625" customWidth="1"/>
    <col min="14598" max="14598" width="17" customWidth="1"/>
    <col min="14599" max="14599" width="14" customWidth="1"/>
    <col min="14600" max="14600" width="17.140625" customWidth="1"/>
    <col min="14601" max="14601" width="16.28515625" bestFit="1" customWidth="1"/>
    <col min="14603" max="14603" width="11.42578125" customWidth="1"/>
    <col min="14849" max="14849" width="4.85546875" customWidth="1"/>
    <col min="14850" max="14850" width="22.140625" customWidth="1"/>
    <col min="14851" max="14851" width="82.5703125" customWidth="1"/>
    <col min="14852" max="14852" width="15.28515625" customWidth="1"/>
    <col min="14853" max="14853" width="11.140625" customWidth="1"/>
    <col min="14854" max="14854" width="17" customWidth="1"/>
    <col min="14855" max="14855" width="14" customWidth="1"/>
    <col min="14856" max="14856" width="17.140625" customWidth="1"/>
    <col min="14857" max="14857" width="16.28515625" bestFit="1" customWidth="1"/>
    <col min="14859" max="14859" width="11.42578125" customWidth="1"/>
    <col min="15105" max="15105" width="4.85546875" customWidth="1"/>
    <col min="15106" max="15106" width="22.140625" customWidth="1"/>
    <col min="15107" max="15107" width="82.5703125" customWidth="1"/>
    <col min="15108" max="15108" width="15.28515625" customWidth="1"/>
    <col min="15109" max="15109" width="11.140625" customWidth="1"/>
    <col min="15110" max="15110" width="17" customWidth="1"/>
    <col min="15111" max="15111" width="14" customWidth="1"/>
    <col min="15112" max="15112" width="17.140625" customWidth="1"/>
    <col min="15113" max="15113" width="16.28515625" bestFit="1" customWidth="1"/>
    <col min="15115" max="15115" width="11.42578125" customWidth="1"/>
    <col min="15361" max="15361" width="4.85546875" customWidth="1"/>
    <col min="15362" max="15362" width="22.140625" customWidth="1"/>
    <col min="15363" max="15363" width="82.5703125" customWidth="1"/>
    <col min="15364" max="15364" width="15.28515625" customWidth="1"/>
    <col min="15365" max="15365" width="11.140625" customWidth="1"/>
    <col min="15366" max="15366" width="17" customWidth="1"/>
    <col min="15367" max="15367" width="14" customWidth="1"/>
    <col min="15368" max="15368" width="17.140625" customWidth="1"/>
    <col min="15369" max="15369" width="16.28515625" bestFit="1" customWidth="1"/>
    <col min="15371" max="15371" width="11.42578125" customWidth="1"/>
    <col min="15617" max="15617" width="4.85546875" customWidth="1"/>
    <col min="15618" max="15618" width="22.140625" customWidth="1"/>
    <col min="15619" max="15619" width="82.5703125" customWidth="1"/>
    <col min="15620" max="15620" width="15.28515625" customWidth="1"/>
    <col min="15621" max="15621" width="11.140625" customWidth="1"/>
    <col min="15622" max="15622" width="17" customWidth="1"/>
    <col min="15623" max="15623" width="14" customWidth="1"/>
    <col min="15624" max="15624" width="17.140625" customWidth="1"/>
    <col min="15625" max="15625" width="16.28515625" bestFit="1" customWidth="1"/>
    <col min="15627" max="15627" width="11.42578125" customWidth="1"/>
    <col min="15873" max="15873" width="4.85546875" customWidth="1"/>
    <col min="15874" max="15874" width="22.140625" customWidth="1"/>
    <col min="15875" max="15875" width="82.5703125" customWidth="1"/>
    <col min="15876" max="15876" width="15.28515625" customWidth="1"/>
    <col min="15877" max="15877" width="11.140625" customWidth="1"/>
    <col min="15878" max="15878" width="17" customWidth="1"/>
    <col min="15879" max="15879" width="14" customWidth="1"/>
    <col min="15880" max="15880" width="17.140625" customWidth="1"/>
    <col min="15881" max="15881" width="16.28515625" bestFit="1" customWidth="1"/>
    <col min="15883" max="15883" width="11.42578125" customWidth="1"/>
    <col min="16129" max="16129" width="4.85546875" customWidth="1"/>
    <col min="16130" max="16130" width="22.140625" customWidth="1"/>
    <col min="16131" max="16131" width="82.5703125" customWidth="1"/>
    <col min="16132" max="16132" width="15.28515625" customWidth="1"/>
    <col min="16133" max="16133" width="11.140625" customWidth="1"/>
    <col min="16134" max="16134" width="17" customWidth="1"/>
    <col min="16135" max="16135" width="14" customWidth="1"/>
    <col min="16136" max="16136" width="17.140625" customWidth="1"/>
    <col min="16137" max="16137" width="16.28515625" bestFit="1" customWidth="1"/>
    <col min="16139" max="16139" width="11.42578125" customWidth="1"/>
  </cols>
  <sheetData>
    <row r="1" spans="2:11" s="2" customFormat="1" ht="30" customHeight="1" x14ac:dyDescent="0.4">
      <c r="B1" s="1"/>
      <c r="D1" s="1"/>
      <c r="E1" s="1"/>
      <c r="F1" s="1"/>
      <c r="G1" s="1"/>
      <c r="H1" s="3"/>
    </row>
    <row r="2" spans="2:11" s="2" customFormat="1" ht="18" customHeight="1" x14ac:dyDescent="0.4">
      <c r="B2" s="4"/>
      <c r="C2" s="5"/>
      <c r="D2" s="431" t="s">
        <v>544</v>
      </c>
      <c r="E2" s="428"/>
      <c r="F2" s="428"/>
      <c r="G2" s="428"/>
      <c r="H2" s="428"/>
      <c r="I2" s="6"/>
      <c r="J2" s="6"/>
      <c r="K2" s="6"/>
    </row>
    <row r="3" spans="2:11" s="2" customFormat="1" ht="61.5" customHeight="1" x14ac:dyDescent="0.4">
      <c r="C3" s="427" t="s">
        <v>545</v>
      </c>
      <c r="D3" s="428"/>
      <c r="E3" s="428"/>
      <c r="F3" s="428"/>
      <c r="G3" s="428"/>
      <c r="H3" s="428"/>
      <c r="J3" s="7"/>
      <c r="K3" s="7"/>
    </row>
    <row r="4" spans="2:11" s="2" customFormat="1" ht="17.25" customHeight="1" x14ac:dyDescent="0.4">
      <c r="B4" s="8"/>
      <c r="C4" s="428"/>
      <c r="D4" s="428"/>
      <c r="E4" s="428"/>
      <c r="F4" s="428"/>
      <c r="G4" s="428"/>
      <c r="H4" s="428"/>
      <c r="I4" s="7"/>
      <c r="J4" s="7"/>
      <c r="K4" s="7"/>
    </row>
    <row r="5" spans="2:11" s="2" customFormat="1" ht="54.75" customHeight="1" x14ac:dyDescent="0.4">
      <c r="B5" s="9" t="s">
        <v>546</v>
      </c>
      <c r="C5" s="10">
        <f ca="1">TODAY()</f>
        <v>46259</v>
      </c>
      <c r="D5" s="428"/>
      <c r="E5" s="428"/>
      <c r="F5" s="428"/>
      <c r="G5" s="428"/>
      <c r="H5" s="428"/>
    </row>
    <row r="6" spans="2:11" s="2" customFormat="1" ht="30" customHeight="1" x14ac:dyDescent="0.4">
      <c r="B6" s="9" t="s">
        <v>547</v>
      </c>
      <c r="C6" s="11" t="s">
        <v>548</v>
      </c>
      <c r="E6" s="438" t="s">
        <v>549</v>
      </c>
      <c r="F6" s="428"/>
      <c r="G6" s="428"/>
      <c r="H6" s="66"/>
    </row>
    <row r="7" spans="2:11" s="2" customFormat="1" ht="44.25" customHeight="1" x14ac:dyDescent="0.4">
      <c r="B7" s="9" t="s">
        <v>550</v>
      </c>
      <c r="C7" s="11" t="s">
        <v>551</v>
      </c>
      <c r="D7" s="12"/>
    </row>
    <row r="8" spans="2:11" s="2" customFormat="1" ht="15" customHeight="1" x14ac:dyDescent="0.4">
      <c r="B8" s="435" t="s">
        <v>552</v>
      </c>
      <c r="C8" s="428"/>
      <c r="D8" s="1"/>
      <c r="E8" s="1"/>
      <c r="F8" s="66"/>
      <c r="G8" s="66"/>
      <c r="H8" s="3"/>
    </row>
    <row r="9" spans="2:11" s="2" customFormat="1" ht="15" customHeight="1" x14ac:dyDescent="0.4">
      <c r="B9" s="433" t="s">
        <v>553</v>
      </c>
      <c r="C9" s="428"/>
      <c r="D9" s="436" t="s">
        <v>554</v>
      </c>
      <c r="E9" s="428"/>
      <c r="F9" s="428"/>
      <c r="G9" s="428"/>
      <c r="H9" s="428"/>
    </row>
    <row r="10" spans="2:11" s="2" customFormat="1" ht="15" customHeight="1" x14ac:dyDescent="0.4">
      <c r="B10" s="423" t="s">
        <v>884</v>
      </c>
      <c r="C10" s="424"/>
      <c r="D10" s="437"/>
      <c r="E10" s="428"/>
      <c r="F10" s="428"/>
      <c r="G10" s="428"/>
      <c r="H10" s="428"/>
    </row>
    <row r="11" spans="2:11" s="2" customFormat="1" ht="15" customHeight="1" x14ac:dyDescent="0.4">
      <c r="B11" s="429" t="s">
        <v>555</v>
      </c>
      <c r="C11" s="428"/>
      <c r="D11" s="428"/>
      <c r="E11" s="428"/>
      <c r="F11" s="428"/>
      <c r="G11" s="428"/>
      <c r="H11" s="428"/>
    </row>
    <row r="12" spans="2:11" s="2" customFormat="1" ht="15" customHeight="1" x14ac:dyDescent="0.4">
      <c r="B12" s="443" t="s">
        <v>556</v>
      </c>
      <c r="C12" s="428"/>
      <c r="D12" s="428"/>
      <c r="E12" s="428"/>
      <c r="F12" s="428"/>
      <c r="G12" s="428"/>
      <c r="H12" s="428"/>
    </row>
    <row r="13" spans="2:11" s="2" customFormat="1" ht="15" customHeight="1" x14ac:dyDescent="0.4">
      <c r="B13" s="439" t="s">
        <v>557</v>
      </c>
      <c r="C13" s="428"/>
      <c r="D13" s="428"/>
      <c r="E13" s="428"/>
      <c r="F13" s="428"/>
      <c r="G13" s="428"/>
      <c r="H13" s="428"/>
    </row>
    <row r="14" spans="2:11" s="2" customFormat="1" ht="15" customHeight="1" x14ac:dyDescent="0.4">
      <c r="B14" s="440" t="s">
        <v>558</v>
      </c>
      <c r="C14" s="428"/>
      <c r="D14" s="428"/>
      <c r="E14" s="428"/>
      <c r="F14" s="428"/>
      <c r="G14" s="428"/>
      <c r="H14" s="428"/>
    </row>
    <row r="15" spans="2:11" s="2" customFormat="1" ht="15" customHeight="1" x14ac:dyDescent="0.4">
      <c r="B15" s="430" t="s">
        <v>559</v>
      </c>
      <c r="C15" s="428"/>
      <c r="D15" s="428"/>
      <c r="E15" s="428"/>
      <c r="F15" s="428"/>
      <c r="G15" s="428"/>
      <c r="H15" s="428"/>
    </row>
    <row r="16" spans="2:11" s="2" customFormat="1" ht="15" customHeight="1" x14ac:dyDescent="0.4">
      <c r="B16" s="442" t="s">
        <v>560</v>
      </c>
      <c r="C16" s="428"/>
      <c r="D16" s="428"/>
      <c r="E16" s="428"/>
      <c r="F16" s="428"/>
      <c r="G16" s="428"/>
      <c r="H16" s="428"/>
    </row>
    <row r="17" spans="2:9" s="2" customFormat="1" ht="15" customHeight="1" x14ac:dyDescent="0.4">
      <c r="B17" s="441" t="s">
        <v>561</v>
      </c>
      <c r="C17" s="428"/>
      <c r="D17" s="428"/>
      <c r="E17" s="428"/>
      <c r="F17" s="428"/>
      <c r="G17" s="428"/>
      <c r="H17" s="428"/>
    </row>
    <row r="18" spans="2:9" s="2" customFormat="1" ht="15" customHeight="1" x14ac:dyDescent="0.4">
      <c r="B18" s="432" t="s">
        <v>562</v>
      </c>
      <c r="C18" s="428"/>
      <c r="D18" s="428"/>
      <c r="E18" s="428"/>
      <c r="F18" s="428"/>
      <c r="G18" s="428"/>
      <c r="H18" s="428"/>
    </row>
    <row r="19" spans="2:9" s="2" customFormat="1" ht="15" customHeight="1" x14ac:dyDescent="0.4">
      <c r="B19" s="434" t="s">
        <v>563</v>
      </c>
      <c r="C19" s="428"/>
      <c r="D19" s="428"/>
      <c r="E19" s="428"/>
      <c r="F19" s="428"/>
      <c r="G19" s="428"/>
      <c r="H19" s="428"/>
    </row>
    <row r="20" spans="2:9" s="2" customFormat="1" ht="15" customHeight="1" x14ac:dyDescent="0.4">
      <c r="B20" s="421" t="s">
        <v>564</v>
      </c>
      <c r="C20" s="422"/>
      <c r="D20" s="422"/>
      <c r="E20" s="422"/>
      <c r="F20" s="422"/>
      <c r="G20" s="422"/>
      <c r="H20" s="422"/>
    </row>
    <row r="21" spans="2:9" s="2" customFormat="1" ht="13.5" hidden="1" customHeight="1" x14ac:dyDescent="0.4">
      <c r="B21" s="425" t="s">
        <v>565</v>
      </c>
      <c r="C21" s="426"/>
      <c r="D21" s="63"/>
      <c r="E21" s="63"/>
      <c r="F21" s="63"/>
      <c r="G21" s="63"/>
      <c r="H21" s="63"/>
    </row>
    <row r="22" spans="2:9" s="13" customFormat="1" ht="34.5" customHeight="1" x14ac:dyDescent="0.25">
      <c r="B22" s="50" t="s">
        <v>566</v>
      </c>
      <c r="C22" s="51" t="s">
        <v>567</v>
      </c>
      <c r="D22" s="50" t="s">
        <v>568</v>
      </c>
      <c r="E22" s="50" t="s">
        <v>569</v>
      </c>
      <c r="F22" s="50" t="s">
        <v>570</v>
      </c>
      <c r="G22" s="52" t="s">
        <v>571</v>
      </c>
      <c r="H22" s="53" t="s">
        <v>12</v>
      </c>
      <c r="I22" s="64" t="s">
        <v>572</v>
      </c>
    </row>
    <row r="23" spans="2:9" s="13" customFormat="1" ht="37.5" customHeight="1" x14ac:dyDescent="0.25">
      <c r="B23" s="21" t="s">
        <v>573</v>
      </c>
      <c r="C23" s="67" t="s">
        <v>574</v>
      </c>
      <c r="D23" s="50"/>
      <c r="E23" s="50"/>
      <c r="F23" s="50"/>
      <c r="G23" s="52"/>
      <c r="H23" s="53"/>
      <c r="I23" s="64"/>
    </row>
    <row r="24" spans="2:9" s="13" customFormat="1" ht="78.75" customHeight="1" x14ac:dyDescent="0.25">
      <c r="B24" s="54" t="s">
        <v>573</v>
      </c>
      <c r="C24" s="55" t="s">
        <v>575</v>
      </c>
      <c r="D24" s="56"/>
      <c r="E24" s="56"/>
      <c r="F24" s="57"/>
      <c r="G24" s="58"/>
      <c r="H24" s="59" t="s">
        <v>576</v>
      </c>
      <c r="I24" s="65" t="s">
        <v>552</v>
      </c>
    </row>
    <row r="25" spans="2:9" s="13" customFormat="1" ht="78.75" customHeight="1" x14ac:dyDescent="0.25">
      <c r="B25" s="14" t="s">
        <v>573</v>
      </c>
      <c r="C25" s="49" t="s">
        <v>577</v>
      </c>
      <c r="D25" s="15"/>
      <c r="E25" s="15"/>
      <c r="F25" s="18"/>
      <c r="G25" s="19"/>
      <c r="H25" s="17"/>
      <c r="I25" s="65" t="s">
        <v>552</v>
      </c>
    </row>
    <row r="26" spans="2:9" s="13" customFormat="1" ht="78.75" customHeight="1" x14ac:dyDescent="0.25">
      <c r="B26" s="14" t="s">
        <v>573</v>
      </c>
      <c r="C26" s="49" t="s">
        <v>578</v>
      </c>
      <c r="D26" s="15"/>
      <c r="E26" s="15"/>
      <c r="F26" s="18"/>
      <c r="G26" s="19"/>
      <c r="H26" s="17" t="s">
        <v>579</v>
      </c>
      <c r="I26" s="65" t="s">
        <v>552</v>
      </c>
    </row>
    <row r="27" spans="2:9" s="13" customFormat="1" ht="78.75" customHeight="1" x14ac:dyDescent="0.25">
      <c r="B27" s="14" t="s">
        <v>573</v>
      </c>
      <c r="C27" s="49" t="s">
        <v>580</v>
      </c>
      <c r="D27" s="15"/>
      <c r="E27" s="15"/>
      <c r="F27" s="18"/>
      <c r="G27" s="19"/>
      <c r="H27" s="17"/>
      <c r="I27" s="65" t="s">
        <v>552</v>
      </c>
    </row>
    <row r="28" spans="2:9" s="13" customFormat="1" ht="78.75" customHeight="1" x14ac:dyDescent="0.25">
      <c r="B28" s="14" t="s">
        <v>573</v>
      </c>
      <c r="C28" s="49" t="s">
        <v>581</v>
      </c>
      <c r="D28" s="15"/>
      <c r="E28" s="15"/>
      <c r="F28" s="18"/>
      <c r="G28" s="19"/>
      <c r="H28" s="17"/>
      <c r="I28" s="65" t="s">
        <v>552</v>
      </c>
    </row>
    <row r="29" spans="2:9" s="13" customFormat="1" ht="94.5" customHeight="1" x14ac:dyDescent="0.25">
      <c r="B29" s="14" t="s">
        <v>573</v>
      </c>
      <c r="C29" s="49" t="s">
        <v>582</v>
      </c>
      <c r="D29" s="15"/>
      <c r="E29" s="15"/>
      <c r="F29" s="16"/>
      <c r="G29" s="16"/>
      <c r="H29" s="17"/>
      <c r="I29" s="65" t="s">
        <v>552</v>
      </c>
    </row>
    <row r="30" spans="2:9" s="13" customFormat="1" ht="94.5" customHeight="1" x14ac:dyDescent="0.25">
      <c r="B30" s="14" t="s">
        <v>573</v>
      </c>
      <c r="C30" s="49" t="s">
        <v>583</v>
      </c>
      <c r="D30" s="15"/>
      <c r="E30" s="15"/>
      <c r="F30" s="16"/>
      <c r="G30" s="16"/>
      <c r="H30" s="17"/>
      <c r="I30" s="65" t="s">
        <v>552</v>
      </c>
    </row>
    <row r="31" spans="2:9" s="13" customFormat="1" ht="94.5" customHeight="1" x14ac:dyDescent="0.25">
      <c r="B31" s="14" t="s">
        <v>573</v>
      </c>
      <c r="C31" s="49" t="s">
        <v>584</v>
      </c>
      <c r="D31" s="15"/>
      <c r="E31" s="15"/>
      <c r="F31" s="16"/>
      <c r="G31" s="16"/>
      <c r="H31" s="17"/>
      <c r="I31" s="65" t="s">
        <v>552</v>
      </c>
    </row>
    <row r="32" spans="2:9" s="13" customFormat="1" ht="94.5" customHeight="1" x14ac:dyDescent="0.25">
      <c r="B32" s="14" t="s">
        <v>573</v>
      </c>
      <c r="C32" s="49" t="s">
        <v>585</v>
      </c>
      <c r="D32" s="15"/>
      <c r="E32" s="15"/>
      <c r="F32" s="16"/>
      <c r="G32" s="16"/>
      <c r="H32" s="17"/>
      <c r="I32" s="65" t="s">
        <v>552</v>
      </c>
    </row>
    <row r="33" spans="2:11" s="13" customFormat="1" ht="94.5" customHeight="1" x14ac:dyDescent="0.25">
      <c r="B33" s="14" t="s">
        <v>573</v>
      </c>
      <c r="C33" s="49" t="s">
        <v>586</v>
      </c>
      <c r="D33" s="15"/>
      <c r="E33" s="15"/>
      <c r="F33" s="16"/>
      <c r="G33" s="16"/>
      <c r="H33" s="17"/>
      <c r="I33" s="65" t="s">
        <v>552</v>
      </c>
    </row>
    <row r="34" spans="2:11" s="13" customFormat="1" ht="94.5" customHeight="1" x14ac:dyDescent="0.25">
      <c r="B34" s="14" t="s">
        <v>573</v>
      </c>
      <c r="C34" s="49" t="s">
        <v>587</v>
      </c>
      <c r="D34" s="15"/>
      <c r="E34" s="15"/>
      <c r="F34" s="16"/>
      <c r="G34" s="16"/>
      <c r="H34" s="17"/>
      <c r="I34" s="65" t="s">
        <v>552</v>
      </c>
    </row>
    <row r="35" spans="2:11" s="13" customFormat="1" ht="94.5" customHeight="1" x14ac:dyDescent="0.25">
      <c r="B35" s="54" t="s">
        <v>573</v>
      </c>
      <c r="C35" s="55" t="s">
        <v>588</v>
      </c>
      <c r="D35" s="56"/>
      <c r="E35" s="56"/>
      <c r="F35" s="60"/>
      <c r="G35" s="60"/>
      <c r="H35" s="59" t="s">
        <v>589</v>
      </c>
      <c r="I35" s="65" t="s">
        <v>552</v>
      </c>
    </row>
    <row r="36" spans="2:11" s="13" customFormat="1" ht="94.5" customHeight="1" x14ac:dyDescent="0.25">
      <c r="B36" s="54" t="s">
        <v>573</v>
      </c>
      <c r="C36" s="55" t="s">
        <v>590</v>
      </c>
      <c r="D36" s="56"/>
      <c r="E36" s="56"/>
      <c r="F36" s="60"/>
      <c r="G36" s="60"/>
      <c r="H36" s="59" t="s">
        <v>591</v>
      </c>
      <c r="I36" s="65" t="s">
        <v>552</v>
      </c>
    </row>
    <row r="37" spans="2:11" s="13" customFormat="1" ht="94.5" customHeight="1" x14ac:dyDescent="0.25">
      <c r="B37" s="14" t="s">
        <v>573</v>
      </c>
      <c r="C37" s="49" t="s">
        <v>592</v>
      </c>
      <c r="D37" s="15"/>
      <c r="E37" s="15"/>
      <c r="F37" s="16"/>
      <c r="G37" s="16"/>
      <c r="H37" s="17"/>
      <c r="I37" s="65" t="s">
        <v>552</v>
      </c>
    </row>
    <row r="38" spans="2:11" s="13" customFormat="1" ht="94.5" customHeight="1" x14ac:dyDescent="0.25">
      <c r="B38" s="14" t="s">
        <v>573</v>
      </c>
      <c r="C38" s="49" t="s">
        <v>593</v>
      </c>
      <c r="D38" s="15"/>
      <c r="E38" s="15"/>
      <c r="F38" s="16"/>
      <c r="G38" s="16"/>
      <c r="H38" s="17"/>
      <c r="I38" s="65" t="s">
        <v>552</v>
      </c>
    </row>
    <row r="39" spans="2:11" s="13" customFormat="1" ht="94.5" customHeight="1" x14ac:dyDescent="0.25">
      <c r="B39" s="14" t="s">
        <v>573</v>
      </c>
      <c r="C39" s="49" t="s">
        <v>594</v>
      </c>
      <c r="D39" s="15"/>
      <c r="E39" s="15"/>
      <c r="F39" s="16"/>
      <c r="G39" s="16"/>
      <c r="H39" s="17"/>
      <c r="I39" s="65" t="s">
        <v>552</v>
      </c>
    </row>
    <row r="40" spans="2:11" s="13" customFormat="1" ht="94.5" customHeight="1" x14ac:dyDescent="0.25">
      <c r="B40" s="54" t="s">
        <v>573</v>
      </c>
      <c r="C40" s="55" t="s">
        <v>595</v>
      </c>
      <c r="D40" s="56"/>
      <c r="E40" s="56"/>
      <c r="F40" s="60"/>
      <c r="G40" s="60"/>
      <c r="H40" s="59" t="s">
        <v>596</v>
      </c>
      <c r="I40" s="65" t="s">
        <v>552</v>
      </c>
    </row>
    <row r="41" spans="2:11" s="13" customFormat="1" ht="94.5" customHeight="1" x14ac:dyDescent="0.25">
      <c r="B41" s="14" t="s">
        <v>573</v>
      </c>
      <c r="C41" s="49" t="s">
        <v>597</v>
      </c>
      <c r="D41" s="15"/>
      <c r="E41" s="15"/>
      <c r="F41" s="16"/>
      <c r="G41" s="16"/>
      <c r="H41" s="17"/>
      <c r="I41" s="65" t="s">
        <v>552</v>
      </c>
    </row>
    <row r="42" spans="2:11" s="13" customFormat="1" ht="94.5" customHeight="1" x14ac:dyDescent="0.25">
      <c r="B42" s="14" t="s">
        <v>573</v>
      </c>
      <c r="C42" s="49" t="s">
        <v>598</v>
      </c>
      <c r="D42" s="15"/>
      <c r="E42" s="15"/>
      <c r="F42" s="16"/>
      <c r="G42" s="16"/>
      <c r="H42" s="17"/>
      <c r="I42" s="65" t="s">
        <v>552</v>
      </c>
    </row>
    <row r="43" spans="2:11" s="13" customFormat="1" ht="94.5" customHeight="1" x14ac:dyDescent="0.25">
      <c r="B43" s="14" t="s">
        <v>573</v>
      </c>
      <c r="C43" s="49" t="s">
        <v>599</v>
      </c>
      <c r="D43" s="15"/>
      <c r="E43" s="15"/>
      <c r="F43" s="16"/>
      <c r="G43" s="16"/>
      <c r="H43" s="17"/>
      <c r="I43" s="65" t="s">
        <v>552</v>
      </c>
    </row>
    <row r="44" spans="2:11" s="13" customFormat="1" ht="94.5" customHeight="1" x14ac:dyDescent="0.25">
      <c r="B44" s="14" t="s">
        <v>573</v>
      </c>
      <c r="C44" s="49" t="s">
        <v>600</v>
      </c>
      <c r="D44" s="15"/>
      <c r="E44" s="15"/>
      <c r="F44" s="16"/>
      <c r="G44" s="16"/>
      <c r="H44" s="17"/>
      <c r="I44" s="65" t="s">
        <v>552</v>
      </c>
    </row>
    <row r="45" spans="2:11" s="13" customFormat="1" ht="18.75" customHeight="1" x14ac:dyDescent="0.25">
      <c r="B45" s="25"/>
      <c r="C45" s="26" t="s">
        <v>601</v>
      </c>
      <c r="D45" s="25"/>
      <c r="E45" s="25"/>
      <c r="F45" s="27"/>
      <c r="G45" s="28"/>
      <c r="H45" s="29"/>
      <c r="I45" s="65" t="s">
        <v>565</v>
      </c>
    </row>
    <row r="46" spans="2:11" s="20" customFormat="1" ht="19.5" customHeight="1" x14ac:dyDescent="0.25">
      <c r="B46" s="23"/>
      <c r="C46" s="22"/>
      <c r="D46" s="23"/>
      <c r="E46" s="21"/>
      <c r="F46" s="61"/>
      <c r="G46" s="62"/>
      <c r="H46" s="24"/>
      <c r="I46" s="65" t="s">
        <v>565</v>
      </c>
    </row>
    <row r="47" spans="2:11" s="20" customFormat="1" ht="21.75" customHeight="1" x14ac:dyDescent="0.25">
      <c r="B47" s="23"/>
      <c r="C47" s="22"/>
      <c r="D47" s="21"/>
      <c r="E47" s="21"/>
      <c r="F47" s="61"/>
      <c r="G47" s="62"/>
      <c r="H47" s="24"/>
      <c r="I47" s="65" t="s">
        <v>565</v>
      </c>
    </row>
    <row r="48" spans="2:11" s="20" customFormat="1" ht="18.75" customHeight="1" x14ac:dyDescent="0.25">
      <c r="B48" s="21"/>
      <c r="C48" s="22"/>
      <c r="D48" s="21"/>
      <c r="E48" s="21"/>
      <c r="F48" s="61"/>
      <c r="G48" s="62"/>
      <c r="H48" s="24"/>
      <c r="I48" s="65" t="s">
        <v>565</v>
      </c>
      <c r="J48" s="13"/>
      <c r="K48" s="13"/>
    </row>
    <row r="49" spans="2:11" s="20" customFormat="1" ht="21.75" customHeight="1" x14ac:dyDescent="0.25">
      <c r="B49" s="23"/>
      <c r="C49" s="22"/>
      <c r="D49" s="21"/>
      <c r="E49" s="21"/>
      <c r="F49" s="61"/>
      <c r="G49" s="62"/>
      <c r="H49" s="24"/>
      <c r="I49" s="65" t="s">
        <v>565</v>
      </c>
    </row>
    <row r="50" spans="2:11" s="20" customFormat="1" ht="21.75" customHeight="1" x14ac:dyDescent="0.25">
      <c r="B50" s="23"/>
      <c r="C50" s="22"/>
      <c r="D50" s="21"/>
      <c r="E50" s="21"/>
      <c r="F50" s="61"/>
      <c r="G50" s="62"/>
      <c r="H50" s="24"/>
      <c r="I50" s="65" t="s">
        <v>565</v>
      </c>
    </row>
    <row r="51" spans="2:11" s="20" customFormat="1" ht="18.75" customHeight="1" x14ac:dyDescent="0.25">
      <c r="B51" s="23"/>
      <c r="C51" s="22"/>
      <c r="D51" s="21"/>
      <c r="E51" s="21"/>
      <c r="F51" s="61"/>
      <c r="G51" s="62"/>
      <c r="H51" s="24"/>
      <c r="I51" s="65" t="s">
        <v>565</v>
      </c>
      <c r="J51" s="13"/>
      <c r="K51" s="13"/>
    </row>
    <row r="52" spans="2:11" s="20" customFormat="1" ht="18.75" customHeight="1" x14ac:dyDescent="0.25">
      <c r="B52" s="23"/>
      <c r="C52" s="22"/>
      <c r="D52" s="21"/>
      <c r="E52" s="21"/>
      <c r="F52" s="61"/>
      <c r="G52" s="62"/>
      <c r="H52" s="24"/>
      <c r="I52" s="65" t="s">
        <v>565</v>
      </c>
      <c r="J52" s="13"/>
      <c r="K52" s="13"/>
    </row>
    <row r="53" spans="2:11" s="20" customFormat="1" ht="18.75" customHeight="1" x14ac:dyDescent="0.25">
      <c r="B53" s="23"/>
      <c r="C53" s="22"/>
      <c r="D53" s="21"/>
      <c r="E53" s="21"/>
      <c r="F53" s="61"/>
      <c r="G53" s="62"/>
      <c r="H53" s="24"/>
      <c r="I53" s="65" t="s">
        <v>565</v>
      </c>
      <c r="J53" s="13"/>
      <c r="K53" s="13"/>
    </row>
    <row r="54" spans="2:11" s="20" customFormat="1" ht="18.75" customHeight="1" x14ac:dyDescent="0.25">
      <c r="B54" s="23"/>
      <c r="C54" s="22"/>
      <c r="D54" s="21"/>
      <c r="E54" s="21"/>
      <c r="F54" s="61"/>
      <c r="G54" s="62"/>
      <c r="H54" s="24"/>
      <c r="I54" s="65" t="s">
        <v>565</v>
      </c>
      <c r="J54" s="13"/>
      <c r="K54" s="13"/>
    </row>
    <row r="55" spans="2:11" s="20" customFormat="1" ht="37.5" customHeight="1" x14ac:dyDescent="0.25">
      <c r="B55" s="25"/>
      <c r="C55" s="26" t="s">
        <v>602</v>
      </c>
      <c r="D55" s="25"/>
      <c r="E55" s="25"/>
      <c r="F55" s="27"/>
      <c r="G55" s="28"/>
      <c r="H55" s="29"/>
      <c r="I55" s="65" t="s">
        <v>565</v>
      </c>
      <c r="J55" s="13"/>
      <c r="K55" s="13"/>
    </row>
    <row r="56" spans="2:11" s="20" customFormat="1" ht="18.75" customHeight="1" x14ac:dyDescent="0.25">
      <c r="B56" s="21"/>
      <c r="C56" s="22"/>
      <c r="D56" s="23"/>
      <c r="E56" s="21"/>
      <c r="F56" s="61"/>
      <c r="G56" s="62"/>
      <c r="H56" s="24"/>
      <c r="I56" s="65" t="s">
        <v>565</v>
      </c>
      <c r="J56" s="13"/>
      <c r="K56" s="13"/>
    </row>
    <row r="57" spans="2:11" s="20" customFormat="1" ht="18.75" customHeight="1" x14ac:dyDescent="0.25">
      <c r="B57" s="21"/>
      <c r="C57" s="22"/>
      <c r="D57" s="23"/>
      <c r="E57" s="21"/>
      <c r="F57" s="61"/>
      <c r="G57" s="62"/>
      <c r="H57" s="24"/>
      <c r="I57" s="65" t="s">
        <v>565</v>
      </c>
      <c r="J57" s="13"/>
      <c r="K57" s="13"/>
    </row>
    <row r="58" spans="2:11" s="20" customFormat="1" ht="18.75" customHeight="1" x14ac:dyDescent="0.25">
      <c r="B58" s="21"/>
      <c r="C58" s="22"/>
      <c r="D58" s="23"/>
      <c r="E58" s="21"/>
      <c r="F58" s="61"/>
      <c r="G58" s="62"/>
      <c r="H58" s="24"/>
      <c r="I58" s="65" t="s">
        <v>565</v>
      </c>
      <c r="J58" s="13"/>
      <c r="K58" s="13"/>
    </row>
    <row r="59" spans="2:11" s="20" customFormat="1" ht="18.75" customHeight="1" x14ac:dyDescent="0.25">
      <c r="B59" s="21"/>
      <c r="C59" s="22"/>
      <c r="D59" s="23"/>
      <c r="E59" s="21"/>
      <c r="F59" s="61"/>
      <c r="G59" s="62"/>
      <c r="H59" s="24"/>
      <c r="I59" s="65" t="s">
        <v>565</v>
      </c>
      <c r="J59" s="13"/>
      <c r="K59" s="13"/>
    </row>
    <row r="60" spans="2:11" s="20" customFormat="1" ht="18.75" customHeight="1" x14ac:dyDescent="0.25">
      <c r="B60" s="21"/>
      <c r="C60" s="22"/>
      <c r="D60" s="23"/>
      <c r="E60" s="21"/>
      <c r="F60" s="61"/>
      <c r="G60" s="62"/>
      <c r="H60" s="24"/>
      <c r="I60" s="65" t="s">
        <v>565</v>
      </c>
      <c r="J60" s="13"/>
      <c r="K60" s="13"/>
    </row>
    <row r="61" spans="2:11" s="20" customFormat="1" ht="18.75" customHeight="1" x14ac:dyDescent="0.25">
      <c r="B61" s="21"/>
      <c r="C61" s="22"/>
      <c r="D61" s="23"/>
      <c r="E61" s="21"/>
      <c r="F61" s="61"/>
      <c r="G61" s="62"/>
      <c r="H61" s="24"/>
      <c r="I61" s="65" t="s">
        <v>565</v>
      </c>
      <c r="J61" s="13"/>
      <c r="K61" s="13"/>
    </row>
    <row r="62" spans="2:11" s="20" customFormat="1" ht="18.75" customHeight="1" x14ac:dyDescent="0.25">
      <c r="B62" s="21"/>
      <c r="C62" s="22"/>
      <c r="D62" s="23"/>
      <c r="E62" s="21"/>
      <c r="F62" s="61"/>
      <c r="G62" s="62"/>
      <c r="H62" s="24"/>
      <c r="I62" s="65" t="s">
        <v>565</v>
      </c>
      <c r="J62" s="13"/>
      <c r="K62" s="13"/>
    </row>
    <row r="63" spans="2:11" s="20" customFormat="1" ht="18.75" customHeight="1" x14ac:dyDescent="0.25">
      <c r="B63" s="21"/>
      <c r="C63" s="22"/>
      <c r="D63" s="23"/>
      <c r="E63" s="21"/>
      <c r="F63" s="61"/>
      <c r="G63" s="62"/>
      <c r="H63" s="24"/>
      <c r="I63" s="65" t="s">
        <v>565</v>
      </c>
      <c r="J63" s="13"/>
      <c r="K63" s="13"/>
    </row>
    <row r="64" spans="2:11" s="20" customFormat="1" ht="18.75" customHeight="1" x14ac:dyDescent="0.25">
      <c r="B64" s="21"/>
      <c r="C64" s="22"/>
      <c r="D64" s="23"/>
      <c r="E64" s="21"/>
      <c r="F64" s="61"/>
      <c r="G64" s="62"/>
      <c r="H64" s="24"/>
      <c r="I64" s="65" t="s">
        <v>565</v>
      </c>
      <c r="J64" s="13"/>
      <c r="K64" s="13"/>
    </row>
    <row r="65" spans="2:11" s="20" customFormat="1" ht="18.75" customHeight="1" x14ac:dyDescent="0.25">
      <c r="B65" s="21"/>
      <c r="C65" s="22"/>
      <c r="D65" s="23"/>
      <c r="E65" s="21"/>
      <c r="F65" s="61"/>
      <c r="G65" s="62"/>
      <c r="H65" s="24"/>
      <c r="I65" s="65" t="s">
        <v>565</v>
      </c>
      <c r="J65" s="13"/>
      <c r="K65" s="13"/>
    </row>
    <row r="66" spans="2:11" s="20" customFormat="1" ht="18.75" customHeight="1" x14ac:dyDescent="0.25">
      <c r="B66" s="21"/>
      <c r="C66" s="22"/>
      <c r="D66" s="23"/>
      <c r="E66" s="21"/>
      <c r="F66" s="61"/>
      <c r="G66" s="62"/>
      <c r="H66" s="24"/>
      <c r="I66" s="65" t="s">
        <v>565</v>
      </c>
      <c r="J66" s="13"/>
      <c r="K66" s="13"/>
    </row>
    <row r="67" spans="2:11" s="13" customFormat="1" ht="18.75" customHeight="1" x14ac:dyDescent="0.25">
      <c r="B67" s="25"/>
      <c r="C67" s="26" t="s">
        <v>603</v>
      </c>
      <c r="D67" s="25"/>
      <c r="E67" s="25"/>
      <c r="F67" s="27"/>
      <c r="G67" s="28"/>
      <c r="H67" s="29"/>
      <c r="I67" s="65" t="s">
        <v>565</v>
      </c>
    </row>
    <row r="68" spans="2:11" s="13" customFormat="1" ht="39" customHeight="1" x14ac:dyDescent="0.25">
      <c r="B68" s="21"/>
      <c r="C68" s="22"/>
      <c r="D68" s="23"/>
      <c r="E68" s="23"/>
      <c r="F68" s="21"/>
      <c r="G68" s="30"/>
      <c r="H68" s="24"/>
      <c r="I68" s="65" t="s">
        <v>565</v>
      </c>
    </row>
    <row r="69" spans="2:11" s="13" customFormat="1" ht="37.5" customHeight="1" x14ac:dyDescent="0.25">
      <c r="B69" s="21"/>
      <c r="C69" s="22"/>
      <c r="D69" s="23"/>
      <c r="E69" s="23"/>
      <c r="F69" s="21"/>
      <c r="G69" s="30"/>
      <c r="H69" s="24"/>
      <c r="I69" s="65" t="s">
        <v>565</v>
      </c>
    </row>
    <row r="70" spans="2:11" s="13" customFormat="1" ht="37.5" customHeight="1" x14ac:dyDescent="0.25">
      <c r="B70" s="21"/>
      <c r="C70" s="22"/>
      <c r="D70" s="23"/>
      <c r="E70" s="23"/>
      <c r="F70" s="21"/>
      <c r="G70" s="30"/>
      <c r="H70" s="24"/>
      <c r="I70" s="65" t="s">
        <v>565</v>
      </c>
    </row>
    <row r="71" spans="2:11" s="13" customFormat="1" ht="24.75" customHeight="1" x14ac:dyDescent="0.25">
      <c r="B71" s="21"/>
      <c r="C71" s="22"/>
      <c r="D71" s="23"/>
      <c r="E71" s="23"/>
      <c r="F71" s="21"/>
      <c r="G71" s="30"/>
      <c r="H71" s="24"/>
      <c r="I71" s="65" t="s">
        <v>565</v>
      </c>
    </row>
    <row r="72" spans="2:11" s="13" customFormat="1" ht="24.75" customHeight="1" x14ac:dyDescent="0.25">
      <c r="B72" s="21"/>
      <c r="C72" s="22"/>
      <c r="D72" s="23"/>
      <c r="E72" s="23"/>
      <c r="F72" s="21"/>
      <c r="G72" s="30"/>
      <c r="H72" s="24"/>
      <c r="I72" s="65" t="s">
        <v>565</v>
      </c>
    </row>
    <row r="73" spans="2:11" s="13" customFormat="1" ht="37.5" customHeight="1" x14ac:dyDescent="0.25">
      <c r="B73" s="21"/>
      <c r="C73" s="22"/>
      <c r="D73" s="23"/>
      <c r="E73" s="23"/>
      <c r="F73" s="21"/>
      <c r="G73" s="30"/>
      <c r="H73" s="24"/>
      <c r="I73" s="65" t="s">
        <v>565</v>
      </c>
    </row>
    <row r="74" spans="2:11" s="13" customFormat="1" ht="37.5" customHeight="1" x14ac:dyDescent="0.25">
      <c r="B74" s="21"/>
      <c r="C74" s="22"/>
      <c r="D74" s="23"/>
      <c r="E74" s="23"/>
      <c r="F74" s="21"/>
      <c r="G74" s="30"/>
      <c r="H74" s="24"/>
      <c r="I74" s="65" t="s">
        <v>565</v>
      </c>
    </row>
    <row r="75" spans="2:11" s="13" customFormat="1" ht="37.5" customHeight="1" x14ac:dyDescent="0.25">
      <c r="B75" s="21"/>
      <c r="C75" s="22"/>
      <c r="D75" s="23"/>
      <c r="E75" s="23"/>
      <c r="F75" s="21"/>
      <c r="G75" s="30"/>
      <c r="H75" s="24"/>
      <c r="I75" s="65" t="s">
        <v>565</v>
      </c>
    </row>
    <row r="76" spans="2:11" s="13" customFormat="1" ht="24.75" customHeight="1" x14ac:dyDescent="0.25">
      <c r="B76" s="21"/>
      <c r="C76" s="22"/>
      <c r="D76" s="23"/>
      <c r="E76" s="23"/>
      <c r="F76" s="21"/>
      <c r="G76" s="30"/>
      <c r="H76" s="24"/>
      <c r="I76" s="65" t="s">
        <v>565</v>
      </c>
    </row>
    <row r="77" spans="2:11" s="13" customFormat="1" ht="24.75" customHeight="1" x14ac:dyDescent="0.25">
      <c r="B77" s="21"/>
      <c r="C77" s="22"/>
      <c r="D77" s="23"/>
      <c r="E77" s="23"/>
      <c r="F77" s="21"/>
      <c r="G77" s="30"/>
      <c r="H77" s="24"/>
      <c r="I77" s="65" t="s">
        <v>565</v>
      </c>
    </row>
    <row r="78" spans="2:11" s="13" customFormat="1" ht="24.75" customHeight="1" x14ac:dyDescent="0.25">
      <c r="B78" s="21"/>
      <c r="C78" s="22"/>
      <c r="D78" s="23"/>
      <c r="E78" s="23"/>
      <c r="F78" s="21"/>
      <c r="G78" s="30"/>
      <c r="H78" s="24"/>
      <c r="I78" s="65" t="s">
        <v>565</v>
      </c>
    </row>
    <row r="79" spans="2:11" s="13" customFormat="1" ht="24.75" customHeight="1" x14ac:dyDescent="0.25">
      <c r="B79" s="21"/>
      <c r="C79" s="22"/>
      <c r="D79" s="23"/>
      <c r="E79" s="23"/>
      <c r="F79" s="21"/>
      <c r="G79" s="30"/>
      <c r="H79" s="24"/>
      <c r="I79" s="65" t="s">
        <v>565</v>
      </c>
    </row>
    <row r="80" spans="2:11" s="36" customFormat="1" x14ac:dyDescent="0.2">
      <c r="B80" s="31"/>
      <c r="C80" s="32"/>
      <c r="D80" s="33"/>
      <c r="E80" s="33"/>
      <c r="F80" s="34"/>
      <c r="G80" s="34"/>
      <c r="H80" s="35"/>
    </row>
    <row r="81" spans="2:8" s="36" customFormat="1" ht="18.75" customHeight="1" x14ac:dyDescent="0.3">
      <c r="B81" s="34"/>
      <c r="D81" s="34"/>
      <c r="E81" s="34"/>
      <c r="F81" s="34"/>
      <c r="G81" s="37" t="s">
        <v>604</v>
      </c>
      <c r="H81" s="38">
        <f>SUM(H24:H79)</f>
        <v>0</v>
      </c>
    </row>
    <row r="82" spans="2:8" s="36" customFormat="1" ht="15.75" customHeight="1" x14ac:dyDescent="0.25">
      <c r="B82" s="41" t="s">
        <v>605</v>
      </c>
      <c r="C82" s="41" t="s">
        <v>606</v>
      </c>
      <c r="D82" s="40"/>
      <c r="E82" s="37"/>
      <c r="G82" s="34"/>
      <c r="H82" s="35"/>
    </row>
    <row r="83" spans="2:8" s="36" customFormat="1" ht="15.75" customHeight="1" x14ac:dyDescent="0.25">
      <c r="B83" s="41"/>
      <c r="C83" s="41"/>
      <c r="D83" s="37"/>
      <c r="E83" s="37"/>
      <c r="F83" s="40"/>
      <c r="G83" s="37"/>
      <c r="H83" s="35"/>
    </row>
    <row r="84" spans="2:8" s="36" customFormat="1" ht="15.75" customHeight="1" x14ac:dyDescent="0.25">
      <c r="B84" s="41" t="s">
        <v>607</v>
      </c>
      <c r="C84" s="41" t="s">
        <v>606</v>
      </c>
      <c r="D84" s="40"/>
      <c r="E84" s="37"/>
      <c r="G84" s="34"/>
      <c r="H84" s="35"/>
    </row>
    <row r="85" spans="2:8" s="36" customFormat="1" ht="15.75" customHeight="1" x14ac:dyDescent="0.25">
      <c r="B85" s="41"/>
      <c r="C85" s="39"/>
      <c r="D85" s="37"/>
      <c r="E85" s="37"/>
      <c r="F85" s="34"/>
      <c r="G85" s="34"/>
      <c r="H85" s="41"/>
    </row>
    <row r="86" spans="2:8" s="36" customFormat="1" ht="15.75" customHeight="1" x14ac:dyDescent="0.25">
      <c r="B86" s="41" t="s">
        <v>608</v>
      </c>
      <c r="D86" s="37"/>
      <c r="E86" s="37"/>
      <c r="F86" s="34"/>
      <c r="G86" s="34"/>
      <c r="H86" s="35"/>
    </row>
    <row r="87" spans="2:8" ht="15.75" customHeight="1" x14ac:dyDescent="0.25">
      <c r="B87" s="34"/>
      <c r="C87" s="36"/>
      <c r="D87" s="34"/>
      <c r="E87" s="34"/>
      <c r="F87" s="34"/>
      <c r="G87" s="34"/>
      <c r="H87" s="35"/>
    </row>
    <row r="88" spans="2:8" ht="15.75" customHeight="1" x14ac:dyDescent="0.25">
      <c r="B88" s="34"/>
      <c r="C88" s="36"/>
      <c r="D88" s="34"/>
      <c r="E88" s="34"/>
      <c r="F88" s="34"/>
      <c r="G88" s="34"/>
      <c r="H88" s="35"/>
    </row>
  </sheetData>
  <mergeCells count="18">
    <mergeCell ref="D2:H5"/>
    <mergeCell ref="B18:C18"/>
    <mergeCell ref="B9:C9"/>
    <mergeCell ref="B19:C19"/>
    <mergeCell ref="B8:C8"/>
    <mergeCell ref="D9:H20"/>
    <mergeCell ref="E6:G6"/>
    <mergeCell ref="B13:C13"/>
    <mergeCell ref="B14:C14"/>
    <mergeCell ref="B17:C17"/>
    <mergeCell ref="B16:C16"/>
    <mergeCell ref="B12:C12"/>
    <mergeCell ref="B20:C20"/>
    <mergeCell ref="B10:C10"/>
    <mergeCell ref="B21:C21"/>
    <mergeCell ref="C3:C4"/>
    <mergeCell ref="B11:C11"/>
    <mergeCell ref="B15:C15"/>
  </mergeCells>
  <conditionalFormatting sqref="B23:C23 B24:I79">
    <cfRule type="expression" dxfId="12" priority="1">
      <formula>$I23=$B$10</formula>
    </cfRule>
    <cfRule type="expression" dxfId="11" priority="2">
      <formula>$I23=$B$16</formula>
    </cfRule>
    <cfRule type="expression" dxfId="10" priority="25">
      <formula>$I23=$B$19</formula>
    </cfRule>
    <cfRule type="expression" dxfId="9" priority="26">
      <formula>$I23=$B$18</formula>
    </cfRule>
    <cfRule type="expression" dxfId="8" priority="27">
      <formula>$I23=$B$17</formula>
    </cfRule>
    <cfRule type="expression" dxfId="7" priority="28">
      <formula>$I23=$B$20</formula>
    </cfRule>
    <cfRule type="expression" dxfId="6" priority="29">
      <formula>$I23=$B$15</formula>
    </cfRule>
    <cfRule type="expression" dxfId="5" priority="30">
      <formula>$I23=$B$14</formula>
    </cfRule>
    <cfRule type="expression" dxfId="4" priority="31">
      <formula>$I23=$B$13</formula>
    </cfRule>
    <cfRule type="expression" dxfId="3" priority="32">
      <formula>$I23=$B$12</formula>
    </cfRule>
    <cfRule type="expression" dxfId="2" priority="33">
      <formula>$I23=$B$11</formula>
    </cfRule>
    <cfRule type="expression" dxfId="1" priority="34">
      <formula>$I23=$B$9</formula>
    </cfRule>
    <cfRule type="expression" dxfId="0" priority="35">
      <formula>$I23=$B$8</formula>
    </cfRule>
  </conditionalFormatting>
  <dataValidations count="1">
    <dataValidation type="list" allowBlank="1" showInputMessage="1" showErrorMessage="1" sqref="I24:I79" xr:uid="{00000000-0002-0000-0000-000000000000}">
      <formula1>$B$8:$B$21</formula1>
    </dataValidation>
  </dataValidations>
  <pageMargins left="0.7" right="0.7" top="0.75" bottom="0.75" header="0.3" footer="0.3"/>
  <pageSetup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G17"/>
  <sheetViews>
    <sheetView workbookViewId="0">
      <selection activeCell="A7" sqref="A7:XFD7"/>
    </sheetView>
  </sheetViews>
  <sheetFormatPr defaultRowHeight="17.25" x14ac:dyDescent="0.3"/>
  <cols>
    <col min="1" max="1" width="8.85546875" style="44" customWidth="1"/>
    <col min="2" max="2" width="23.42578125" style="44" customWidth="1"/>
    <col min="3" max="3" width="89.42578125" style="44" customWidth="1"/>
    <col min="4" max="4" width="11.28515625" style="44" customWidth="1"/>
    <col min="5" max="7" width="17.5703125" style="44" customWidth="1"/>
    <col min="8" max="8" width="9.140625" style="44" customWidth="1"/>
    <col min="9" max="16384" width="9.140625" style="44"/>
  </cols>
  <sheetData>
    <row r="1" spans="1:7" ht="21.75" customHeight="1" thickBot="1" x14ac:dyDescent="0.4">
      <c r="A1" s="446" t="str">
        <f>'Customer Option Cover Page'!C6</f>
        <v>John Doe</v>
      </c>
      <c r="B1" s="447"/>
      <c r="C1" s="447"/>
      <c r="D1" s="447"/>
      <c r="E1" s="447"/>
      <c r="F1" s="447"/>
      <c r="G1" s="447"/>
    </row>
    <row r="2" spans="1:7" x14ac:dyDescent="0.3">
      <c r="A2" s="444" t="str">
        <f>'Customer Option Cover Page'!C7</f>
        <v>123 avenue</v>
      </c>
      <c r="B2" s="445"/>
      <c r="C2" s="445"/>
      <c r="D2" s="445"/>
      <c r="E2" s="445"/>
      <c r="F2" s="445"/>
      <c r="G2" s="445"/>
    </row>
    <row r="3" spans="1:7" s="2" customFormat="1" ht="30" customHeight="1" x14ac:dyDescent="0.4">
      <c r="B3" s="9" t="s">
        <v>546</v>
      </c>
      <c r="C3" s="10">
        <f ca="1">TODAY()</f>
        <v>46259</v>
      </c>
      <c r="D3" s="44"/>
      <c r="E3" s="44"/>
      <c r="F3" s="44"/>
      <c r="G3" s="44"/>
    </row>
    <row r="4" spans="1:7" s="2" customFormat="1" ht="30" customHeight="1" x14ac:dyDescent="0.4">
      <c r="B4" s="9" t="s">
        <v>547</v>
      </c>
      <c r="C4" s="11" t="str">
        <f>'Customer Option Cover Page'!C6</f>
        <v>John Doe</v>
      </c>
      <c r="D4" s="12"/>
      <c r="E4" s="44"/>
      <c r="F4" s="44"/>
      <c r="G4" s="3"/>
    </row>
    <row r="5" spans="1:7" s="2" customFormat="1" ht="30" customHeight="1" x14ac:dyDescent="0.4">
      <c r="B5" s="9" t="s">
        <v>550</v>
      </c>
      <c r="C5" s="11" t="str">
        <f>'Customer Option Cover Page'!C7</f>
        <v>123 avenue</v>
      </c>
      <c r="D5" s="12"/>
      <c r="E5" s="44"/>
      <c r="F5" s="44"/>
      <c r="G5" s="3"/>
    </row>
    <row r="7" spans="1:7" s="13" customFormat="1" ht="18" customHeight="1" x14ac:dyDescent="0.25">
      <c r="B7" s="50" t="s">
        <v>566</v>
      </c>
      <c r="C7" s="51" t="s">
        <v>567</v>
      </c>
      <c r="D7" s="50" t="s">
        <v>568</v>
      </c>
      <c r="E7" s="50" t="s">
        <v>570</v>
      </c>
      <c r="F7" s="52" t="s">
        <v>609</v>
      </c>
      <c r="G7" s="53" t="s">
        <v>12</v>
      </c>
    </row>
    <row r="8" spans="1:7" s="13" customFormat="1" ht="18.75" customHeight="1" x14ac:dyDescent="0.25">
      <c r="B8" s="14" t="s">
        <v>573</v>
      </c>
      <c r="C8" s="49" t="s">
        <v>580</v>
      </c>
      <c r="D8" s="15"/>
      <c r="E8" s="16"/>
      <c r="F8" s="16"/>
      <c r="G8" s="17"/>
    </row>
    <row r="9" spans="1:7" s="13" customFormat="1" ht="94.5" customHeight="1" x14ac:dyDescent="0.25">
      <c r="B9" s="14" t="s">
        <v>573</v>
      </c>
      <c r="C9" s="49" t="s">
        <v>581</v>
      </c>
      <c r="D9" s="15"/>
      <c r="E9" s="16"/>
      <c r="F9" s="16"/>
      <c r="G9" s="17"/>
    </row>
    <row r="10" spans="1:7" s="13" customFormat="1" ht="38.25" customHeight="1" x14ac:dyDescent="0.25">
      <c r="B10" s="14" t="s">
        <v>573</v>
      </c>
      <c r="C10" s="49" t="s">
        <v>586</v>
      </c>
      <c r="D10" s="15"/>
      <c r="E10" s="18"/>
      <c r="F10" s="19"/>
      <c r="G10" s="17"/>
    </row>
    <row r="11" spans="1:7" s="13" customFormat="1" ht="37.5" customHeight="1" x14ac:dyDescent="0.25">
      <c r="B11" s="14" t="s">
        <v>573</v>
      </c>
      <c r="C11" s="49" t="s">
        <v>592</v>
      </c>
      <c r="D11" s="15"/>
      <c r="E11" s="18"/>
      <c r="F11" s="19"/>
      <c r="G11" s="17"/>
    </row>
    <row r="12" spans="1:7" s="13" customFormat="1" ht="30.75" customHeight="1" x14ac:dyDescent="0.25">
      <c r="B12" s="14" t="s">
        <v>573</v>
      </c>
      <c r="C12" s="49" t="s">
        <v>594</v>
      </c>
      <c r="D12" s="15"/>
      <c r="E12" s="18"/>
      <c r="F12" s="19"/>
      <c r="G12" s="17"/>
    </row>
    <row r="13" spans="1:7" s="13" customFormat="1" ht="37.5" customHeight="1" x14ac:dyDescent="0.25">
      <c r="B13" s="14" t="s">
        <v>573</v>
      </c>
      <c r="C13" s="49" t="s">
        <v>597</v>
      </c>
      <c r="D13" s="15"/>
      <c r="E13" s="18"/>
      <c r="F13" s="19"/>
      <c r="G13" s="17"/>
    </row>
    <row r="14" spans="1:7" s="13" customFormat="1" ht="37.5" customHeight="1" x14ac:dyDescent="0.25">
      <c r="B14" s="14" t="s">
        <v>573</v>
      </c>
      <c r="C14" s="49" t="s">
        <v>598</v>
      </c>
      <c r="D14" s="15"/>
      <c r="E14" s="18"/>
      <c r="F14" s="19"/>
      <c r="G14" s="17"/>
    </row>
    <row r="15" spans="1:7" s="13" customFormat="1" ht="41.25" customHeight="1" x14ac:dyDescent="0.25">
      <c r="B15" s="14" t="s">
        <v>573</v>
      </c>
      <c r="C15" s="49" t="s">
        <v>599</v>
      </c>
      <c r="D15" s="15"/>
      <c r="E15" s="18"/>
      <c r="F15" s="19"/>
      <c r="G15" s="17"/>
    </row>
    <row r="16" spans="1:7" s="13" customFormat="1" ht="51" customHeight="1" x14ac:dyDescent="0.25">
      <c r="B16" s="14" t="s">
        <v>573</v>
      </c>
      <c r="C16" s="49" t="s">
        <v>600</v>
      </c>
      <c r="D16" s="15"/>
      <c r="E16" s="18"/>
      <c r="F16" s="19"/>
      <c r="G16" s="17"/>
    </row>
    <row r="17" ht="59.25" customHeight="1" x14ac:dyDescent="0.3"/>
  </sheetData>
  <mergeCells count="2">
    <mergeCell ref="A2:G2"/>
    <mergeCell ref="A1:G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000"/>
  </sheetPr>
  <dimension ref="A1:J17"/>
  <sheetViews>
    <sheetView workbookViewId="0">
      <selection sqref="A1:I1"/>
    </sheetView>
  </sheetViews>
  <sheetFormatPr defaultRowHeight="17.25" x14ac:dyDescent="0.3"/>
  <cols>
    <col min="1" max="1" width="9.140625" style="44" customWidth="1"/>
    <col min="2" max="2" width="18.28515625" style="44" customWidth="1"/>
    <col min="3" max="3" width="57.7109375" style="44" customWidth="1"/>
    <col min="4" max="4" width="11.7109375" style="44" customWidth="1"/>
    <col min="5" max="5" width="13.85546875" style="44" customWidth="1"/>
    <col min="6" max="6" width="17.42578125" style="44" customWidth="1"/>
    <col min="7" max="7" width="16.140625" style="44" customWidth="1"/>
    <col min="8" max="8" width="18.140625" style="44" customWidth="1"/>
    <col min="9" max="9" width="9.140625" style="44" customWidth="1"/>
    <col min="10" max="16384" width="9.140625" style="44"/>
  </cols>
  <sheetData>
    <row r="1" spans="1:10" ht="21.75" customHeight="1" thickBot="1" x14ac:dyDescent="0.4">
      <c r="A1" s="448" t="str">
        <f>'Customer Option Cover Page'!C6</f>
        <v>John Doe</v>
      </c>
      <c r="B1" s="447"/>
      <c r="C1" s="447"/>
      <c r="D1" s="447"/>
      <c r="E1" s="447"/>
      <c r="F1" s="447"/>
      <c r="G1" s="447"/>
      <c r="H1" s="447"/>
      <c r="I1" s="449"/>
    </row>
    <row r="2" spans="1:10" x14ac:dyDescent="0.3">
      <c r="A2" s="444" t="str">
        <f>'Customer Option Cover Page'!C7</f>
        <v>123 avenue</v>
      </c>
      <c r="B2" s="445"/>
      <c r="C2" s="445"/>
      <c r="D2" s="445"/>
      <c r="E2" s="445"/>
      <c r="F2" s="445"/>
      <c r="G2" s="445"/>
      <c r="H2" s="445"/>
      <c r="I2" s="445"/>
    </row>
    <row r="3" spans="1:10" s="2" customFormat="1" ht="30" customHeight="1" x14ac:dyDescent="0.4">
      <c r="B3" s="9" t="s">
        <v>546</v>
      </c>
      <c r="C3" s="10">
        <f ca="1">TODAY()</f>
        <v>46259</v>
      </c>
      <c r="D3" s="44"/>
      <c r="E3" s="44"/>
      <c r="F3" s="44"/>
      <c r="G3" s="44"/>
      <c r="H3" s="44"/>
    </row>
    <row r="4" spans="1:10" s="2" customFormat="1" ht="30" customHeight="1" x14ac:dyDescent="0.4">
      <c r="B4" s="9" t="s">
        <v>547</v>
      </c>
      <c r="C4" s="11" t="str">
        <f>A1</f>
        <v>John Doe</v>
      </c>
      <c r="D4" s="12"/>
      <c r="E4" s="12"/>
      <c r="F4" s="44"/>
      <c r="G4" s="44"/>
      <c r="H4" s="3"/>
    </row>
    <row r="5" spans="1:10" s="2" customFormat="1" ht="30" customHeight="1" x14ac:dyDescent="0.4">
      <c r="B5" s="9" t="s">
        <v>550</v>
      </c>
      <c r="C5" s="11" t="str">
        <f>A2</f>
        <v>123 avenue</v>
      </c>
      <c r="D5" s="12"/>
      <c r="E5" s="12"/>
      <c r="F5" s="44"/>
      <c r="G5" s="44"/>
      <c r="H5" s="3"/>
    </row>
    <row r="7" spans="1:10" s="13" customFormat="1" ht="34.5" customHeight="1" x14ac:dyDescent="0.25">
      <c r="B7" s="50" t="s">
        <v>566</v>
      </c>
      <c r="C7" s="51" t="s">
        <v>567</v>
      </c>
      <c r="D7" s="50" t="s">
        <v>568</v>
      </c>
      <c r="E7" s="50" t="s">
        <v>569</v>
      </c>
      <c r="F7" s="50" t="s">
        <v>610</v>
      </c>
      <c r="G7" s="52" t="s">
        <v>571</v>
      </c>
      <c r="H7" s="53" t="s">
        <v>12</v>
      </c>
    </row>
    <row r="8" spans="1:10" s="20" customFormat="1" ht="18.75" customHeight="1" x14ac:dyDescent="0.25">
      <c r="B8" s="21"/>
      <c r="C8" s="22"/>
      <c r="D8" s="23"/>
      <c r="E8" s="21"/>
      <c r="F8" s="61"/>
      <c r="G8" s="62"/>
      <c r="H8" s="24"/>
      <c r="I8" s="13"/>
      <c r="J8" s="13"/>
    </row>
    <row r="9" spans="1:10" s="20" customFormat="1" ht="18.75" customHeight="1" x14ac:dyDescent="0.25">
      <c r="B9" s="21"/>
      <c r="C9" s="22"/>
      <c r="D9" s="23"/>
      <c r="E9" s="21"/>
      <c r="F9" s="61"/>
      <c r="G9" s="62"/>
      <c r="H9" s="24"/>
      <c r="I9" s="13"/>
      <c r="J9" s="13"/>
    </row>
    <row r="10" spans="1:10" s="20" customFormat="1" ht="18.75" customHeight="1" x14ac:dyDescent="0.25">
      <c r="B10" s="21"/>
      <c r="C10" s="22"/>
      <c r="D10" s="23"/>
      <c r="E10" s="21"/>
      <c r="F10" s="61"/>
      <c r="G10" s="62"/>
      <c r="H10" s="24"/>
      <c r="I10" s="13"/>
      <c r="J10" s="13"/>
    </row>
    <row r="11" spans="1:10" s="20" customFormat="1" ht="18.75" customHeight="1" x14ac:dyDescent="0.25">
      <c r="B11" s="21"/>
      <c r="C11" s="22"/>
      <c r="D11" s="23"/>
      <c r="E11" s="21"/>
      <c r="F11" s="61"/>
      <c r="G11" s="62"/>
      <c r="H11" s="24"/>
      <c r="I11" s="13"/>
      <c r="J11" s="13"/>
    </row>
    <row r="12" spans="1:10" s="20" customFormat="1" ht="18.75" customHeight="1" x14ac:dyDescent="0.25">
      <c r="B12" s="21"/>
      <c r="C12" s="22"/>
      <c r="D12" s="23"/>
      <c r="E12" s="21"/>
      <c r="F12" s="61"/>
      <c r="G12" s="62"/>
      <c r="H12" s="24"/>
      <c r="I12" s="13"/>
      <c r="J12" s="13"/>
    </row>
    <row r="13" spans="1:10" s="20" customFormat="1" ht="18.75" customHeight="1" x14ac:dyDescent="0.25">
      <c r="B13" s="21"/>
      <c r="C13" s="22"/>
      <c r="D13" s="23"/>
      <c r="E13" s="21"/>
      <c r="F13" s="61"/>
      <c r="G13" s="62"/>
      <c r="H13" s="24"/>
      <c r="I13" s="13"/>
      <c r="J13" s="13"/>
    </row>
    <row r="14" spans="1:10" s="20" customFormat="1" ht="18.75" customHeight="1" x14ac:dyDescent="0.25">
      <c r="B14" s="21"/>
      <c r="C14" s="22"/>
      <c r="D14" s="23"/>
      <c r="E14" s="21"/>
      <c r="F14" s="61"/>
      <c r="G14" s="62"/>
      <c r="H14" s="24"/>
      <c r="I14" s="13"/>
      <c r="J14" s="13"/>
    </row>
    <row r="15" spans="1:10" s="20" customFormat="1" ht="18.75" customHeight="1" x14ac:dyDescent="0.25">
      <c r="B15" s="21"/>
      <c r="C15" s="22"/>
      <c r="D15" s="23"/>
      <c r="E15" s="21"/>
      <c r="F15" s="61"/>
      <c r="G15" s="62"/>
      <c r="H15" s="24"/>
      <c r="I15" s="13"/>
      <c r="J15" s="13"/>
    </row>
    <row r="16" spans="1:10" s="20" customFormat="1" ht="18.75" customHeight="1" x14ac:dyDescent="0.25">
      <c r="B16" s="21"/>
      <c r="C16" s="22"/>
      <c r="D16" s="23"/>
      <c r="E16" s="21"/>
      <c r="F16" s="61"/>
      <c r="G16" s="62"/>
      <c r="H16" s="24"/>
      <c r="I16" s="13"/>
      <c r="J16" s="13"/>
    </row>
    <row r="17" spans="2:10" s="20" customFormat="1" ht="18.75" customHeight="1" x14ac:dyDescent="0.25">
      <c r="B17" s="21"/>
      <c r="C17" s="22"/>
      <c r="D17" s="23"/>
      <c r="E17" s="21"/>
      <c r="F17" s="61"/>
      <c r="G17" s="62"/>
      <c r="H17" s="24"/>
      <c r="I17" s="13"/>
      <c r="J17" s="13"/>
    </row>
  </sheetData>
  <mergeCells count="2">
    <mergeCell ref="A1:I1"/>
    <mergeCell ref="A2:I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X676"/>
  <sheetViews>
    <sheetView zoomScale="70" zoomScaleNormal="70" workbookViewId="0">
      <selection activeCell="V17" sqref="V17"/>
    </sheetView>
  </sheetViews>
  <sheetFormatPr defaultRowHeight="17.25" x14ac:dyDescent="0.3"/>
  <cols>
    <col min="1" max="1" width="4.7109375" style="44" customWidth="1"/>
    <col min="2" max="2" width="15.85546875" style="44" customWidth="1"/>
    <col min="3" max="3" width="18.7109375" style="44" customWidth="1"/>
    <col min="4" max="4" width="19.7109375" style="44" customWidth="1"/>
    <col min="5" max="5" width="26.140625" style="44" customWidth="1"/>
    <col min="6" max="6" width="14.140625" style="44" customWidth="1"/>
    <col min="7" max="7" width="11.85546875" style="44" customWidth="1"/>
    <col min="8" max="8" width="17.140625" style="44" customWidth="1"/>
    <col min="9" max="9" width="11.5703125" style="44" customWidth="1"/>
    <col min="10" max="10" width="9.140625" style="44"/>
    <col min="11" max="11" width="9.28515625" style="44" bestFit="1" customWidth="1"/>
    <col min="12" max="12" width="11" style="44" bestFit="1" customWidth="1"/>
    <col min="13" max="13" width="12.85546875" style="44" bestFit="1" customWidth="1"/>
    <col min="14" max="14" width="12.7109375" style="44" bestFit="1" customWidth="1"/>
    <col min="15" max="15" width="12.85546875" style="44" bestFit="1" customWidth="1"/>
    <col min="16" max="16" width="11.140625" style="44" customWidth="1"/>
    <col min="17" max="17" width="10.85546875" style="44" customWidth="1"/>
    <col min="18" max="18" width="12.42578125" style="44" customWidth="1"/>
    <col min="19" max="20" width="9.140625" style="44"/>
    <col min="21" max="21" width="24.140625" style="44" customWidth="1"/>
    <col min="22" max="22" width="16" style="44" bestFit="1" customWidth="1"/>
    <col min="23" max="23" width="9.140625" style="44"/>
    <col min="24" max="24" width="64.7109375" style="44" bestFit="1" customWidth="1"/>
    <col min="25" max="16384" width="9.140625" style="44"/>
  </cols>
  <sheetData>
    <row r="1" spans="1:24" ht="21.75" customHeight="1" thickBot="1" x14ac:dyDescent="0.4">
      <c r="A1" s="101"/>
      <c r="B1" s="101"/>
      <c r="C1" s="101"/>
      <c r="D1"/>
      <c r="E1"/>
      <c r="F1"/>
      <c r="G1"/>
      <c r="H1"/>
      <c r="I1"/>
    </row>
    <row r="2" spans="1:24" ht="28.5" x14ac:dyDescent="0.45">
      <c r="A2" s="101"/>
      <c r="B2" s="381" t="s">
        <v>869</v>
      </c>
      <c r="C2" s="382"/>
      <c r="D2" s="382"/>
      <c r="E2" s="382"/>
      <c r="F2" s="382"/>
      <c r="G2" s="382"/>
      <c r="H2" s="382"/>
      <c r="I2" s="382"/>
      <c r="J2" s="382"/>
      <c r="K2" s="382"/>
      <c r="L2" s="372" t="str">
        <f>'Customer Option Cover Page'!C6</f>
        <v>John Doe</v>
      </c>
      <c r="M2" s="372"/>
      <c r="N2" s="372"/>
      <c r="O2" s="372"/>
      <c r="P2" s="372"/>
      <c r="Q2" s="372"/>
      <c r="R2" s="372"/>
      <c r="S2" s="373"/>
    </row>
    <row r="3" spans="1:24" ht="17.25" customHeight="1" thickBot="1" x14ac:dyDescent="0.4">
      <c r="A3" s="101"/>
      <c r="B3" s="383" t="str">
        <f>U18</f>
        <v>*All pricing displayed on this page is subject to change at the sole discression of Olsen Custom Homes. Pricing will be finalized via a customer option form.*</v>
      </c>
      <c r="C3" s="384"/>
      <c r="D3" s="384"/>
      <c r="E3" s="384"/>
      <c r="F3" s="384"/>
      <c r="G3" s="384"/>
      <c r="H3" s="384"/>
      <c r="I3" s="384"/>
      <c r="J3" s="384"/>
      <c r="K3" s="384"/>
      <c r="L3" s="374" t="str">
        <f>'Customer Option Cover Page'!C7</f>
        <v>123 avenue</v>
      </c>
      <c r="M3" s="374"/>
      <c r="N3" s="374"/>
      <c r="O3" s="374"/>
      <c r="P3" s="374"/>
      <c r="Q3" s="374"/>
      <c r="R3" s="374"/>
      <c r="S3" s="375"/>
    </row>
    <row r="4" spans="1:24" ht="25.5" customHeight="1" x14ac:dyDescent="0.4">
      <c r="A4" s="101"/>
      <c r="B4" s="363" t="s">
        <v>664</v>
      </c>
      <c r="C4" s="364"/>
      <c r="D4" s="364"/>
      <c r="E4" s="364"/>
      <c r="F4" s="364"/>
      <c r="G4" s="364"/>
      <c r="H4" s="364"/>
      <c r="I4" s="364"/>
      <c r="J4" s="364"/>
      <c r="K4" s="365" t="s">
        <v>665</v>
      </c>
      <c r="L4" s="365"/>
      <c r="M4" s="365"/>
      <c r="N4" s="365"/>
      <c r="O4" s="365"/>
      <c r="P4" s="365"/>
      <c r="Q4" s="365"/>
      <c r="R4" s="366"/>
      <c r="U4" s="370" t="s">
        <v>691</v>
      </c>
      <c r="V4" s="371"/>
      <c r="X4" s="192" t="s">
        <v>680</v>
      </c>
    </row>
    <row r="5" spans="1:24" ht="17.25" customHeight="1" x14ac:dyDescent="0.35">
      <c r="A5" s="101"/>
      <c r="B5" s="217" t="s">
        <v>33</v>
      </c>
      <c r="C5" s="217" t="s">
        <v>2</v>
      </c>
      <c r="D5" s="190" t="s">
        <v>893</v>
      </c>
      <c r="E5" s="191" t="s">
        <v>4</v>
      </c>
      <c r="F5" s="190" t="s">
        <v>3</v>
      </c>
      <c r="G5" s="190" t="s">
        <v>899</v>
      </c>
      <c r="H5" s="190" t="s">
        <v>921</v>
      </c>
      <c r="I5" s="190" t="s">
        <v>925</v>
      </c>
      <c r="J5" s="191" t="s">
        <v>241</v>
      </c>
      <c r="K5" s="351" t="s">
        <v>677</v>
      </c>
      <c r="L5" s="336" t="s">
        <v>678</v>
      </c>
      <c r="M5" s="336" t="s">
        <v>10</v>
      </c>
      <c r="N5" s="336" t="s">
        <v>663</v>
      </c>
      <c r="O5" s="336" t="s">
        <v>11</v>
      </c>
      <c r="P5" s="336" t="s">
        <v>662</v>
      </c>
      <c r="Q5" s="336" t="s">
        <v>12</v>
      </c>
      <c r="R5" s="337" t="s">
        <v>13</v>
      </c>
      <c r="U5" s="215" t="s">
        <v>679</v>
      </c>
      <c r="V5" s="216">
        <v>30000</v>
      </c>
      <c r="X5" s="338" t="s">
        <v>699</v>
      </c>
    </row>
    <row r="6" spans="1:24" ht="17.25" customHeight="1" x14ac:dyDescent="0.35">
      <c r="A6" s="101"/>
      <c r="B6" s="217"/>
      <c r="C6" s="217"/>
      <c r="D6" s="217"/>
      <c r="E6" s="217"/>
      <c r="F6" s="217"/>
      <c r="G6" s="217"/>
      <c r="H6" s="217"/>
      <c r="I6" s="217"/>
      <c r="J6" s="217"/>
      <c r="K6" s="357"/>
      <c r="L6" s="221">
        <v>0.1</v>
      </c>
      <c r="M6" s="220"/>
      <c r="N6" s="220"/>
      <c r="O6" s="220"/>
      <c r="P6" s="222"/>
      <c r="Q6" s="222"/>
      <c r="R6" s="223">
        <v>0.65</v>
      </c>
      <c r="U6" s="197"/>
      <c r="V6" s="198"/>
      <c r="X6" s="194" t="s">
        <v>689</v>
      </c>
    </row>
    <row r="7" spans="1:24" ht="17.25" customHeight="1" x14ac:dyDescent="0.35">
      <c r="A7" s="101"/>
      <c r="B7" s="389" t="s">
        <v>48</v>
      </c>
      <c r="C7" s="390"/>
      <c r="D7" s="390"/>
      <c r="E7" s="390"/>
      <c r="F7" s="390"/>
      <c r="G7" s="390"/>
      <c r="H7" s="390"/>
      <c r="I7" s="390"/>
      <c r="J7" s="390"/>
      <c r="K7" s="390"/>
      <c r="L7" s="390"/>
      <c r="M7" s="390"/>
      <c r="N7" s="390"/>
      <c r="O7" s="390"/>
      <c r="P7" s="390"/>
      <c r="Q7" s="390"/>
      <c r="R7" s="390"/>
      <c r="S7" s="391"/>
      <c r="U7" s="195" t="s">
        <v>33</v>
      </c>
      <c r="V7" s="196" t="s">
        <v>692</v>
      </c>
      <c r="X7" s="352" t="s">
        <v>713</v>
      </c>
    </row>
    <row r="8" spans="1:24" ht="17.25" customHeight="1" x14ac:dyDescent="0.35">
      <c r="A8" s="101"/>
      <c r="B8" s="68" t="s">
        <v>900</v>
      </c>
      <c r="C8" s="68" t="s">
        <v>917</v>
      </c>
      <c r="D8" s="68" t="s">
        <v>894</v>
      </c>
      <c r="E8" s="68" t="s">
        <v>724</v>
      </c>
      <c r="F8" s="68" t="str">
        <f>VLOOKUP(E8,Counter_Pricing[[Material_Name]:[Level]],5,0)</f>
        <v>Level 1</v>
      </c>
      <c r="G8" s="68"/>
      <c r="H8" s="68"/>
      <c r="K8" s="362">
        <v>92</v>
      </c>
      <c r="L8" s="68">
        <f t="shared" ref="L8:L21" si="0">K8*(1+$L$6)</f>
        <v>101.2</v>
      </c>
      <c r="M8" s="68" t="s">
        <v>18</v>
      </c>
      <c r="N8" s="358">
        <f>INDEX(Counter_Pricing[Olsen_Cost],MATCH(F8,Counter_Pricing[Level]))</f>
        <v>38</v>
      </c>
      <c r="O8" s="358">
        <f>L8*N8</f>
        <v>3845.6</v>
      </c>
      <c r="P8" s="361">
        <f>(L8/SUM($L$8:$L$137))*$V$5</f>
        <v>255.36639526276832</v>
      </c>
      <c r="Q8" s="361">
        <f>O8-P8</f>
        <v>3590.2336047372314</v>
      </c>
      <c r="R8" s="358">
        <f t="shared" ref="R8:R21" si="1">IF(Q8&gt;0,Q8/$R$6,Q8)</f>
        <v>5523.4363149803557</v>
      </c>
      <c r="U8" s="199" t="str">
        <f>B7</f>
        <v>Kitchen</v>
      </c>
      <c r="V8" s="200">
        <f>R25</f>
        <v>45055.757672379434</v>
      </c>
      <c r="X8" s="113" t="s">
        <v>716</v>
      </c>
    </row>
    <row r="9" spans="1:24" ht="17.25" customHeight="1" x14ac:dyDescent="0.35">
      <c r="A9" s="101"/>
      <c r="B9" s="68" t="s">
        <v>900</v>
      </c>
      <c r="C9" s="68" t="s">
        <v>915</v>
      </c>
      <c r="D9" s="68" t="s">
        <v>916</v>
      </c>
      <c r="E9" s="68" t="s">
        <v>916</v>
      </c>
      <c r="F9" s="68" t="str">
        <f>VLOOKUP(E9,Counter_Pricing[[Material_Name]:[Level]],5,0)</f>
        <v>Labor</v>
      </c>
      <c r="G9" s="68"/>
      <c r="H9" s="68"/>
      <c r="K9" s="362">
        <v>93</v>
      </c>
      <c r="L9" s="68">
        <f t="shared" si="0"/>
        <v>102.30000000000001</v>
      </c>
      <c r="M9" s="68" t="s">
        <v>26</v>
      </c>
      <c r="N9" s="358">
        <f>INDEX(Counter_Pricing[Olsen_Cost],MATCH(F9,Counter_Pricing[Level]))</f>
        <v>0</v>
      </c>
      <c r="O9" s="358">
        <f t="shared" ref="O9:O10" si="2">L9*N9</f>
        <v>0</v>
      </c>
      <c r="P9" s="361">
        <f>(L9/SUM($L$8:$L$137))*$V$5</f>
        <v>258.14211695040711</v>
      </c>
      <c r="Q9" s="361">
        <f t="shared" ref="Q9:Q10" si="3">O9-P9</f>
        <v>-258.14211695040711</v>
      </c>
      <c r="R9" s="358">
        <f t="shared" si="1"/>
        <v>-258.14211695040711</v>
      </c>
      <c r="U9" s="201" t="str">
        <f>B26</f>
        <v>Master Bathroom</v>
      </c>
      <c r="V9" s="202">
        <f>R41</f>
        <v>45055.757672379434</v>
      </c>
      <c r="X9" s="113" t="s">
        <v>708</v>
      </c>
    </row>
    <row r="10" spans="1:24" ht="17.25" customHeight="1" x14ac:dyDescent="0.35">
      <c r="A10" s="101"/>
      <c r="B10" s="68" t="s">
        <v>900</v>
      </c>
      <c r="C10" s="68" t="s">
        <v>880</v>
      </c>
      <c r="D10" s="68" t="s">
        <v>910</v>
      </c>
      <c r="E10" s="68" t="s">
        <v>870</v>
      </c>
      <c r="F10" s="68" t="str">
        <f>VLOOKUP(E10,Counter_Pricing[[Material_Name]:[Level]],5,0)</f>
        <v>Labor</v>
      </c>
      <c r="G10" s="68"/>
      <c r="H10" s="68"/>
      <c r="K10" s="362">
        <v>94</v>
      </c>
      <c r="L10" s="68">
        <f t="shared" si="0"/>
        <v>103.4</v>
      </c>
      <c r="M10" s="68" t="s">
        <v>18</v>
      </c>
      <c r="N10" s="358">
        <f>INDEX(Counter_Pricing[Olsen_Cost],MATCH(F10,Counter_Pricing[Level]))</f>
        <v>0</v>
      </c>
      <c r="O10" s="358">
        <f t="shared" si="2"/>
        <v>0</v>
      </c>
      <c r="P10" s="361">
        <f t="shared" ref="P10:P21" si="4">(L10/SUM($L$8:$L$137))*$V$5</f>
        <v>260.91783863804591</v>
      </c>
      <c r="Q10" s="361">
        <f t="shared" si="3"/>
        <v>-260.91783863804591</v>
      </c>
      <c r="R10" s="358">
        <f t="shared" si="1"/>
        <v>-260.91783863804591</v>
      </c>
      <c r="U10" s="203" t="str">
        <f>B42</f>
        <v>Bathroom #2</v>
      </c>
      <c r="V10" s="204">
        <f>R57</f>
        <v>45055.757672379434</v>
      </c>
      <c r="X10" s="113" t="s">
        <v>682</v>
      </c>
    </row>
    <row r="11" spans="1:24" ht="17.25" customHeight="1" x14ac:dyDescent="0.35">
      <c r="A11" s="101"/>
      <c r="B11" s="68" t="s">
        <v>902</v>
      </c>
      <c r="C11" s="68" t="s">
        <v>917</v>
      </c>
      <c r="D11" s="68" t="s">
        <v>894</v>
      </c>
      <c r="E11" s="68" t="s">
        <v>724</v>
      </c>
      <c r="F11" s="68" t="str">
        <f>VLOOKUP(E11,Counter_Pricing[[Material_Name]:[Level]],5,0)</f>
        <v>Level 1</v>
      </c>
      <c r="G11" s="68"/>
      <c r="H11" s="68"/>
      <c r="K11" s="362">
        <v>95</v>
      </c>
      <c r="L11" s="68">
        <f t="shared" si="0"/>
        <v>104.50000000000001</v>
      </c>
      <c r="M11" s="68" t="s">
        <v>18</v>
      </c>
      <c r="N11" s="358">
        <f>INDEX(Counter_Pricing[Olsen_Cost],MATCH(F11,Counter_Pricing[Level]))</f>
        <v>38</v>
      </c>
      <c r="O11" s="358">
        <f t="shared" ref="O11:O14" si="5">L11*N11</f>
        <v>3971.0000000000005</v>
      </c>
      <c r="P11" s="361">
        <f t="shared" si="4"/>
        <v>263.69356032568464</v>
      </c>
      <c r="Q11" s="361">
        <f t="shared" ref="Q11:Q14" si="6">O11-P11</f>
        <v>3707.3064396743157</v>
      </c>
      <c r="R11" s="358">
        <f t="shared" si="1"/>
        <v>5703.5483687297165</v>
      </c>
      <c r="U11" s="205" t="str">
        <f>B58</f>
        <v>Bathroom #3</v>
      </c>
      <c r="V11" s="206">
        <f>R73</f>
        <v>45055.757672379434</v>
      </c>
      <c r="X11" s="113" t="s">
        <v>683</v>
      </c>
    </row>
    <row r="12" spans="1:24" x14ac:dyDescent="0.3">
      <c r="B12" s="68" t="s">
        <v>902</v>
      </c>
      <c r="C12" s="68" t="s">
        <v>915</v>
      </c>
      <c r="D12" s="68" t="s">
        <v>882</v>
      </c>
      <c r="E12" s="68" t="s">
        <v>882</v>
      </c>
      <c r="F12" s="68" t="str">
        <f>VLOOKUP(E12,Counter_Pricing[[Material_Name]:[Level]],5,0)</f>
        <v>Labor</v>
      </c>
      <c r="G12" s="68"/>
      <c r="H12" s="68"/>
      <c r="K12" s="362">
        <v>96</v>
      </c>
      <c r="L12" s="68">
        <f t="shared" si="0"/>
        <v>105.60000000000001</v>
      </c>
      <c r="M12" s="68" t="s">
        <v>18</v>
      </c>
      <c r="N12" s="358">
        <f>INDEX(Counter_Pricing[Olsen_Cost],MATCH(F12,Counter_Pricing[Level]))</f>
        <v>0</v>
      </c>
      <c r="O12" s="358">
        <f t="shared" si="5"/>
        <v>0</v>
      </c>
      <c r="P12" s="361">
        <f t="shared" si="4"/>
        <v>266.46928201332344</v>
      </c>
      <c r="Q12" s="361">
        <f t="shared" si="6"/>
        <v>-266.46928201332344</v>
      </c>
      <c r="R12" s="358">
        <f t="shared" si="1"/>
        <v>-266.46928201332344</v>
      </c>
      <c r="U12" s="207" t="str">
        <f>B74</f>
        <v>Bathroom #4</v>
      </c>
      <c r="V12" s="208">
        <f>R89</f>
        <v>45055.757672379434</v>
      </c>
      <c r="X12" s="113" t="s">
        <v>717</v>
      </c>
    </row>
    <row r="13" spans="1:24" x14ac:dyDescent="0.3">
      <c r="B13" s="68" t="s">
        <v>902</v>
      </c>
      <c r="C13" s="68" t="s">
        <v>880</v>
      </c>
      <c r="D13" s="68" t="s">
        <v>920</v>
      </c>
      <c r="E13" s="68" t="s">
        <v>870</v>
      </c>
      <c r="F13" s="68" t="str">
        <f>VLOOKUP(E13,Counter_Pricing[[Material_Name]:[Level]],5,0)</f>
        <v>Labor</v>
      </c>
      <c r="G13" s="68"/>
      <c r="H13" s="68"/>
      <c r="K13" s="362">
        <v>97</v>
      </c>
      <c r="L13" s="68">
        <f t="shared" si="0"/>
        <v>106.7</v>
      </c>
      <c r="M13" s="68" t="s">
        <v>18</v>
      </c>
      <c r="N13" s="358">
        <f>INDEX(Counter_Pricing[Olsen_Cost],MATCH(F13,Counter_Pricing[Level]))</f>
        <v>0</v>
      </c>
      <c r="O13" s="358">
        <f t="shared" si="5"/>
        <v>0</v>
      </c>
      <c r="P13" s="361">
        <f t="shared" si="4"/>
        <v>269.24500370096223</v>
      </c>
      <c r="Q13" s="361">
        <f t="shared" si="6"/>
        <v>-269.24500370096223</v>
      </c>
      <c r="R13" s="358">
        <f t="shared" si="1"/>
        <v>-269.24500370096223</v>
      </c>
      <c r="U13" s="201" t="str">
        <f>B86</f>
        <v>Countertop</v>
      </c>
      <c r="V13" s="202" t="e">
        <f>R105</f>
        <v>#N/A</v>
      </c>
      <c r="X13" s="113" t="s">
        <v>690</v>
      </c>
    </row>
    <row r="14" spans="1:24" x14ac:dyDescent="0.3">
      <c r="B14" s="68" t="s">
        <v>902</v>
      </c>
      <c r="C14" s="68" t="s">
        <v>880</v>
      </c>
      <c r="D14" s="68" t="s">
        <v>910</v>
      </c>
      <c r="E14" s="68" t="s">
        <v>870</v>
      </c>
      <c r="F14" s="68" t="str">
        <f>VLOOKUP(E14,Counter_Pricing[[Material_Name]:[Level]],5,0)</f>
        <v>Labor</v>
      </c>
      <c r="G14" s="68"/>
      <c r="H14" s="68"/>
      <c r="K14" s="362">
        <v>98</v>
      </c>
      <c r="L14" s="68">
        <f t="shared" si="0"/>
        <v>107.80000000000001</v>
      </c>
      <c r="M14" s="68" t="s">
        <v>18</v>
      </c>
      <c r="N14" s="358">
        <f>INDEX(Counter_Pricing[Olsen_Cost],MATCH(F14,Counter_Pricing[Level]))</f>
        <v>0</v>
      </c>
      <c r="O14" s="358">
        <f t="shared" si="5"/>
        <v>0</v>
      </c>
      <c r="P14" s="361">
        <f t="shared" si="4"/>
        <v>272.02072538860108</v>
      </c>
      <c r="Q14" s="361">
        <f t="shared" si="6"/>
        <v>-272.02072538860108</v>
      </c>
      <c r="R14" s="358">
        <f t="shared" si="1"/>
        <v>-272.02072538860108</v>
      </c>
      <c r="U14" s="209" t="str">
        <f>B90</f>
        <v>Pantry</v>
      </c>
      <c r="V14" s="210" t="e">
        <f>R105</f>
        <v>#N/A</v>
      </c>
      <c r="X14" s="353" t="s">
        <v>712</v>
      </c>
    </row>
    <row r="15" spans="1:24" x14ac:dyDescent="0.3">
      <c r="B15" s="68" t="s">
        <v>892</v>
      </c>
      <c r="C15" s="68" t="s">
        <v>917</v>
      </c>
      <c r="D15" s="68" t="s">
        <v>894</v>
      </c>
      <c r="E15" s="68" t="s">
        <v>724</v>
      </c>
      <c r="F15" s="68" t="str">
        <f>VLOOKUP(E15,Counter_Pricing[[Material_Name]:[Level]],5,0)</f>
        <v>Level 1</v>
      </c>
      <c r="G15" s="68"/>
      <c r="H15" s="68"/>
      <c r="K15" s="362">
        <v>95</v>
      </c>
      <c r="L15" s="68">
        <f t="shared" si="0"/>
        <v>104.50000000000001</v>
      </c>
      <c r="M15" s="68" t="s">
        <v>18</v>
      </c>
      <c r="N15" s="358">
        <f>INDEX(Counter_Pricing[Olsen_Cost],MATCH(F15,Counter_Pricing[Level]))</f>
        <v>38</v>
      </c>
      <c r="O15" s="358">
        <f t="shared" ref="O15:O21" si="7">L15*N15</f>
        <v>3971.0000000000005</v>
      </c>
      <c r="P15" s="361">
        <f t="shared" si="4"/>
        <v>263.69356032568464</v>
      </c>
      <c r="Q15" s="361">
        <f t="shared" ref="Q15:Q21" si="8">O15-P15</f>
        <v>3707.3064396743157</v>
      </c>
      <c r="R15" s="358">
        <f t="shared" si="1"/>
        <v>5703.5483687297165</v>
      </c>
      <c r="U15" s="211">
        <f>B106</f>
        <v>0</v>
      </c>
      <c r="V15" s="212" t="e">
        <f>R121</f>
        <v>#N/A</v>
      </c>
      <c r="X15" s="109" t="s">
        <v>714</v>
      </c>
    </row>
    <row r="16" spans="1:24" x14ac:dyDescent="0.3">
      <c r="B16" s="68" t="s">
        <v>892</v>
      </c>
      <c r="C16" s="68" t="s">
        <v>915</v>
      </c>
      <c r="D16" s="68" t="s">
        <v>916</v>
      </c>
      <c r="E16" s="68" t="s">
        <v>916</v>
      </c>
      <c r="F16" s="68" t="str">
        <f>VLOOKUP(E16,Counter_Pricing[[Material_Name]:[Level]],5,0)</f>
        <v>Labor</v>
      </c>
      <c r="G16" s="68"/>
      <c r="H16" s="68"/>
      <c r="K16" s="362">
        <v>96</v>
      </c>
      <c r="L16" s="68">
        <f t="shared" si="0"/>
        <v>105.60000000000001</v>
      </c>
      <c r="M16" s="68" t="s">
        <v>18</v>
      </c>
      <c r="N16" s="358">
        <f>INDEX(Counter_Pricing[Olsen_Cost],MATCH(F16,Counter_Pricing[Level]))</f>
        <v>0</v>
      </c>
      <c r="O16" s="358">
        <f t="shared" si="7"/>
        <v>0</v>
      </c>
      <c r="P16" s="361">
        <f t="shared" si="4"/>
        <v>266.46928201332344</v>
      </c>
      <c r="Q16" s="361">
        <f t="shared" si="8"/>
        <v>-266.46928201332344</v>
      </c>
      <c r="R16" s="358">
        <f t="shared" si="1"/>
        <v>-266.46928201332344</v>
      </c>
      <c r="U16" s="213">
        <f>B122</f>
        <v>0</v>
      </c>
      <c r="V16" s="214" t="e">
        <f>R137</f>
        <v>#N/A</v>
      </c>
      <c r="X16" s="109" t="s">
        <v>715</v>
      </c>
    </row>
    <row r="17" spans="2:24" x14ac:dyDescent="0.3">
      <c r="B17" s="68" t="s">
        <v>892</v>
      </c>
      <c r="C17" s="68" t="s">
        <v>918</v>
      </c>
      <c r="D17" s="68" t="s">
        <v>894</v>
      </c>
      <c r="E17" s="68" t="s">
        <v>724</v>
      </c>
      <c r="F17" s="68" t="str">
        <f>VLOOKUP(E17,Counter_Pricing[[Material_Name]:[Level]],5,0)</f>
        <v>Level 1</v>
      </c>
      <c r="G17" s="68"/>
      <c r="H17" s="68" t="s">
        <v>919</v>
      </c>
      <c r="K17" s="362">
        <v>97</v>
      </c>
      <c r="L17" s="68">
        <f t="shared" si="0"/>
        <v>106.7</v>
      </c>
      <c r="M17" s="68" t="s">
        <v>18</v>
      </c>
      <c r="N17" s="358">
        <f>INDEX(Counter_Pricing[Olsen_Cost],MATCH(F17,Counter_Pricing[Level]))</f>
        <v>38</v>
      </c>
      <c r="O17" s="358">
        <f t="shared" si="7"/>
        <v>4054.6</v>
      </c>
      <c r="P17" s="361">
        <f t="shared" si="4"/>
        <v>269.24500370096223</v>
      </c>
      <c r="Q17" s="361">
        <f t="shared" si="8"/>
        <v>3785.3549962990378</v>
      </c>
      <c r="R17" s="358">
        <f t="shared" si="1"/>
        <v>5823.6230712292891</v>
      </c>
      <c r="U17" s="334" t="s">
        <v>693</v>
      </c>
      <c r="V17" s="335" t="e">
        <f>SUM(V8:V16)</f>
        <v>#N/A</v>
      </c>
      <c r="X17" s="109"/>
    </row>
    <row r="18" spans="2:24" x14ac:dyDescent="0.3">
      <c r="B18" s="68" t="s">
        <v>892</v>
      </c>
      <c r="C18" s="68" t="s">
        <v>894</v>
      </c>
      <c r="D18" s="68" t="s">
        <v>894</v>
      </c>
      <c r="E18" s="68" t="s">
        <v>724</v>
      </c>
      <c r="F18" s="68" t="str">
        <f>VLOOKUP(E18,Counter_Pricing[[Material_Name]:[Level]],5,0)</f>
        <v>Level 1</v>
      </c>
      <c r="G18" s="68"/>
      <c r="H18" s="68"/>
      <c r="K18" s="362">
        <v>98</v>
      </c>
      <c r="L18" s="68">
        <f t="shared" si="0"/>
        <v>107.80000000000001</v>
      </c>
      <c r="M18" s="68" t="s">
        <v>18</v>
      </c>
      <c r="N18" s="358">
        <f>INDEX(Counter_Pricing[Olsen_Cost],MATCH(F18,Counter_Pricing[Level]))</f>
        <v>38</v>
      </c>
      <c r="O18" s="358">
        <f t="shared" si="7"/>
        <v>4096.4000000000005</v>
      </c>
      <c r="P18" s="361">
        <f t="shared" si="4"/>
        <v>272.02072538860108</v>
      </c>
      <c r="Q18" s="361">
        <f t="shared" si="8"/>
        <v>3824.3792746113995</v>
      </c>
      <c r="R18" s="358">
        <f t="shared" si="1"/>
        <v>5883.6604224790763</v>
      </c>
      <c r="S18" s="68"/>
      <c r="U18" s="377" t="s">
        <v>698</v>
      </c>
      <c r="V18" s="378"/>
      <c r="X18" s="353" t="s">
        <v>706</v>
      </c>
    </row>
    <row r="19" spans="2:24" x14ac:dyDescent="0.3">
      <c r="B19" s="68" t="s">
        <v>871</v>
      </c>
      <c r="C19" s="68" t="s">
        <v>894</v>
      </c>
      <c r="D19" s="68" t="s">
        <v>894</v>
      </c>
      <c r="E19" s="68" t="s">
        <v>724</v>
      </c>
      <c r="F19" s="68" t="str">
        <f>VLOOKUP(E19,Counter_Pricing[[Material_Name]:[Level]],5,0)</f>
        <v>Level 1</v>
      </c>
      <c r="G19" s="68"/>
      <c r="H19" s="68"/>
      <c r="K19" s="362">
        <v>99</v>
      </c>
      <c r="L19" s="68">
        <f t="shared" si="0"/>
        <v>108.9</v>
      </c>
      <c r="M19" s="68" t="s">
        <v>18</v>
      </c>
      <c r="N19" s="358">
        <f>INDEX(Counter_Pricing[Olsen_Cost],MATCH(F19,Counter_Pricing[Level]))</f>
        <v>38</v>
      </c>
      <c r="O19" s="358">
        <f t="shared" si="7"/>
        <v>4138.2</v>
      </c>
      <c r="P19" s="361">
        <f t="shared" si="4"/>
        <v>274.79644707623982</v>
      </c>
      <c r="Q19" s="361">
        <f t="shared" si="8"/>
        <v>3863.4035529237599</v>
      </c>
      <c r="R19" s="358">
        <f t="shared" si="1"/>
        <v>5943.6977737288607</v>
      </c>
      <c r="S19" s="68"/>
      <c r="U19" s="377"/>
      <c r="V19" s="378"/>
      <c r="X19" s="109" t="s">
        <v>684</v>
      </c>
    </row>
    <row r="20" spans="2:24" ht="18" thickBot="1" x14ac:dyDescent="0.35">
      <c r="B20" s="68" t="s">
        <v>871</v>
      </c>
      <c r="C20" s="68" t="s">
        <v>894</v>
      </c>
      <c r="D20" s="68" t="s">
        <v>894</v>
      </c>
      <c r="E20" s="68" t="s">
        <v>724</v>
      </c>
      <c r="F20" s="68" t="str">
        <f>VLOOKUP(E20,Counter_Pricing[[Material_Name]:[Level]],5,0)</f>
        <v>Level 1</v>
      </c>
      <c r="G20" s="68"/>
      <c r="H20" s="68"/>
      <c r="K20" s="362">
        <v>100</v>
      </c>
      <c r="L20" s="68">
        <f t="shared" si="0"/>
        <v>110.00000000000001</v>
      </c>
      <c r="M20" s="68" t="s">
        <v>18</v>
      </c>
      <c r="N20" s="358">
        <f>INDEX(Counter_Pricing[Olsen_Cost],MATCH(F20,Counter_Pricing[Level]))</f>
        <v>38</v>
      </c>
      <c r="O20" s="358">
        <f t="shared" si="7"/>
        <v>4180.0000000000009</v>
      </c>
      <c r="P20" s="361">
        <f t="shared" si="4"/>
        <v>277.57216876387861</v>
      </c>
      <c r="Q20" s="361">
        <f t="shared" si="8"/>
        <v>3902.4278312361221</v>
      </c>
      <c r="R20" s="358">
        <f t="shared" si="1"/>
        <v>6003.7351249786489</v>
      </c>
      <c r="S20" s="68"/>
      <c r="U20" s="379"/>
      <c r="V20" s="380"/>
      <c r="X20" s="109" t="s">
        <v>685</v>
      </c>
    </row>
    <row r="21" spans="2:24" x14ac:dyDescent="0.3">
      <c r="B21" s="68" t="s">
        <v>871</v>
      </c>
      <c r="C21" s="68" t="s">
        <v>894</v>
      </c>
      <c r="D21" s="68" t="s">
        <v>894</v>
      </c>
      <c r="E21" s="68" t="s">
        <v>724</v>
      </c>
      <c r="F21" s="68" t="str">
        <f>VLOOKUP(E21,Counter_Pricing[[Material_Name]:[Level]],5,0)</f>
        <v>Level 1</v>
      </c>
      <c r="G21" s="68"/>
      <c r="H21" s="68"/>
      <c r="K21" s="362">
        <v>101</v>
      </c>
      <c r="L21" s="68">
        <f t="shared" si="0"/>
        <v>111.10000000000001</v>
      </c>
      <c r="M21" s="68" t="s">
        <v>18</v>
      </c>
      <c r="N21" s="358">
        <f>INDEX(Counter_Pricing[Olsen_Cost],MATCH(F21,Counter_Pricing[Level]))</f>
        <v>38</v>
      </c>
      <c r="O21" s="358">
        <f t="shared" si="7"/>
        <v>4221.8</v>
      </c>
      <c r="P21" s="361">
        <f t="shared" si="4"/>
        <v>280.3478904515174</v>
      </c>
      <c r="Q21" s="361">
        <f t="shared" si="8"/>
        <v>3941.4521095484829</v>
      </c>
      <c r="R21" s="358">
        <f t="shared" si="1"/>
        <v>6063.7724762284352</v>
      </c>
      <c r="S21" s="68"/>
      <c r="U21" s="68"/>
      <c r="X21" s="109" t="s">
        <v>686</v>
      </c>
    </row>
    <row r="22" spans="2:24" x14ac:dyDescent="0.3">
      <c r="L22" s="68"/>
      <c r="M22" s="68"/>
      <c r="N22" s="68"/>
      <c r="O22" s="68"/>
      <c r="P22" s="68"/>
      <c r="Q22" s="68"/>
      <c r="R22" s="68"/>
      <c r="S22" s="68"/>
      <c r="U22" s="68"/>
      <c r="X22" s="109" t="s">
        <v>687</v>
      </c>
    </row>
    <row r="23" spans="2:24" x14ac:dyDescent="0.3">
      <c r="L23" s="68"/>
      <c r="M23" s="68"/>
      <c r="N23" s="68"/>
      <c r="O23" s="68"/>
      <c r="P23" s="68"/>
      <c r="Q23" s="68"/>
      <c r="R23" s="68"/>
      <c r="S23" s="68"/>
      <c r="U23" s="68"/>
      <c r="X23" s="109" t="s">
        <v>688</v>
      </c>
    </row>
    <row r="24" spans="2:24" x14ac:dyDescent="0.3">
      <c r="L24" s="68"/>
      <c r="M24" s="68"/>
      <c r="N24" s="68"/>
      <c r="O24" s="68"/>
      <c r="P24" s="68"/>
      <c r="Q24" s="68"/>
      <c r="R24" s="68"/>
      <c r="S24" s="68"/>
      <c r="U24" s="68"/>
      <c r="X24" s="109" t="s">
        <v>709</v>
      </c>
    </row>
    <row r="25" spans="2:24" x14ac:dyDescent="0.3">
      <c r="L25" s="68"/>
      <c r="M25" s="68"/>
      <c r="N25" s="68"/>
      <c r="O25" s="97" t="s">
        <v>696</v>
      </c>
      <c r="P25" s="226"/>
      <c r="Q25" s="98"/>
      <c r="R25" s="227">
        <f>SUM(R8:R24)</f>
        <v>45055.757672379434</v>
      </c>
      <c r="S25" s="68"/>
      <c r="U25" s="68"/>
      <c r="X25" s="109" t="s">
        <v>710</v>
      </c>
    </row>
    <row r="26" spans="2:24" ht="21" x14ac:dyDescent="0.35">
      <c r="B26" s="389" t="s">
        <v>654</v>
      </c>
      <c r="C26" s="390"/>
      <c r="D26" s="390"/>
      <c r="E26" s="390"/>
      <c r="F26" s="390"/>
      <c r="G26" s="390"/>
      <c r="H26" s="390"/>
      <c r="I26" s="390"/>
      <c r="J26" s="390"/>
      <c r="K26" s="390"/>
      <c r="L26" s="390"/>
      <c r="M26" s="390"/>
      <c r="N26" s="390"/>
      <c r="O26" s="390"/>
      <c r="P26" s="390"/>
      <c r="Q26" s="390"/>
      <c r="R26" s="390"/>
      <c r="S26" s="391"/>
      <c r="U26" s="68"/>
      <c r="X26" s="109" t="s">
        <v>718</v>
      </c>
    </row>
    <row r="27" spans="2:24" x14ac:dyDescent="0.3">
      <c r="B27" s="68" t="s">
        <v>900</v>
      </c>
      <c r="C27" s="68" t="s">
        <v>917</v>
      </c>
      <c r="D27" s="68" t="s">
        <v>894</v>
      </c>
      <c r="E27" s="68" t="s">
        <v>724</v>
      </c>
      <c r="F27" s="68" t="str">
        <f>VLOOKUP(E27,Counter_Pricing[[Material_Name]:[Level]],5,0)</f>
        <v>Level 1</v>
      </c>
      <c r="G27" s="68"/>
      <c r="H27" s="68"/>
      <c r="K27" s="362">
        <v>92</v>
      </c>
      <c r="L27" s="68">
        <f t="shared" ref="L27:L40" si="9">K27*(1+$L$6)</f>
        <v>101.2</v>
      </c>
      <c r="M27" s="68" t="s">
        <v>18</v>
      </c>
      <c r="N27" s="358">
        <f>INDEX(Counter_Pricing[Olsen_Cost],MATCH(F27,Counter_Pricing[Level]))</f>
        <v>38</v>
      </c>
      <c r="O27" s="358">
        <f>L27*N27</f>
        <v>3845.6</v>
      </c>
      <c r="P27" s="361">
        <f>(L27/SUM($L$8:$L$136))*$V$5</f>
        <v>255.36639526276832</v>
      </c>
      <c r="Q27" s="361">
        <f>O27-P27</f>
        <v>3590.2336047372314</v>
      </c>
      <c r="R27" s="358">
        <f t="shared" ref="R27:R40" si="10">IF(Q27&gt;0,Q27/$R$6,Q27)</f>
        <v>5523.4363149803557</v>
      </c>
      <c r="U27" s="68"/>
      <c r="X27" s="109" t="s">
        <v>719</v>
      </c>
    </row>
    <row r="28" spans="2:24" x14ac:dyDescent="0.3">
      <c r="B28" s="68" t="s">
        <v>900</v>
      </c>
      <c r="C28" s="68" t="s">
        <v>915</v>
      </c>
      <c r="D28" s="68" t="s">
        <v>916</v>
      </c>
      <c r="E28" s="68" t="s">
        <v>916</v>
      </c>
      <c r="F28" s="68" t="str">
        <f>VLOOKUP(E28,Counter_Pricing[[Material_Name]:[Level]],5,0)</f>
        <v>Labor</v>
      </c>
      <c r="G28" s="68"/>
      <c r="H28" s="68"/>
      <c r="K28" s="362">
        <v>93</v>
      </c>
      <c r="L28" s="68">
        <f t="shared" si="9"/>
        <v>102.30000000000001</v>
      </c>
      <c r="M28" s="68" t="s">
        <v>26</v>
      </c>
      <c r="N28" s="358">
        <f>INDEX(Counter_Pricing[Olsen_Cost],MATCH(F28,Counter_Pricing[Level]))</f>
        <v>0</v>
      </c>
      <c r="O28" s="358">
        <f t="shared" ref="O28:O40" si="11">L28*N28</f>
        <v>0</v>
      </c>
      <c r="P28" s="361">
        <f t="shared" ref="P28:P40" si="12">(L28/SUM($L$8:$L$136))*$V$5</f>
        <v>258.14211695040711</v>
      </c>
      <c r="Q28" s="361">
        <f t="shared" ref="Q28:Q40" si="13">O28-P28</f>
        <v>-258.14211695040711</v>
      </c>
      <c r="R28" s="358">
        <f t="shared" si="10"/>
        <v>-258.14211695040711</v>
      </c>
      <c r="U28" s="68"/>
      <c r="X28" s="109" t="s">
        <v>720</v>
      </c>
    </row>
    <row r="29" spans="2:24" x14ac:dyDescent="0.3">
      <c r="B29" s="68" t="s">
        <v>900</v>
      </c>
      <c r="C29" s="68" t="s">
        <v>880</v>
      </c>
      <c r="D29" s="68" t="s">
        <v>910</v>
      </c>
      <c r="E29" s="68" t="s">
        <v>870</v>
      </c>
      <c r="F29" s="68" t="str">
        <f>VLOOKUP(E29,Counter_Pricing[[Material_Name]:[Level]],5,0)</f>
        <v>Labor</v>
      </c>
      <c r="G29" s="68"/>
      <c r="H29" s="68"/>
      <c r="K29" s="362">
        <v>94</v>
      </c>
      <c r="L29" s="68">
        <f t="shared" si="9"/>
        <v>103.4</v>
      </c>
      <c r="M29" s="68" t="s">
        <v>18</v>
      </c>
      <c r="N29" s="358">
        <f>INDEX(Counter_Pricing[Olsen_Cost],MATCH(F29,Counter_Pricing[Level]))</f>
        <v>0</v>
      </c>
      <c r="O29" s="358">
        <f t="shared" si="11"/>
        <v>0</v>
      </c>
      <c r="P29" s="361">
        <f t="shared" si="12"/>
        <v>260.91783863804591</v>
      </c>
      <c r="Q29" s="361">
        <f t="shared" si="13"/>
        <v>-260.91783863804591</v>
      </c>
      <c r="R29" s="358">
        <f t="shared" si="10"/>
        <v>-260.91783863804591</v>
      </c>
      <c r="U29" s="68"/>
    </row>
    <row r="30" spans="2:24" x14ac:dyDescent="0.3">
      <c r="B30" s="68" t="s">
        <v>902</v>
      </c>
      <c r="C30" s="68" t="s">
        <v>917</v>
      </c>
      <c r="D30" s="68" t="s">
        <v>894</v>
      </c>
      <c r="E30" s="68" t="s">
        <v>724</v>
      </c>
      <c r="F30" s="68" t="str">
        <f>VLOOKUP(E30,Counter_Pricing[[Material_Name]:[Level]],5,0)</f>
        <v>Level 1</v>
      </c>
      <c r="G30" s="68"/>
      <c r="H30" s="68"/>
      <c r="K30" s="362">
        <v>95</v>
      </c>
      <c r="L30" s="68">
        <f t="shared" si="9"/>
        <v>104.50000000000001</v>
      </c>
      <c r="M30" s="68" t="s">
        <v>18</v>
      </c>
      <c r="N30" s="358">
        <f>INDEX(Counter_Pricing[Olsen_Cost],MATCH(F30,Counter_Pricing[Level]))</f>
        <v>38</v>
      </c>
      <c r="O30" s="358">
        <f t="shared" si="11"/>
        <v>3971.0000000000005</v>
      </c>
      <c r="P30" s="361">
        <f t="shared" si="12"/>
        <v>263.69356032568464</v>
      </c>
      <c r="Q30" s="361">
        <f t="shared" si="13"/>
        <v>3707.3064396743157</v>
      </c>
      <c r="R30" s="358">
        <f t="shared" si="10"/>
        <v>5703.5483687297165</v>
      </c>
      <c r="U30" s="68"/>
    </row>
    <row r="31" spans="2:24" x14ac:dyDescent="0.3">
      <c r="B31" s="68" t="s">
        <v>902</v>
      </c>
      <c r="C31" s="68" t="s">
        <v>915</v>
      </c>
      <c r="D31" s="68" t="s">
        <v>882</v>
      </c>
      <c r="E31" s="68" t="s">
        <v>882</v>
      </c>
      <c r="F31" s="68" t="str">
        <f>VLOOKUP(E31,Counter_Pricing[[Material_Name]:[Level]],5,0)</f>
        <v>Labor</v>
      </c>
      <c r="G31" s="68"/>
      <c r="H31" s="68"/>
      <c r="K31" s="362">
        <v>96</v>
      </c>
      <c r="L31" s="68">
        <f t="shared" si="9"/>
        <v>105.60000000000001</v>
      </c>
      <c r="M31" s="68" t="s">
        <v>18</v>
      </c>
      <c r="N31" s="358">
        <f>INDEX(Counter_Pricing[Olsen_Cost],MATCH(F31,Counter_Pricing[Level]))</f>
        <v>0</v>
      </c>
      <c r="O31" s="358">
        <f t="shared" si="11"/>
        <v>0</v>
      </c>
      <c r="P31" s="361">
        <f t="shared" si="12"/>
        <v>266.46928201332344</v>
      </c>
      <c r="Q31" s="361">
        <f t="shared" si="13"/>
        <v>-266.46928201332344</v>
      </c>
      <c r="R31" s="358">
        <f t="shared" si="10"/>
        <v>-266.46928201332344</v>
      </c>
      <c r="U31" s="68"/>
    </row>
    <row r="32" spans="2:24" x14ac:dyDescent="0.3">
      <c r="B32" s="68" t="s">
        <v>902</v>
      </c>
      <c r="C32" s="68" t="s">
        <v>880</v>
      </c>
      <c r="D32" s="68" t="s">
        <v>920</v>
      </c>
      <c r="E32" s="68" t="s">
        <v>870</v>
      </c>
      <c r="F32" s="68" t="str">
        <f>VLOOKUP(E32,Counter_Pricing[[Material_Name]:[Level]],5,0)</f>
        <v>Labor</v>
      </c>
      <c r="G32" s="68"/>
      <c r="H32" s="68"/>
      <c r="K32" s="362">
        <v>97</v>
      </c>
      <c r="L32" s="68">
        <f t="shared" si="9"/>
        <v>106.7</v>
      </c>
      <c r="M32" s="68" t="s">
        <v>18</v>
      </c>
      <c r="N32" s="358">
        <f>INDEX(Counter_Pricing[Olsen_Cost],MATCH(F32,Counter_Pricing[Level]))</f>
        <v>0</v>
      </c>
      <c r="O32" s="358">
        <f t="shared" si="11"/>
        <v>0</v>
      </c>
      <c r="P32" s="361">
        <f t="shared" si="12"/>
        <v>269.24500370096223</v>
      </c>
      <c r="Q32" s="361">
        <f t="shared" si="13"/>
        <v>-269.24500370096223</v>
      </c>
      <c r="R32" s="358">
        <f t="shared" si="10"/>
        <v>-269.24500370096223</v>
      </c>
      <c r="U32" s="68"/>
    </row>
    <row r="33" spans="2:24" x14ac:dyDescent="0.3">
      <c r="B33" s="68" t="s">
        <v>902</v>
      </c>
      <c r="C33" s="68" t="s">
        <v>880</v>
      </c>
      <c r="D33" s="68" t="s">
        <v>910</v>
      </c>
      <c r="E33" s="68" t="s">
        <v>870</v>
      </c>
      <c r="F33" s="68" t="str">
        <f>VLOOKUP(E33,Counter_Pricing[[Material_Name]:[Level]],5,0)</f>
        <v>Labor</v>
      </c>
      <c r="G33" s="68"/>
      <c r="H33" s="68"/>
      <c r="K33" s="362">
        <v>98</v>
      </c>
      <c r="L33" s="68">
        <f t="shared" si="9"/>
        <v>107.80000000000001</v>
      </c>
      <c r="M33" s="68" t="s">
        <v>18</v>
      </c>
      <c r="N33" s="358">
        <f>INDEX(Counter_Pricing[Olsen_Cost],MATCH(F33,Counter_Pricing[Level]))</f>
        <v>0</v>
      </c>
      <c r="O33" s="358">
        <f t="shared" si="11"/>
        <v>0</v>
      </c>
      <c r="P33" s="361">
        <f t="shared" si="12"/>
        <v>272.02072538860108</v>
      </c>
      <c r="Q33" s="361">
        <f t="shared" si="13"/>
        <v>-272.02072538860108</v>
      </c>
      <c r="R33" s="358">
        <f t="shared" si="10"/>
        <v>-272.02072538860108</v>
      </c>
      <c r="U33" s="68"/>
      <c r="X33" s="352" t="s">
        <v>707</v>
      </c>
    </row>
    <row r="34" spans="2:24" x14ac:dyDescent="0.3">
      <c r="B34" s="68" t="s">
        <v>892</v>
      </c>
      <c r="C34" s="68" t="s">
        <v>917</v>
      </c>
      <c r="D34" s="68" t="s">
        <v>894</v>
      </c>
      <c r="E34" s="68" t="s">
        <v>724</v>
      </c>
      <c r="F34" s="68" t="str">
        <f>VLOOKUP(E34,Counter_Pricing[[Material_Name]:[Level]],5,0)</f>
        <v>Level 1</v>
      </c>
      <c r="G34" s="68"/>
      <c r="H34" s="68"/>
      <c r="K34" s="362">
        <v>95</v>
      </c>
      <c r="L34" s="68">
        <f t="shared" si="9"/>
        <v>104.50000000000001</v>
      </c>
      <c r="M34" s="68" t="s">
        <v>18</v>
      </c>
      <c r="N34" s="358">
        <f>INDEX(Counter_Pricing[Olsen_Cost],MATCH(F34,Counter_Pricing[Level]))</f>
        <v>38</v>
      </c>
      <c r="O34" s="358">
        <f t="shared" si="11"/>
        <v>3971.0000000000005</v>
      </c>
      <c r="P34" s="361">
        <f t="shared" si="12"/>
        <v>263.69356032568464</v>
      </c>
      <c r="Q34" s="361">
        <f t="shared" si="13"/>
        <v>3707.3064396743157</v>
      </c>
      <c r="R34" s="358">
        <f t="shared" si="10"/>
        <v>5703.5483687297165</v>
      </c>
      <c r="U34" s="68"/>
      <c r="X34" s="113" t="s">
        <v>711</v>
      </c>
    </row>
    <row r="35" spans="2:24" x14ac:dyDescent="0.3">
      <c r="B35" s="68" t="s">
        <v>892</v>
      </c>
      <c r="C35" s="68" t="s">
        <v>915</v>
      </c>
      <c r="D35" s="68" t="s">
        <v>916</v>
      </c>
      <c r="E35" s="68" t="s">
        <v>916</v>
      </c>
      <c r="F35" s="68" t="str">
        <f>VLOOKUP(E35,Counter_Pricing[[Material_Name]:[Level]],5,0)</f>
        <v>Labor</v>
      </c>
      <c r="G35" s="68"/>
      <c r="H35" s="68"/>
      <c r="K35" s="362">
        <v>96</v>
      </c>
      <c r="L35" s="68">
        <f t="shared" si="9"/>
        <v>105.60000000000001</v>
      </c>
      <c r="M35" s="68" t="s">
        <v>18</v>
      </c>
      <c r="N35" s="358">
        <f>INDEX(Counter_Pricing[Olsen_Cost],MATCH(F35,Counter_Pricing[Level]))</f>
        <v>0</v>
      </c>
      <c r="O35" s="358">
        <f t="shared" si="11"/>
        <v>0</v>
      </c>
      <c r="P35" s="361">
        <f t="shared" si="12"/>
        <v>266.46928201332344</v>
      </c>
      <c r="Q35" s="361">
        <f t="shared" si="13"/>
        <v>-266.46928201332344</v>
      </c>
      <c r="R35" s="358">
        <f t="shared" si="10"/>
        <v>-266.46928201332344</v>
      </c>
      <c r="U35" s="68"/>
      <c r="X35" s="113" t="s">
        <v>681</v>
      </c>
    </row>
    <row r="36" spans="2:24" x14ac:dyDescent="0.3">
      <c r="B36" s="68" t="s">
        <v>892</v>
      </c>
      <c r="C36" s="68" t="s">
        <v>918</v>
      </c>
      <c r="D36" s="68" t="s">
        <v>894</v>
      </c>
      <c r="E36" s="68" t="s">
        <v>724</v>
      </c>
      <c r="F36" s="68" t="str">
        <f>VLOOKUP(E36,Counter_Pricing[[Material_Name]:[Level]],5,0)</f>
        <v>Level 1</v>
      </c>
      <c r="G36" s="68"/>
      <c r="H36" s="68" t="s">
        <v>919</v>
      </c>
      <c r="K36" s="362">
        <v>97</v>
      </c>
      <c r="L36" s="68">
        <f t="shared" si="9"/>
        <v>106.7</v>
      </c>
      <c r="M36" s="68" t="s">
        <v>18</v>
      </c>
      <c r="N36" s="358">
        <f>INDEX(Counter_Pricing[Olsen_Cost],MATCH(F36,Counter_Pricing[Level]))</f>
        <v>38</v>
      </c>
      <c r="O36" s="358">
        <f t="shared" si="11"/>
        <v>4054.6</v>
      </c>
      <c r="P36" s="361">
        <f t="shared" si="12"/>
        <v>269.24500370096223</v>
      </c>
      <c r="Q36" s="361">
        <f t="shared" si="13"/>
        <v>3785.3549962990378</v>
      </c>
      <c r="R36" s="358">
        <f t="shared" si="10"/>
        <v>5823.6230712292891</v>
      </c>
      <c r="U36" s="68"/>
      <c r="X36" s="113" t="s">
        <v>682</v>
      </c>
    </row>
    <row r="37" spans="2:24" x14ac:dyDescent="0.3">
      <c r="B37" s="68" t="s">
        <v>892</v>
      </c>
      <c r="C37" s="68" t="s">
        <v>894</v>
      </c>
      <c r="D37" s="68" t="s">
        <v>894</v>
      </c>
      <c r="E37" s="68" t="s">
        <v>724</v>
      </c>
      <c r="F37" s="68" t="str">
        <f>VLOOKUP(E37,Counter_Pricing[[Material_Name]:[Level]],5,0)</f>
        <v>Level 1</v>
      </c>
      <c r="G37" s="68"/>
      <c r="H37" s="68"/>
      <c r="K37" s="362">
        <v>98</v>
      </c>
      <c r="L37" s="68">
        <f t="shared" si="9"/>
        <v>107.80000000000001</v>
      </c>
      <c r="M37" s="68" t="s">
        <v>18</v>
      </c>
      <c r="N37" s="358">
        <f>INDEX(Counter_Pricing[Olsen_Cost],MATCH(F37,Counter_Pricing[Level]))</f>
        <v>38</v>
      </c>
      <c r="O37" s="358">
        <f t="shared" si="11"/>
        <v>4096.4000000000005</v>
      </c>
      <c r="P37" s="361">
        <f t="shared" si="12"/>
        <v>272.02072538860108</v>
      </c>
      <c r="Q37" s="361">
        <f t="shared" si="13"/>
        <v>3824.3792746113995</v>
      </c>
      <c r="R37" s="358">
        <f t="shared" si="10"/>
        <v>5883.6604224790763</v>
      </c>
      <c r="S37" s="68"/>
    </row>
    <row r="38" spans="2:24" x14ac:dyDescent="0.3">
      <c r="B38" s="68" t="s">
        <v>871</v>
      </c>
      <c r="C38" s="68" t="s">
        <v>894</v>
      </c>
      <c r="D38" s="68" t="s">
        <v>894</v>
      </c>
      <c r="E38" s="68" t="s">
        <v>724</v>
      </c>
      <c r="F38" s="68" t="str">
        <f>VLOOKUP(E38,Counter_Pricing[[Material_Name]:[Level]],5,0)</f>
        <v>Level 1</v>
      </c>
      <c r="G38" s="68"/>
      <c r="H38" s="68"/>
      <c r="K38" s="362">
        <v>99</v>
      </c>
      <c r="L38" s="68">
        <f t="shared" si="9"/>
        <v>108.9</v>
      </c>
      <c r="M38" s="68" t="s">
        <v>18</v>
      </c>
      <c r="N38" s="358">
        <f>INDEX(Counter_Pricing[Olsen_Cost],MATCH(F38,Counter_Pricing[Level]))</f>
        <v>38</v>
      </c>
      <c r="O38" s="358">
        <f t="shared" si="11"/>
        <v>4138.2</v>
      </c>
      <c r="P38" s="361">
        <f t="shared" si="12"/>
        <v>274.79644707623982</v>
      </c>
      <c r="Q38" s="361">
        <f t="shared" si="13"/>
        <v>3863.4035529237599</v>
      </c>
      <c r="R38" s="358">
        <f t="shared" si="10"/>
        <v>5943.6977737288607</v>
      </c>
      <c r="S38" s="68"/>
    </row>
    <row r="39" spans="2:24" x14ac:dyDescent="0.3">
      <c r="B39" s="68" t="s">
        <v>871</v>
      </c>
      <c r="C39" s="68" t="s">
        <v>894</v>
      </c>
      <c r="D39" s="68" t="s">
        <v>894</v>
      </c>
      <c r="E39" s="68" t="s">
        <v>724</v>
      </c>
      <c r="F39" s="68" t="str">
        <f>VLOOKUP(E39,Counter_Pricing[[Material_Name]:[Level]],5,0)</f>
        <v>Level 1</v>
      </c>
      <c r="G39" s="68"/>
      <c r="H39" s="68"/>
      <c r="K39" s="362">
        <v>100</v>
      </c>
      <c r="L39" s="68">
        <f t="shared" si="9"/>
        <v>110.00000000000001</v>
      </c>
      <c r="M39" s="68" t="s">
        <v>18</v>
      </c>
      <c r="N39" s="358">
        <f>INDEX(Counter_Pricing[Olsen_Cost],MATCH(F39,Counter_Pricing[Level]))</f>
        <v>38</v>
      </c>
      <c r="O39" s="358">
        <f t="shared" si="11"/>
        <v>4180.0000000000009</v>
      </c>
      <c r="P39" s="361">
        <f t="shared" si="12"/>
        <v>277.57216876387861</v>
      </c>
      <c r="Q39" s="361">
        <f t="shared" si="13"/>
        <v>3902.4278312361221</v>
      </c>
      <c r="R39" s="358">
        <f t="shared" si="10"/>
        <v>6003.7351249786489</v>
      </c>
      <c r="S39" s="68"/>
    </row>
    <row r="40" spans="2:24" x14ac:dyDescent="0.3">
      <c r="B40" s="68"/>
      <c r="C40" s="68" t="s">
        <v>894</v>
      </c>
      <c r="D40" s="68" t="s">
        <v>894</v>
      </c>
      <c r="E40" s="68" t="s">
        <v>724</v>
      </c>
      <c r="F40" s="68" t="str">
        <f>VLOOKUP(E40,Counter_Pricing[[Material_Name]:[Level]],5,0)</f>
        <v>Level 1</v>
      </c>
      <c r="G40" s="68"/>
      <c r="H40" s="68"/>
      <c r="K40" s="362">
        <v>101</v>
      </c>
      <c r="L40" s="68">
        <f t="shared" si="9"/>
        <v>111.10000000000001</v>
      </c>
      <c r="M40" s="68" t="s">
        <v>18</v>
      </c>
      <c r="N40" s="358">
        <f>INDEX(Counter_Pricing[Olsen_Cost],MATCH(F40,Counter_Pricing[Level]))</f>
        <v>38</v>
      </c>
      <c r="O40" s="358">
        <f t="shared" si="11"/>
        <v>4221.8</v>
      </c>
      <c r="P40" s="361">
        <f t="shared" si="12"/>
        <v>280.3478904515174</v>
      </c>
      <c r="Q40" s="361">
        <f t="shared" si="13"/>
        <v>3941.4521095484829</v>
      </c>
      <c r="R40" s="358">
        <f t="shared" si="10"/>
        <v>6063.7724762284352</v>
      </c>
      <c r="S40" s="68"/>
    </row>
    <row r="41" spans="2:24" x14ac:dyDescent="0.3">
      <c r="B41" s="68"/>
      <c r="C41" s="68"/>
      <c r="D41" s="68"/>
      <c r="E41" s="68"/>
      <c r="F41" s="68"/>
      <c r="G41" s="68"/>
      <c r="H41" s="68"/>
      <c r="K41" s="362"/>
      <c r="L41" s="68"/>
      <c r="M41" s="68"/>
      <c r="N41" s="358"/>
      <c r="O41" s="97" t="s">
        <v>696</v>
      </c>
      <c r="P41" s="226"/>
      <c r="Q41" s="98"/>
      <c r="R41" s="227">
        <f>SUM(R27:R40)</f>
        <v>45055.757672379434</v>
      </c>
      <c r="S41" s="68"/>
    </row>
    <row r="42" spans="2:24" ht="21" x14ac:dyDescent="0.35">
      <c r="B42" s="389" t="s">
        <v>185</v>
      </c>
      <c r="C42" s="390"/>
      <c r="D42" s="390"/>
      <c r="E42" s="390"/>
      <c r="F42" s="390"/>
      <c r="G42" s="390"/>
      <c r="H42" s="390"/>
      <c r="I42" s="390"/>
      <c r="J42" s="390"/>
      <c r="K42" s="390"/>
      <c r="L42" s="390"/>
      <c r="M42" s="390"/>
      <c r="N42" s="390"/>
      <c r="O42" s="390"/>
      <c r="P42" s="390"/>
      <c r="Q42" s="390"/>
      <c r="R42" s="390"/>
      <c r="S42" s="391"/>
    </row>
    <row r="43" spans="2:24" x14ac:dyDescent="0.3">
      <c r="B43" s="68" t="s">
        <v>900</v>
      </c>
      <c r="C43" s="68" t="s">
        <v>917</v>
      </c>
      <c r="D43" s="68" t="s">
        <v>894</v>
      </c>
      <c r="E43" s="68" t="s">
        <v>724</v>
      </c>
      <c r="F43" s="68" t="str">
        <f>VLOOKUP(E43,Counter_Pricing[[Material_Name]:[Level]],5,0)</f>
        <v>Level 1</v>
      </c>
      <c r="G43" s="68"/>
      <c r="H43" s="68"/>
      <c r="K43" s="362">
        <v>92</v>
      </c>
      <c r="L43" s="68">
        <f t="shared" ref="L43:L56" si="14">K43*(1+$L$6)</f>
        <v>101.2</v>
      </c>
      <c r="M43" s="68" t="s">
        <v>18</v>
      </c>
      <c r="N43" s="358">
        <f>INDEX(Counter_Pricing[Olsen_Cost],MATCH(F43,Counter_Pricing[Level]))</f>
        <v>38</v>
      </c>
      <c r="O43" s="358">
        <f>L43*N43</f>
        <v>3845.6</v>
      </c>
      <c r="P43" s="361">
        <f>(L43/SUM($L$8:$L$136))*$V$5</f>
        <v>255.36639526276832</v>
      </c>
      <c r="Q43" s="361">
        <f>O43-P43</f>
        <v>3590.2336047372314</v>
      </c>
      <c r="R43" s="358">
        <f t="shared" ref="R43:R56" si="15">IF(Q43&gt;0,Q43/$R$6,Q43)</f>
        <v>5523.4363149803557</v>
      </c>
    </row>
    <row r="44" spans="2:24" x14ac:dyDescent="0.3">
      <c r="B44" s="68" t="s">
        <v>900</v>
      </c>
      <c r="C44" s="68" t="s">
        <v>915</v>
      </c>
      <c r="D44" s="68" t="s">
        <v>916</v>
      </c>
      <c r="E44" s="68" t="s">
        <v>916</v>
      </c>
      <c r="F44" s="68" t="str">
        <f>VLOOKUP(E44,Counter_Pricing[[Material_Name]:[Level]],5,0)</f>
        <v>Labor</v>
      </c>
      <c r="G44" s="68"/>
      <c r="H44" s="68"/>
      <c r="K44" s="362">
        <v>93</v>
      </c>
      <c r="L44" s="68">
        <f t="shared" si="14"/>
        <v>102.30000000000001</v>
      </c>
      <c r="M44" s="68" t="s">
        <v>26</v>
      </c>
      <c r="N44" s="358">
        <f>INDEX(Counter_Pricing[Olsen_Cost],MATCH(F44,Counter_Pricing[Level]))</f>
        <v>0</v>
      </c>
      <c r="O44" s="358">
        <f t="shared" ref="O44:O56" si="16">L44*N44</f>
        <v>0</v>
      </c>
      <c r="P44" s="361">
        <f t="shared" ref="P44:P56" si="17">(L44/SUM($L$8:$L$136))*$V$5</f>
        <v>258.14211695040711</v>
      </c>
      <c r="Q44" s="361">
        <f t="shared" ref="Q44:Q56" si="18">O44-P44</f>
        <v>-258.14211695040711</v>
      </c>
      <c r="R44" s="358">
        <f t="shared" si="15"/>
        <v>-258.14211695040711</v>
      </c>
    </row>
    <row r="45" spans="2:24" x14ac:dyDescent="0.3">
      <c r="B45" s="68" t="s">
        <v>900</v>
      </c>
      <c r="C45" s="68" t="s">
        <v>880</v>
      </c>
      <c r="D45" s="68" t="s">
        <v>910</v>
      </c>
      <c r="E45" s="68" t="s">
        <v>870</v>
      </c>
      <c r="F45" s="68" t="str">
        <f>VLOOKUP(E45,Counter_Pricing[[Material_Name]:[Level]],5,0)</f>
        <v>Labor</v>
      </c>
      <c r="G45" s="68"/>
      <c r="H45" s="68"/>
      <c r="K45" s="362">
        <v>94</v>
      </c>
      <c r="L45" s="68">
        <f t="shared" si="14"/>
        <v>103.4</v>
      </c>
      <c r="M45" s="68" t="s">
        <v>18</v>
      </c>
      <c r="N45" s="358">
        <f>INDEX(Counter_Pricing[Olsen_Cost],MATCH(F45,Counter_Pricing[Level]))</f>
        <v>0</v>
      </c>
      <c r="O45" s="358">
        <f t="shared" si="16"/>
        <v>0</v>
      </c>
      <c r="P45" s="361">
        <f t="shared" si="17"/>
        <v>260.91783863804591</v>
      </c>
      <c r="Q45" s="361">
        <f t="shared" si="18"/>
        <v>-260.91783863804591</v>
      </c>
      <c r="R45" s="358">
        <f t="shared" si="15"/>
        <v>-260.91783863804591</v>
      </c>
    </row>
    <row r="46" spans="2:24" x14ac:dyDescent="0.3">
      <c r="B46" s="68" t="s">
        <v>902</v>
      </c>
      <c r="C46" s="68" t="s">
        <v>917</v>
      </c>
      <c r="D46" s="68" t="s">
        <v>894</v>
      </c>
      <c r="E46" s="68" t="s">
        <v>724</v>
      </c>
      <c r="F46" s="68" t="str">
        <f>VLOOKUP(E46,Counter_Pricing[[Material_Name]:[Level]],5,0)</f>
        <v>Level 1</v>
      </c>
      <c r="G46" s="68"/>
      <c r="H46" s="68"/>
      <c r="K46" s="362">
        <v>95</v>
      </c>
      <c r="L46" s="68">
        <f t="shared" si="14"/>
        <v>104.50000000000001</v>
      </c>
      <c r="M46" s="68" t="s">
        <v>18</v>
      </c>
      <c r="N46" s="358">
        <f>INDEX(Counter_Pricing[Olsen_Cost],MATCH(F46,Counter_Pricing[Level]))</f>
        <v>38</v>
      </c>
      <c r="O46" s="358">
        <f t="shared" si="16"/>
        <v>3971.0000000000005</v>
      </c>
      <c r="P46" s="361">
        <f t="shared" si="17"/>
        <v>263.69356032568464</v>
      </c>
      <c r="Q46" s="361">
        <f t="shared" si="18"/>
        <v>3707.3064396743157</v>
      </c>
      <c r="R46" s="358">
        <f t="shared" si="15"/>
        <v>5703.5483687297165</v>
      </c>
    </row>
    <row r="47" spans="2:24" x14ac:dyDescent="0.3">
      <c r="B47" s="68" t="s">
        <v>902</v>
      </c>
      <c r="C47" s="68" t="s">
        <v>915</v>
      </c>
      <c r="D47" s="68" t="s">
        <v>882</v>
      </c>
      <c r="E47" s="68" t="s">
        <v>882</v>
      </c>
      <c r="F47" s="68" t="str">
        <f>VLOOKUP(E47,Counter_Pricing[[Material_Name]:[Level]],5,0)</f>
        <v>Labor</v>
      </c>
      <c r="G47" s="68"/>
      <c r="H47" s="68"/>
      <c r="K47" s="362">
        <v>96</v>
      </c>
      <c r="L47" s="68">
        <f t="shared" si="14"/>
        <v>105.60000000000001</v>
      </c>
      <c r="M47" s="68" t="s">
        <v>18</v>
      </c>
      <c r="N47" s="358">
        <f>INDEX(Counter_Pricing[Olsen_Cost],MATCH(F47,Counter_Pricing[Level]))</f>
        <v>0</v>
      </c>
      <c r="O47" s="358">
        <f t="shared" si="16"/>
        <v>0</v>
      </c>
      <c r="P47" s="361">
        <f t="shared" si="17"/>
        <v>266.46928201332344</v>
      </c>
      <c r="Q47" s="361">
        <f t="shared" si="18"/>
        <v>-266.46928201332344</v>
      </c>
      <c r="R47" s="358">
        <f t="shared" si="15"/>
        <v>-266.46928201332344</v>
      </c>
    </row>
    <row r="48" spans="2:24" x14ac:dyDescent="0.3">
      <c r="B48" s="68" t="s">
        <v>902</v>
      </c>
      <c r="C48" s="68" t="s">
        <v>880</v>
      </c>
      <c r="D48" s="68" t="s">
        <v>920</v>
      </c>
      <c r="E48" s="68" t="s">
        <v>870</v>
      </c>
      <c r="F48" s="68" t="str">
        <f>VLOOKUP(E48,Counter_Pricing[[Material_Name]:[Level]],5,0)</f>
        <v>Labor</v>
      </c>
      <c r="G48" s="68"/>
      <c r="H48" s="68"/>
      <c r="K48" s="362">
        <v>97</v>
      </c>
      <c r="L48" s="68">
        <f t="shared" si="14"/>
        <v>106.7</v>
      </c>
      <c r="M48" s="68" t="s">
        <v>18</v>
      </c>
      <c r="N48" s="358">
        <f>INDEX(Counter_Pricing[Olsen_Cost],MATCH(F48,Counter_Pricing[Level]))</f>
        <v>0</v>
      </c>
      <c r="O48" s="358">
        <f t="shared" si="16"/>
        <v>0</v>
      </c>
      <c r="P48" s="361">
        <f t="shared" si="17"/>
        <v>269.24500370096223</v>
      </c>
      <c r="Q48" s="361">
        <f t="shared" si="18"/>
        <v>-269.24500370096223</v>
      </c>
      <c r="R48" s="358">
        <f t="shared" si="15"/>
        <v>-269.24500370096223</v>
      </c>
    </row>
    <row r="49" spans="2:19" x14ac:dyDescent="0.3">
      <c r="B49" s="68" t="s">
        <v>902</v>
      </c>
      <c r="C49" s="68" t="s">
        <v>880</v>
      </c>
      <c r="D49" s="68" t="s">
        <v>910</v>
      </c>
      <c r="E49" s="68" t="s">
        <v>870</v>
      </c>
      <c r="F49" s="68" t="str">
        <f>VLOOKUP(E49,Counter_Pricing[[Material_Name]:[Level]],5,0)</f>
        <v>Labor</v>
      </c>
      <c r="G49" s="68"/>
      <c r="H49" s="68"/>
      <c r="K49" s="362">
        <v>98</v>
      </c>
      <c r="L49" s="68">
        <f t="shared" si="14"/>
        <v>107.80000000000001</v>
      </c>
      <c r="M49" s="68" t="s">
        <v>18</v>
      </c>
      <c r="N49" s="358">
        <f>INDEX(Counter_Pricing[Olsen_Cost],MATCH(F49,Counter_Pricing[Level]))</f>
        <v>0</v>
      </c>
      <c r="O49" s="358">
        <f t="shared" si="16"/>
        <v>0</v>
      </c>
      <c r="P49" s="361">
        <f t="shared" si="17"/>
        <v>272.02072538860108</v>
      </c>
      <c r="Q49" s="361">
        <f t="shared" si="18"/>
        <v>-272.02072538860108</v>
      </c>
      <c r="R49" s="358">
        <f t="shared" si="15"/>
        <v>-272.02072538860108</v>
      </c>
    </row>
    <row r="50" spans="2:19" x14ac:dyDescent="0.3">
      <c r="B50" s="68" t="s">
        <v>892</v>
      </c>
      <c r="C50" s="68" t="s">
        <v>917</v>
      </c>
      <c r="D50" s="68" t="s">
        <v>894</v>
      </c>
      <c r="E50" s="68" t="s">
        <v>724</v>
      </c>
      <c r="F50" s="68" t="str">
        <f>VLOOKUP(E50,Counter_Pricing[[Material_Name]:[Level]],5,0)</f>
        <v>Level 1</v>
      </c>
      <c r="G50" s="68"/>
      <c r="H50" s="68"/>
      <c r="K50" s="362">
        <v>95</v>
      </c>
      <c r="L50" s="68">
        <f t="shared" si="14"/>
        <v>104.50000000000001</v>
      </c>
      <c r="M50" s="68" t="s">
        <v>18</v>
      </c>
      <c r="N50" s="358">
        <f>INDEX(Counter_Pricing[Olsen_Cost],MATCH(F50,Counter_Pricing[Level]))</f>
        <v>38</v>
      </c>
      <c r="O50" s="358">
        <f t="shared" si="16"/>
        <v>3971.0000000000005</v>
      </c>
      <c r="P50" s="361">
        <f t="shared" si="17"/>
        <v>263.69356032568464</v>
      </c>
      <c r="Q50" s="361">
        <f t="shared" si="18"/>
        <v>3707.3064396743157</v>
      </c>
      <c r="R50" s="358">
        <f t="shared" si="15"/>
        <v>5703.5483687297165</v>
      </c>
    </row>
    <row r="51" spans="2:19" x14ac:dyDescent="0.3">
      <c r="B51" s="68" t="s">
        <v>892</v>
      </c>
      <c r="C51" s="68" t="s">
        <v>915</v>
      </c>
      <c r="D51" s="68" t="s">
        <v>916</v>
      </c>
      <c r="E51" s="68" t="s">
        <v>916</v>
      </c>
      <c r="F51" s="68" t="str">
        <f>VLOOKUP(E51,Counter_Pricing[[Material_Name]:[Level]],5,0)</f>
        <v>Labor</v>
      </c>
      <c r="G51" s="68"/>
      <c r="H51" s="68"/>
      <c r="K51" s="362">
        <v>96</v>
      </c>
      <c r="L51" s="68">
        <f t="shared" si="14"/>
        <v>105.60000000000001</v>
      </c>
      <c r="M51" s="68" t="s">
        <v>18</v>
      </c>
      <c r="N51" s="358">
        <f>INDEX(Counter_Pricing[Olsen_Cost],MATCH(F51,Counter_Pricing[Level]))</f>
        <v>0</v>
      </c>
      <c r="O51" s="358">
        <f t="shared" si="16"/>
        <v>0</v>
      </c>
      <c r="P51" s="361">
        <f t="shared" si="17"/>
        <v>266.46928201332344</v>
      </c>
      <c r="Q51" s="361">
        <f t="shared" si="18"/>
        <v>-266.46928201332344</v>
      </c>
      <c r="R51" s="358">
        <f t="shared" si="15"/>
        <v>-266.46928201332344</v>
      </c>
    </row>
    <row r="52" spans="2:19" x14ac:dyDescent="0.3">
      <c r="B52" s="68" t="s">
        <v>892</v>
      </c>
      <c r="C52" s="68" t="s">
        <v>918</v>
      </c>
      <c r="D52" s="68" t="s">
        <v>894</v>
      </c>
      <c r="E52" s="68" t="s">
        <v>724</v>
      </c>
      <c r="F52" s="68" t="str">
        <f>VLOOKUP(E52,Counter_Pricing[[Material_Name]:[Level]],5,0)</f>
        <v>Level 1</v>
      </c>
      <c r="G52" s="68"/>
      <c r="H52" s="68" t="s">
        <v>919</v>
      </c>
      <c r="K52" s="362">
        <v>97</v>
      </c>
      <c r="L52" s="68">
        <f t="shared" si="14"/>
        <v>106.7</v>
      </c>
      <c r="M52" s="68" t="s">
        <v>18</v>
      </c>
      <c r="N52" s="358">
        <f>INDEX(Counter_Pricing[Olsen_Cost],MATCH(F52,Counter_Pricing[Level]))</f>
        <v>38</v>
      </c>
      <c r="O52" s="358">
        <f t="shared" si="16"/>
        <v>4054.6</v>
      </c>
      <c r="P52" s="361">
        <f t="shared" si="17"/>
        <v>269.24500370096223</v>
      </c>
      <c r="Q52" s="361">
        <f t="shared" si="18"/>
        <v>3785.3549962990378</v>
      </c>
      <c r="R52" s="358">
        <f t="shared" si="15"/>
        <v>5823.6230712292891</v>
      </c>
    </row>
    <row r="53" spans="2:19" x14ac:dyDescent="0.3">
      <c r="B53" s="68" t="s">
        <v>892</v>
      </c>
      <c r="C53" s="68" t="s">
        <v>894</v>
      </c>
      <c r="D53" s="68" t="s">
        <v>894</v>
      </c>
      <c r="E53" s="68" t="s">
        <v>724</v>
      </c>
      <c r="F53" s="68" t="str">
        <f>VLOOKUP(E53,Counter_Pricing[[Material_Name]:[Level]],5,0)</f>
        <v>Level 1</v>
      </c>
      <c r="G53" s="68"/>
      <c r="H53" s="68"/>
      <c r="K53" s="362">
        <v>98</v>
      </c>
      <c r="L53" s="68">
        <f t="shared" si="14"/>
        <v>107.80000000000001</v>
      </c>
      <c r="M53" s="68" t="s">
        <v>18</v>
      </c>
      <c r="N53" s="358">
        <f>INDEX(Counter_Pricing[Olsen_Cost],MATCH(F53,Counter_Pricing[Level]))</f>
        <v>38</v>
      </c>
      <c r="O53" s="358">
        <f t="shared" si="16"/>
        <v>4096.4000000000005</v>
      </c>
      <c r="P53" s="361">
        <f t="shared" si="17"/>
        <v>272.02072538860108</v>
      </c>
      <c r="Q53" s="361">
        <f t="shared" si="18"/>
        <v>3824.3792746113995</v>
      </c>
      <c r="R53" s="358">
        <f t="shared" si="15"/>
        <v>5883.6604224790763</v>
      </c>
      <c r="S53" s="68"/>
    </row>
    <row r="54" spans="2:19" x14ac:dyDescent="0.3">
      <c r="B54" s="68" t="s">
        <v>871</v>
      </c>
      <c r="C54" s="68" t="s">
        <v>894</v>
      </c>
      <c r="D54" s="68" t="s">
        <v>894</v>
      </c>
      <c r="E54" s="68" t="s">
        <v>724</v>
      </c>
      <c r="F54" s="68" t="str">
        <f>VLOOKUP(E54,Counter_Pricing[[Material_Name]:[Level]],5,0)</f>
        <v>Level 1</v>
      </c>
      <c r="G54" s="68"/>
      <c r="H54" s="68"/>
      <c r="K54" s="362">
        <v>99</v>
      </c>
      <c r="L54" s="68">
        <f t="shared" si="14"/>
        <v>108.9</v>
      </c>
      <c r="M54" s="68" t="s">
        <v>18</v>
      </c>
      <c r="N54" s="358">
        <f>INDEX(Counter_Pricing[Olsen_Cost],MATCH(F54,Counter_Pricing[Level]))</f>
        <v>38</v>
      </c>
      <c r="O54" s="358">
        <f t="shared" si="16"/>
        <v>4138.2</v>
      </c>
      <c r="P54" s="361">
        <f t="shared" si="17"/>
        <v>274.79644707623982</v>
      </c>
      <c r="Q54" s="361">
        <f t="shared" si="18"/>
        <v>3863.4035529237599</v>
      </c>
      <c r="R54" s="358">
        <f t="shared" si="15"/>
        <v>5943.6977737288607</v>
      </c>
      <c r="S54" s="68"/>
    </row>
    <row r="55" spans="2:19" x14ac:dyDescent="0.3">
      <c r="B55" s="68" t="s">
        <v>871</v>
      </c>
      <c r="C55" s="68" t="s">
        <v>894</v>
      </c>
      <c r="D55" s="68" t="s">
        <v>894</v>
      </c>
      <c r="E55" s="68" t="s">
        <v>724</v>
      </c>
      <c r="F55" s="68" t="str">
        <f>VLOOKUP(E55,Counter_Pricing[[Material_Name]:[Level]],5,0)</f>
        <v>Level 1</v>
      </c>
      <c r="G55" s="68"/>
      <c r="H55" s="68"/>
      <c r="K55" s="362">
        <v>100</v>
      </c>
      <c r="L55" s="68">
        <f t="shared" si="14"/>
        <v>110.00000000000001</v>
      </c>
      <c r="M55" s="68" t="s">
        <v>18</v>
      </c>
      <c r="N55" s="358">
        <f>INDEX(Counter_Pricing[Olsen_Cost],MATCH(F55,Counter_Pricing[Level]))</f>
        <v>38</v>
      </c>
      <c r="O55" s="358">
        <f t="shared" si="16"/>
        <v>4180.0000000000009</v>
      </c>
      <c r="P55" s="361">
        <f t="shared" si="17"/>
        <v>277.57216876387861</v>
      </c>
      <c r="Q55" s="361">
        <f t="shared" si="18"/>
        <v>3902.4278312361221</v>
      </c>
      <c r="R55" s="358">
        <f t="shared" si="15"/>
        <v>6003.7351249786489</v>
      </c>
      <c r="S55" s="68"/>
    </row>
    <row r="56" spans="2:19" x14ac:dyDescent="0.3">
      <c r="B56" s="68" t="s">
        <v>871</v>
      </c>
      <c r="C56" s="68" t="s">
        <v>894</v>
      </c>
      <c r="D56" s="68" t="s">
        <v>894</v>
      </c>
      <c r="E56" s="68" t="s">
        <v>724</v>
      </c>
      <c r="F56" s="68" t="str">
        <f>VLOOKUP(E56,Counter_Pricing[[Material_Name]:[Level]],5,0)</f>
        <v>Level 1</v>
      </c>
      <c r="G56" s="68"/>
      <c r="H56" s="68"/>
      <c r="K56" s="362">
        <v>101</v>
      </c>
      <c r="L56" s="68">
        <f t="shared" si="14"/>
        <v>111.10000000000001</v>
      </c>
      <c r="M56" s="68" t="s">
        <v>18</v>
      </c>
      <c r="N56" s="358">
        <f>INDEX(Counter_Pricing[Olsen_Cost],MATCH(F56,Counter_Pricing[Level]))</f>
        <v>38</v>
      </c>
      <c r="O56" s="358">
        <f t="shared" si="16"/>
        <v>4221.8</v>
      </c>
      <c r="P56" s="361">
        <f t="shared" si="17"/>
        <v>280.3478904515174</v>
      </c>
      <c r="Q56" s="361">
        <f t="shared" si="18"/>
        <v>3941.4521095484829</v>
      </c>
      <c r="R56" s="358">
        <f t="shared" si="15"/>
        <v>6063.7724762284352</v>
      </c>
      <c r="S56" s="68"/>
    </row>
    <row r="57" spans="2:19" x14ac:dyDescent="0.3">
      <c r="B57" s="68"/>
      <c r="C57" s="68"/>
      <c r="D57" s="68"/>
      <c r="E57" s="68"/>
      <c r="F57" s="68"/>
      <c r="G57" s="68"/>
      <c r="H57" s="68"/>
      <c r="K57" s="362"/>
      <c r="L57" s="68"/>
      <c r="M57" s="68"/>
      <c r="N57" s="358"/>
      <c r="O57" s="97" t="s">
        <v>696</v>
      </c>
      <c r="P57" s="226"/>
      <c r="Q57" s="98"/>
      <c r="R57" s="227">
        <f>SUM(R43:R56)</f>
        <v>45055.757672379434</v>
      </c>
      <c r="S57" s="68"/>
    </row>
    <row r="58" spans="2:19" ht="21" x14ac:dyDescent="0.35">
      <c r="B58" s="389" t="s">
        <v>189</v>
      </c>
      <c r="C58" s="390"/>
      <c r="D58" s="390"/>
      <c r="E58" s="390"/>
      <c r="F58" s="390"/>
      <c r="G58" s="390"/>
      <c r="H58" s="390"/>
      <c r="I58" s="390"/>
      <c r="J58" s="390"/>
      <c r="K58" s="390"/>
      <c r="L58" s="390"/>
      <c r="M58" s="390"/>
      <c r="N58" s="390"/>
      <c r="O58" s="390"/>
      <c r="P58" s="390"/>
      <c r="Q58" s="390"/>
      <c r="R58" s="390"/>
      <c r="S58" s="391"/>
    </row>
    <row r="59" spans="2:19" x14ac:dyDescent="0.3">
      <c r="B59" s="68" t="s">
        <v>900</v>
      </c>
      <c r="C59" s="68" t="s">
        <v>917</v>
      </c>
      <c r="D59" s="68" t="s">
        <v>894</v>
      </c>
      <c r="E59" s="68" t="s">
        <v>724</v>
      </c>
      <c r="F59" s="68" t="str">
        <f>VLOOKUP(E59,Counter_Pricing[[Material_Name]:[Level]],5,0)</f>
        <v>Level 1</v>
      </c>
      <c r="G59" s="68"/>
      <c r="H59" s="68"/>
      <c r="K59" s="362">
        <v>92</v>
      </c>
      <c r="L59" s="68">
        <f t="shared" ref="L59:L72" si="19">K59*(1+$L$6)</f>
        <v>101.2</v>
      </c>
      <c r="M59" s="68" t="s">
        <v>18</v>
      </c>
      <c r="N59" s="358">
        <f>INDEX(Counter_Pricing[Olsen_Cost],MATCH(F59,Counter_Pricing[Level]))</f>
        <v>38</v>
      </c>
      <c r="O59" s="358">
        <f>L59*N59</f>
        <v>3845.6</v>
      </c>
      <c r="P59" s="361">
        <f>(L59/SUM($L$8:$L$136))*$V$5</f>
        <v>255.36639526276832</v>
      </c>
      <c r="Q59" s="361">
        <f>O59-P59</f>
        <v>3590.2336047372314</v>
      </c>
      <c r="R59" s="358">
        <f t="shared" ref="R59:R72" si="20">IF(Q59&gt;0,Q59/$R$6,Q59)</f>
        <v>5523.4363149803557</v>
      </c>
    </row>
    <row r="60" spans="2:19" x14ac:dyDescent="0.3">
      <c r="B60" s="68" t="s">
        <v>900</v>
      </c>
      <c r="C60" s="68" t="s">
        <v>915</v>
      </c>
      <c r="D60" s="68" t="s">
        <v>916</v>
      </c>
      <c r="E60" s="68" t="s">
        <v>916</v>
      </c>
      <c r="F60" s="68" t="str">
        <f>VLOOKUP(E60,Counter_Pricing[[Material_Name]:[Level]],5,0)</f>
        <v>Labor</v>
      </c>
      <c r="G60" s="68"/>
      <c r="H60" s="68"/>
      <c r="K60" s="362">
        <v>93</v>
      </c>
      <c r="L60" s="68">
        <f t="shared" si="19"/>
        <v>102.30000000000001</v>
      </c>
      <c r="M60" s="68" t="s">
        <v>26</v>
      </c>
      <c r="N60" s="358">
        <f>INDEX(Counter_Pricing[Olsen_Cost],MATCH(F60,Counter_Pricing[Level]))</f>
        <v>0</v>
      </c>
      <c r="O60" s="358">
        <f t="shared" ref="O60:O72" si="21">L60*N60</f>
        <v>0</v>
      </c>
      <c r="P60" s="361">
        <f t="shared" ref="P60:P72" si="22">(L60/SUM($L$8:$L$136))*$V$5</f>
        <v>258.14211695040711</v>
      </c>
      <c r="Q60" s="361">
        <f t="shared" ref="Q60:Q72" si="23">O60-P60</f>
        <v>-258.14211695040711</v>
      </c>
      <c r="R60" s="358">
        <f t="shared" si="20"/>
        <v>-258.14211695040711</v>
      </c>
    </row>
    <row r="61" spans="2:19" x14ac:dyDescent="0.3">
      <c r="B61" s="68" t="s">
        <v>900</v>
      </c>
      <c r="C61" s="68" t="s">
        <v>880</v>
      </c>
      <c r="D61" s="68" t="s">
        <v>910</v>
      </c>
      <c r="E61" s="68" t="s">
        <v>870</v>
      </c>
      <c r="F61" s="68" t="str">
        <f>VLOOKUP(E61,Counter_Pricing[[Material_Name]:[Level]],5,0)</f>
        <v>Labor</v>
      </c>
      <c r="G61" s="68"/>
      <c r="H61" s="68"/>
      <c r="K61" s="362">
        <v>94</v>
      </c>
      <c r="L61" s="68">
        <f t="shared" si="19"/>
        <v>103.4</v>
      </c>
      <c r="M61" s="68" t="s">
        <v>18</v>
      </c>
      <c r="N61" s="358">
        <f>INDEX(Counter_Pricing[Olsen_Cost],MATCH(F61,Counter_Pricing[Level]))</f>
        <v>0</v>
      </c>
      <c r="O61" s="358">
        <f t="shared" si="21"/>
        <v>0</v>
      </c>
      <c r="P61" s="361">
        <f t="shared" si="22"/>
        <v>260.91783863804591</v>
      </c>
      <c r="Q61" s="361">
        <f t="shared" si="23"/>
        <v>-260.91783863804591</v>
      </c>
      <c r="R61" s="358">
        <f t="shared" si="20"/>
        <v>-260.91783863804591</v>
      </c>
    </row>
    <row r="62" spans="2:19" x14ac:dyDescent="0.3">
      <c r="B62" s="68" t="s">
        <v>902</v>
      </c>
      <c r="C62" s="68" t="s">
        <v>917</v>
      </c>
      <c r="D62" s="68" t="s">
        <v>894</v>
      </c>
      <c r="E62" s="68" t="s">
        <v>724</v>
      </c>
      <c r="F62" s="68" t="str">
        <f>VLOOKUP(E62,Counter_Pricing[[Material_Name]:[Level]],5,0)</f>
        <v>Level 1</v>
      </c>
      <c r="G62" s="68"/>
      <c r="H62" s="68"/>
      <c r="K62" s="362">
        <v>95</v>
      </c>
      <c r="L62" s="68">
        <f t="shared" si="19"/>
        <v>104.50000000000001</v>
      </c>
      <c r="M62" s="68" t="s">
        <v>18</v>
      </c>
      <c r="N62" s="358">
        <f>INDEX(Counter_Pricing[Olsen_Cost],MATCH(F62,Counter_Pricing[Level]))</f>
        <v>38</v>
      </c>
      <c r="O62" s="358">
        <f t="shared" si="21"/>
        <v>3971.0000000000005</v>
      </c>
      <c r="P62" s="361">
        <f t="shared" si="22"/>
        <v>263.69356032568464</v>
      </c>
      <c r="Q62" s="361">
        <f t="shared" si="23"/>
        <v>3707.3064396743157</v>
      </c>
      <c r="R62" s="358">
        <f t="shared" si="20"/>
        <v>5703.5483687297165</v>
      </c>
    </row>
    <row r="63" spans="2:19" x14ac:dyDescent="0.3">
      <c r="B63" s="68" t="s">
        <v>902</v>
      </c>
      <c r="C63" s="68" t="s">
        <v>915</v>
      </c>
      <c r="D63" s="68" t="s">
        <v>882</v>
      </c>
      <c r="E63" s="68" t="s">
        <v>882</v>
      </c>
      <c r="F63" s="68" t="str">
        <f>VLOOKUP(E63,Counter_Pricing[[Material_Name]:[Level]],5,0)</f>
        <v>Labor</v>
      </c>
      <c r="G63" s="68"/>
      <c r="H63" s="68"/>
      <c r="K63" s="362">
        <v>96</v>
      </c>
      <c r="L63" s="68">
        <f t="shared" si="19"/>
        <v>105.60000000000001</v>
      </c>
      <c r="M63" s="68" t="s">
        <v>18</v>
      </c>
      <c r="N63" s="358">
        <f>INDEX(Counter_Pricing[Olsen_Cost],MATCH(F63,Counter_Pricing[Level]))</f>
        <v>0</v>
      </c>
      <c r="O63" s="358">
        <f t="shared" si="21"/>
        <v>0</v>
      </c>
      <c r="P63" s="361">
        <f t="shared" si="22"/>
        <v>266.46928201332344</v>
      </c>
      <c r="Q63" s="361">
        <f t="shared" si="23"/>
        <v>-266.46928201332344</v>
      </c>
      <c r="R63" s="358">
        <f t="shared" si="20"/>
        <v>-266.46928201332344</v>
      </c>
    </row>
    <row r="64" spans="2:19" x14ac:dyDescent="0.3">
      <c r="B64" s="68" t="s">
        <v>902</v>
      </c>
      <c r="C64" s="68" t="s">
        <v>880</v>
      </c>
      <c r="D64" s="68" t="s">
        <v>920</v>
      </c>
      <c r="E64" s="68" t="s">
        <v>870</v>
      </c>
      <c r="F64" s="68" t="str">
        <f>VLOOKUP(E64,Counter_Pricing[[Material_Name]:[Level]],5,0)</f>
        <v>Labor</v>
      </c>
      <c r="G64" s="68"/>
      <c r="H64" s="68"/>
      <c r="K64" s="362">
        <v>97</v>
      </c>
      <c r="L64" s="68">
        <f t="shared" si="19"/>
        <v>106.7</v>
      </c>
      <c r="M64" s="68" t="s">
        <v>18</v>
      </c>
      <c r="N64" s="358">
        <f>INDEX(Counter_Pricing[Olsen_Cost],MATCH(F64,Counter_Pricing[Level]))</f>
        <v>0</v>
      </c>
      <c r="O64" s="358">
        <f t="shared" si="21"/>
        <v>0</v>
      </c>
      <c r="P64" s="361">
        <f t="shared" si="22"/>
        <v>269.24500370096223</v>
      </c>
      <c r="Q64" s="361">
        <f t="shared" si="23"/>
        <v>-269.24500370096223</v>
      </c>
      <c r="R64" s="358">
        <f t="shared" si="20"/>
        <v>-269.24500370096223</v>
      </c>
    </row>
    <row r="65" spans="2:19" x14ac:dyDescent="0.3">
      <c r="B65" s="68" t="s">
        <v>902</v>
      </c>
      <c r="C65" s="68" t="s">
        <v>880</v>
      </c>
      <c r="D65" s="68" t="s">
        <v>910</v>
      </c>
      <c r="E65" s="68" t="s">
        <v>870</v>
      </c>
      <c r="F65" s="68" t="str">
        <f>VLOOKUP(E65,Counter_Pricing[[Material_Name]:[Level]],5,0)</f>
        <v>Labor</v>
      </c>
      <c r="G65" s="68"/>
      <c r="H65" s="68"/>
      <c r="K65" s="362">
        <v>98</v>
      </c>
      <c r="L65" s="68">
        <f t="shared" si="19"/>
        <v>107.80000000000001</v>
      </c>
      <c r="M65" s="68" t="s">
        <v>18</v>
      </c>
      <c r="N65" s="358">
        <f>INDEX(Counter_Pricing[Olsen_Cost],MATCH(F65,Counter_Pricing[Level]))</f>
        <v>0</v>
      </c>
      <c r="O65" s="358">
        <f t="shared" si="21"/>
        <v>0</v>
      </c>
      <c r="P65" s="361">
        <f t="shared" si="22"/>
        <v>272.02072538860108</v>
      </c>
      <c r="Q65" s="361">
        <f t="shared" si="23"/>
        <v>-272.02072538860108</v>
      </c>
      <c r="R65" s="358">
        <f t="shared" si="20"/>
        <v>-272.02072538860108</v>
      </c>
    </row>
    <row r="66" spans="2:19" x14ac:dyDescent="0.3">
      <c r="B66" s="68" t="s">
        <v>892</v>
      </c>
      <c r="C66" s="68" t="s">
        <v>917</v>
      </c>
      <c r="D66" s="68" t="s">
        <v>894</v>
      </c>
      <c r="E66" s="68" t="s">
        <v>724</v>
      </c>
      <c r="F66" s="68" t="str">
        <f>VLOOKUP(E66,Counter_Pricing[[Material_Name]:[Level]],5,0)</f>
        <v>Level 1</v>
      </c>
      <c r="G66" s="68"/>
      <c r="H66" s="68"/>
      <c r="K66" s="362">
        <v>95</v>
      </c>
      <c r="L66" s="68">
        <f t="shared" si="19"/>
        <v>104.50000000000001</v>
      </c>
      <c r="M66" s="68" t="s">
        <v>18</v>
      </c>
      <c r="N66" s="358">
        <f>INDEX(Counter_Pricing[Olsen_Cost],MATCH(F66,Counter_Pricing[Level]))</f>
        <v>38</v>
      </c>
      <c r="O66" s="358">
        <f t="shared" si="21"/>
        <v>3971.0000000000005</v>
      </c>
      <c r="P66" s="361">
        <f t="shared" si="22"/>
        <v>263.69356032568464</v>
      </c>
      <c r="Q66" s="361">
        <f t="shared" si="23"/>
        <v>3707.3064396743157</v>
      </c>
      <c r="R66" s="358">
        <f t="shared" si="20"/>
        <v>5703.5483687297165</v>
      </c>
    </row>
    <row r="67" spans="2:19" x14ac:dyDescent="0.3">
      <c r="B67" s="68" t="s">
        <v>892</v>
      </c>
      <c r="C67" s="68" t="s">
        <v>915</v>
      </c>
      <c r="D67" s="68" t="s">
        <v>916</v>
      </c>
      <c r="E67" s="68" t="s">
        <v>916</v>
      </c>
      <c r="F67" s="68" t="str">
        <f>VLOOKUP(E67,Counter_Pricing[[Material_Name]:[Level]],5,0)</f>
        <v>Labor</v>
      </c>
      <c r="G67" s="68"/>
      <c r="H67" s="68"/>
      <c r="K67" s="362">
        <v>96</v>
      </c>
      <c r="L67" s="68">
        <f t="shared" si="19"/>
        <v>105.60000000000001</v>
      </c>
      <c r="M67" s="68" t="s">
        <v>18</v>
      </c>
      <c r="N67" s="358">
        <f>INDEX(Counter_Pricing[Olsen_Cost],MATCH(F67,Counter_Pricing[Level]))</f>
        <v>0</v>
      </c>
      <c r="O67" s="358">
        <f t="shared" si="21"/>
        <v>0</v>
      </c>
      <c r="P67" s="361">
        <f t="shared" si="22"/>
        <v>266.46928201332344</v>
      </c>
      <c r="Q67" s="361">
        <f t="shared" si="23"/>
        <v>-266.46928201332344</v>
      </c>
      <c r="R67" s="358">
        <f t="shared" si="20"/>
        <v>-266.46928201332344</v>
      </c>
    </row>
    <row r="68" spans="2:19" x14ac:dyDescent="0.3">
      <c r="B68" s="68" t="s">
        <v>892</v>
      </c>
      <c r="C68" s="68" t="s">
        <v>918</v>
      </c>
      <c r="D68" s="68" t="s">
        <v>894</v>
      </c>
      <c r="E68" s="68" t="s">
        <v>724</v>
      </c>
      <c r="F68" s="68" t="str">
        <f>VLOOKUP(E68,Counter_Pricing[[Material_Name]:[Level]],5,0)</f>
        <v>Level 1</v>
      </c>
      <c r="G68" s="68"/>
      <c r="H68" s="68" t="s">
        <v>919</v>
      </c>
      <c r="K68" s="362">
        <v>97</v>
      </c>
      <c r="L68" s="68">
        <f t="shared" si="19"/>
        <v>106.7</v>
      </c>
      <c r="M68" s="68" t="s">
        <v>18</v>
      </c>
      <c r="N68" s="358">
        <f>INDEX(Counter_Pricing[Olsen_Cost],MATCH(F68,Counter_Pricing[Level]))</f>
        <v>38</v>
      </c>
      <c r="O68" s="358">
        <f t="shared" si="21"/>
        <v>4054.6</v>
      </c>
      <c r="P68" s="361">
        <f t="shared" si="22"/>
        <v>269.24500370096223</v>
      </c>
      <c r="Q68" s="361">
        <f t="shared" si="23"/>
        <v>3785.3549962990378</v>
      </c>
      <c r="R68" s="358">
        <f t="shared" si="20"/>
        <v>5823.6230712292891</v>
      </c>
    </row>
    <row r="69" spans="2:19" x14ac:dyDescent="0.3">
      <c r="B69" s="68" t="s">
        <v>892</v>
      </c>
      <c r="C69" s="68" t="s">
        <v>894</v>
      </c>
      <c r="D69" s="68" t="s">
        <v>894</v>
      </c>
      <c r="E69" s="68" t="s">
        <v>724</v>
      </c>
      <c r="F69" s="68" t="str">
        <f>VLOOKUP(E69,Counter_Pricing[[Material_Name]:[Level]],5,0)</f>
        <v>Level 1</v>
      </c>
      <c r="G69" s="68"/>
      <c r="H69" s="68"/>
      <c r="K69" s="362">
        <v>98</v>
      </c>
      <c r="L69" s="68">
        <f t="shared" si="19"/>
        <v>107.80000000000001</v>
      </c>
      <c r="M69" s="68" t="s">
        <v>18</v>
      </c>
      <c r="N69" s="358">
        <f>INDEX(Counter_Pricing[Olsen_Cost],MATCH(F69,Counter_Pricing[Level]))</f>
        <v>38</v>
      </c>
      <c r="O69" s="358">
        <f t="shared" si="21"/>
        <v>4096.4000000000005</v>
      </c>
      <c r="P69" s="361">
        <f t="shared" si="22"/>
        <v>272.02072538860108</v>
      </c>
      <c r="Q69" s="361">
        <f t="shared" si="23"/>
        <v>3824.3792746113995</v>
      </c>
      <c r="R69" s="358">
        <f t="shared" si="20"/>
        <v>5883.6604224790763</v>
      </c>
      <c r="S69" s="68"/>
    </row>
    <row r="70" spans="2:19" x14ac:dyDescent="0.3">
      <c r="B70" s="68" t="s">
        <v>871</v>
      </c>
      <c r="C70" s="68" t="s">
        <v>894</v>
      </c>
      <c r="D70" s="68" t="s">
        <v>894</v>
      </c>
      <c r="E70" s="68" t="s">
        <v>724</v>
      </c>
      <c r="F70" s="68" t="str">
        <f>VLOOKUP(E70,Counter_Pricing[[Material_Name]:[Level]],5,0)</f>
        <v>Level 1</v>
      </c>
      <c r="G70" s="68"/>
      <c r="H70" s="68"/>
      <c r="K70" s="362">
        <v>99</v>
      </c>
      <c r="L70" s="68">
        <f t="shared" si="19"/>
        <v>108.9</v>
      </c>
      <c r="M70" s="68" t="s">
        <v>18</v>
      </c>
      <c r="N70" s="358">
        <f>INDEX(Counter_Pricing[Olsen_Cost],MATCH(F70,Counter_Pricing[Level]))</f>
        <v>38</v>
      </c>
      <c r="O70" s="358">
        <f t="shared" si="21"/>
        <v>4138.2</v>
      </c>
      <c r="P70" s="361">
        <f t="shared" si="22"/>
        <v>274.79644707623982</v>
      </c>
      <c r="Q70" s="361">
        <f t="shared" si="23"/>
        <v>3863.4035529237599</v>
      </c>
      <c r="R70" s="358">
        <f t="shared" si="20"/>
        <v>5943.6977737288607</v>
      </c>
      <c r="S70" s="68"/>
    </row>
    <row r="71" spans="2:19" x14ac:dyDescent="0.3">
      <c r="B71" s="68" t="s">
        <v>871</v>
      </c>
      <c r="C71" s="68" t="s">
        <v>894</v>
      </c>
      <c r="D71" s="68" t="s">
        <v>894</v>
      </c>
      <c r="E71" s="68" t="s">
        <v>724</v>
      </c>
      <c r="F71" s="68" t="str">
        <f>VLOOKUP(E71,Counter_Pricing[[Material_Name]:[Level]],5,0)</f>
        <v>Level 1</v>
      </c>
      <c r="G71" s="68"/>
      <c r="H71" s="68"/>
      <c r="K71" s="362">
        <v>100</v>
      </c>
      <c r="L71" s="68">
        <f t="shared" si="19"/>
        <v>110.00000000000001</v>
      </c>
      <c r="M71" s="68" t="s">
        <v>18</v>
      </c>
      <c r="N71" s="358">
        <f>INDEX(Counter_Pricing[Olsen_Cost],MATCH(F71,Counter_Pricing[Level]))</f>
        <v>38</v>
      </c>
      <c r="O71" s="358">
        <f t="shared" si="21"/>
        <v>4180.0000000000009</v>
      </c>
      <c r="P71" s="361">
        <f t="shared" si="22"/>
        <v>277.57216876387861</v>
      </c>
      <c r="Q71" s="361">
        <f t="shared" si="23"/>
        <v>3902.4278312361221</v>
      </c>
      <c r="R71" s="358">
        <f t="shared" si="20"/>
        <v>6003.7351249786489</v>
      </c>
      <c r="S71" s="68"/>
    </row>
    <row r="72" spans="2:19" x14ac:dyDescent="0.3">
      <c r="B72" s="68" t="s">
        <v>871</v>
      </c>
      <c r="C72" s="68" t="s">
        <v>894</v>
      </c>
      <c r="D72" s="68" t="s">
        <v>894</v>
      </c>
      <c r="E72" s="68" t="s">
        <v>724</v>
      </c>
      <c r="F72" s="68" t="str">
        <f>VLOOKUP(E72,Counter_Pricing[[Material_Name]:[Level]],5,0)</f>
        <v>Level 1</v>
      </c>
      <c r="G72" s="68"/>
      <c r="H72" s="68"/>
      <c r="K72" s="362">
        <v>101</v>
      </c>
      <c r="L72" s="68">
        <f t="shared" si="19"/>
        <v>111.10000000000001</v>
      </c>
      <c r="M72" s="68" t="s">
        <v>18</v>
      </c>
      <c r="N72" s="358">
        <f>INDEX(Counter_Pricing[Olsen_Cost],MATCH(F72,Counter_Pricing[Level]))</f>
        <v>38</v>
      </c>
      <c r="O72" s="358">
        <f t="shared" si="21"/>
        <v>4221.8</v>
      </c>
      <c r="P72" s="361">
        <f t="shared" si="22"/>
        <v>280.3478904515174</v>
      </c>
      <c r="Q72" s="361">
        <f t="shared" si="23"/>
        <v>3941.4521095484829</v>
      </c>
      <c r="R72" s="358">
        <f t="shared" si="20"/>
        <v>6063.7724762284352</v>
      </c>
      <c r="S72" s="68"/>
    </row>
    <row r="73" spans="2:19" x14ac:dyDescent="0.3">
      <c r="B73" s="68"/>
      <c r="C73" s="68"/>
      <c r="D73" s="68"/>
      <c r="E73" s="68"/>
      <c r="F73" s="68"/>
      <c r="G73" s="68"/>
      <c r="H73" s="68"/>
      <c r="K73" s="362"/>
      <c r="L73" s="68"/>
      <c r="M73" s="68"/>
      <c r="N73" s="358"/>
      <c r="O73" s="97" t="s">
        <v>696</v>
      </c>
      <c r="P73" s="226"/>
      <c r="Q73" s="98"/>
      <c r="R73" s="227">
        <f>SUM(R59:R72)</f>
        <v>45055.757672379434</v>
      </c>
      <c r="S73" s="68"/>
    </row>
    <row r="74" spans="2:19" ht="21" x14ac:dyDescent="0.35">
      <c r="B74" s="389" t="s">
        <v>192</v>
      </c>
      <c r="C74" s="390"/>
      <c r="D74" s="390"/>
      <c r="E74" s="390"/>
      <c r="F74" s="390"/>
      <c r="G74" s="390"/>
      <c r="H74" s="390"/>
      <c r="I74" s="390"/>
      <c r="J74" s="390"/>
      <c r="K74" s="390"/>
      <c r="L74" s="390"/>
      <c r="M74" s="390"/>
      <c r="N74" s="390"/>
      <c r="O74" s="390"/>
      <c r="P74" s="390"/>
      <c r="Q74" s="390"/>
      <c r="R74" s="390"/>
      <c r="S74" s="391"/>
    </row>
    <row r="75" spans="2:19" x14ac:dyDescent="0.3">
      <c r="B75" s="68" t="s">
        <v>900</v>
      </c>
      <c r="C75" s="68" t="s">
        <v>917</v>
      </c>
      <c r="D75" s="68" t="s">
        <v>894</v>
      </c>
      <c r="E75" s="68" t="s">
        <v>724</v>
      </c>
      <c r="F75" s="68" t="str">
        <f>VLOOKUP(E75,Counter_Pricing[[Material_Name]:[Level]],5,0)</f>
        <v>Level 1</v>
      </c>
      <c r="G75" s="68"/>
      <c r="H75" s="68"/>
      <c r="K75" s="362">
        <v>92</v>
      </c>
      <c r="L75" s="68">
        <f t="shared" ref="L75:L88" si="24">K75*(1+$L$6)</f>
        <v>101.2</v>
      </c>
      <c r="M75" s="68" t="s">
        <v>18</v>
      </c>
      <c r="N75" s="358">
        <f>INDEX(Counter_Pricing[Olsen_Cost],MATCH(F75,Counter_Pricing[Level]))</f>
        <v>38</v>
      </c>
      <c r="O75" s="358">
        <f>L75*N75</f>
        <v>3845.6</v>
      </c>
      <c r="P75" s="361">
        <f>(L75/SUM($L$8:$L$136))*$V$5</f>
        <v>255.36639526276832</v>
      </c>
      <c r="Q75" s="361">
        <f>O75-P75</f>
        <v>3590.2336047372314</v>
      </c>
      <c r="R75" s="358">
        <f t="shared" ref="R75:R88" si="25">IF(Q75&gt;0,Q75/$R$6,Q75)</f>
        <v>5523.4363149803557</v>
      </c>
    </row>
    <row r="76" spans="2:19" x14ac:dyDescent="0.3">
      <c r="B76" s="68" t="s">
        <v>900</v>
      </c>
      <c r="C76" s="68" t="s">
        <v>915</v>
      </c>
      <c r="D76" s="68" t="s">
        <v>916</v>
      </c>
      <c r="E76" s="68" t="s">
        <v>916</v>
      </c>
      <c r="F76" s="68" t="str">
        <f>VLOOKUP(E76,Counter_Pricing[[Material_Name]:[Level]],5,0)</f>
        <v>Labor</v>
      </c>
      <c r="G76" s="68"/>
      <c r="H76" s="68"/>
      <c r="K76" s="362">
        <v>93</v>
      </c>
      <c r="L76" s="68">
        <f t="shared" si="24"/>
        <v>102.30000000000001</v>
      </c>
      <c r="M76" s="68" t="s">
        <v>26</v>
      </c>
      <c r="N76" s="358">
        <f>INDEX(Counter_Pricing[Olsen_Cost],MATCH(F76,Counter_Pricing[Level]))</f>
        <v>0</v>
      </c>
      <c r="O76" s="358">
        <f t="shared" ref="O76:O88" si="26">L76*N76</f>
        <v>0</v>
      </c>
      <c r="P76" s="361">
        <f t="shared" ref="P76:P88" si="27">(L76/SUM($L$8:$L$136))*$V$5</f>
        <v>258.14211695040711</v>
      </c>
      <c r="Q76" s="361">
        <f t="shared" ref="Q76:Q88" si="28">O76-P76</f>
        <v>-258.14211695040711</v>
      </c>
      <c r="R76" s="358">
        <f t="shared" si="25"/>
        <v>-258.14211695040711</v>
      </c>
    </row>
    <row r="77" spans="2:19" x14ac:dyDescent="0.3">
      <c r="B77" s="68" t="s">
        <v>900</v>
      </c>
      <c r="C77" s="68" t="s">
        <v>880</v>
      </c>
      <c r="D77" s="68" t="s">
        <v>910</v>
      </c>
      <c r="E77" s="68" t="s">
        <v>870</v>
      </c>
      <c r="F77" s="68" t="str">
        <f>VLOOKUP(E77,Counter_Pricing[[Material_Name]:[Level]],5,0)</f>
        <v>Labor</v>
      </c>
      <c r="G77" s="68"/>
      <c r="H77" s="68"/>
      <c r="K77" s="362">
        <v>94</v>
      </c>
      <c r="L77" s="68">
        <f t="shared" si="24"/>
        <v>103.4</v>
      </c>
      <c r="M77" s="68" t="s">
        <v>18</v>
      </c>
      <c r="N77" s="358">
        <f>INDEX(Counter_Pricing[Olsen_Cost],MATCH(F77,Counter_Pricing[Level]))</f>
        <v>0</v>
      </c>
      <c r="O77" s="358">
        <f t="shared" si="26"/>
        <v>0</v>
      </c>
      <c r="P77" s="361">
        <f t="shared" si="27"/>
        <v>260.91783863804591</v>
      </c>
      <c r="Q77" s="361">
        <f t="shared" si="28"/>
        <v>-260.91783863804591</v>
      </c>
      <c r="R77" s="358">
        <f t="shared" si="25"/>
        <v>-260.91783863804591</v>
      </c>
    </row>
    <row r="78" spans="2:19" x14ac:dyDescent="0.3">
      <c r="B78" s="68" t="s">
        <v>902</v>
      </c>
      <c r="C78" s="68" t="s">
        <v>917</v>
      </c>
      <c r="D78" s="68" t="s">
        <v>894</v>
      </c>
      <c r="E78" s="68" t="s">
        <v>724</v>
      </c>
      <c r="F78" s="68" t="str">
        <f>VLOOKUP(E78,Counter_Pricing[[Material_Name]:[Level]],5,0)</f>
        <v>Level 1</v>
      </c>
      <c r="G78" s="68"/>
      <c r="H78" s="68"/>
      <c r="K78" s="362">
        <v>95</v>
      </c>
      <c r="L78" s="68">
        <f t="shared" si="24"/>
        <v>104.50000000000001</v>
      </c>
      <c r="M78" s="68" t="s">
        <v>18</v>
      </c>
      <c r="N78" s="358">
        <f>INDEX(Counter_Pricing[Olsen_Cost],MATCH(F78,Counter_Pricing[Level]))</f>
        <v>38</v>
      </c>
      <c r="O78" s="358">
        <f t="shared" si="26"/>
        <v>3971.0000000000005</v>
      </c>
      <c r="P78" s="361">
        <f t="shared" si="27"/>
        <v>263.69356032568464</v>
      </c>
      <c r="Q78" s="361">
        <f t="shared" si="28"/>
        <v>3707.3064396743157</v>
      </c>
      <c r="R78" s="358">
        <f t="shared" si="25"/>
        <v>5703.5483687297165</v>
      </c>
    </row>
    <row r="79" spans="2:19" x14ac:dyDescent="0.3">
      <c r="B79" s="68" t="s">
        <v>902</v>
      </c>
      <c r="C79" s="68" t="s">
        <v>915</v>
      </c>
      <c r="D79" s="68" t="s">
        <v>882</v>
      </c>
      <c r="E79" s="68" t="s">
        <v>882</v>
      </c>
      <c r="F79" s="68" t="str">
        <f>VLOOKUP(E79,Counter_Pricing[[Material_Name]:[Level]],5,0)</f>
        <v>Labor</v>
      </c>
      <c r="G79" s="68"/>
      <c r="H79" s="68"/>
      <c r="K79" s="362">
        <v>96</v>
      </c>
      <c r="L79" s="68">
        <f t="shared" si="24"/>
        <v>105.60000000000001</v>
      </c>
      <c r="M79" s="68" t="s">
        <v>18</v>
      </c>
      <c r="N79" s="358">
        <f>INDEX(Counter_Pricing[Olsen_Cost],MATCH(F79,Counter_Pricing[Level]))</f>
        <v>0</v>
      </c>
      <c r="O79" s="358">
        <f t="shared" si="26"/>
        <v>0</v>
      </c>
      <c r="P79" s="361">
        <f t="shared" si="27"/>
        <v>266.46928201332344</v>
      </c>
      <c r="Q79" s="361">
        <f t="shared" si="28"/>
        <v>-266.46928201332344</v>
      </c>
      <c r="R79" s="358">
        <f t="shared" si="25"/>
        <v>-266.46928201332344</v>
      </c>
    </row>
    <row r="80" spans="2:19" x14ac:dyDescent="0.3">
      <c r="B80" s="68" t="s">
        <v>902</v>
      </c>
      <c r="C80" s="68" t="s">
        <v>880</v>
      </c>
      <c r="D80" s="68" t="s">
        <v>920</v>
      </c>
      <c r="E80" s="68" t="s">
        <v>870</v>
      </c>
      <c r="F80" s="68" t="str">
        <f>VLOOKUP(E80,Counter_Pricing[[Material_Name]:[Level]],5,0)</f>
        <v>Labor</v>
      </c>
      <c r="G80" s="68"/>
      <c r="H80" s="68"/>
      <c r="K80" s="362">
        <v>97</v>
      </c>
      <c r="L80" s="68">
        <f t="shared" si="24"/>
        <v>106.7</v>
      </c>
      <c r="M80" s="68" t="s">
        <v>18</v>
      </c>
      <c r="N80" s="358">
        <f>INDEX(Counter_Pricing[Olsen_Cost],MATCH(F80,Counter_Pricing[Level]))</f>
        <v>0</v>
      </c>
      <c r="O80" s="358">
        <f t="shared" si="26"/>
        <v>0</v>
      </c>
      <c r="P80" s="361">
        <f t="shared" si="27"/>
        <v>269.24500370096223</v>
      </c>
      <c r="Q80" s="361">
        <f t="shared" si="28"/>
        <v>-269.24500370096223</v>
      </c>
      <c r="R80" s="358">
        <f t="shared" si="25"/>
        <v>-269.24500370096223</v>
      </c>
    </row>
    <row r="81" spans="2:19" x14ac:dyDescent="0.3">
      <c r="B81" s="68" t="s">
        <v>902</v>
      </c>
      <c r="C81" s="68" t="s">
        <v>880</v>
      </c>
      <c r="D81" s="68" t="s">
        <v>910</v>
      </c>
      <c r="E81" s="68" t="s">
        <v>870</v>
      </c>
      <c r="F81" s="68" t="str">
        <f>VLOOKUP(E81,Counter_Pricing[[Material_Name]:[Level]],5,0)</f>
        <v>Labor</v>
      </c>
      <c r="G81" s="68"/>
      <c r="H81" s="68"/>
      <c r="K81" s="362">
        <v>98</v>
      </c>
      <c r="L81" s="68">
        <f t="shared" si="24"/>
        <v>107.80000000000001</v>
      </c>
      <c r="M81" s="68" t="s">
        <v>18</v>
      </c>
      <c r="N81" s="358">
        <f>INDEX(Counter_Pricing[Olsen_Cost],MATCH(F81,Counter_Pricing[Level]))</f>
        <v>0</v>
      </c>
      <c r="O81" s="358">
        <f t="shared" si="26"/>
        <v>0</v>
      </c>
      <c r="P81" s="361">
        <f t="shared" si="27"/>
        <v>272.02072538860108</v>
      </c>
      <c r="Q81" s="361">
        <f t="shared" si="28"/>
        <v>-272.02072538860108</v>
      </c>
      <c r="R81" s="358">
        <f t="shared" si="25"/>
        <v>-272.02072538860108</v>
      </c>
    </row>
    <row r="82" spans="2:19" x14ac:dyDescent="0.3">
      <c r="B82" s="68" t="s">
        <v>892</v>
      </c>
      <c r="C82" s="68" t="s">
        <v>917</v>
      </c>
      <c r="D82" s="68" t="s">
        <v>894</v>
      </c>
      <c r="E82" s="68" t="s">
        <v>724</v>
      </c>
      <c r="F82" s="68" t="str">
        <f>VLOOKUP(E82,Counter_Pricing[[Material_Name]:[Level]],5,0)</f>
        <v>Level 1</v>
      </c>
      <c r="G82" s="68"/>
      <c r="H82" s="68"/>
      <c r="K82" s="362">
        <v>95</v>
      </c>
      <c r="L82" s="68">
        <f t="shared" si="24"/>
        <v>104.50000000000001</v>
      </c>
      <c r="M82" s="68" t="s">
        <v>18</v>
      </c>
      <c r="N82" s="358">
        <f>INDEX(Counter_Pricing[Olsen_Cost],MATCH(F82,Counter_Pricing[Level]))</f>
        <v>38</v>
      </c>
      <c r="O82" s="358">
        <f t="shared" si="26"/>
        <v>3971.0000000000005</v>
      </c>
      <c r="P82" s="361">
        <f t="shared" si="27"/>
        <v>263.69356032568464</v>
      </c>
      <c r="Q82" s="361">
        <f t="shared" si="28"/>
        <v>3707.3064396743157</v>
      </c>
      <c r="R82" s="358">
        <f t="shared" si="25"/>
        <v>5703.5483687297165</v>
      </c>
    </row>
    <row r="83" spans="2:19" x14ac:dyDescent="0.3">
      <c r="B83" s="68" t="s">
        <v>892</v>
      </c>
      <c r="C83" s="68" t="s">
        <v>915</v>
      </c>
      <c r="D83" s="68" t="s">
        <v>916</v>
      </c>
      <c r="E83" s="68" t="s">
        <v>916</v>
      </c>
      <c r="F83" s="68" t="str">
        <f>VLOOKUP(E83,Counter_Pricing[[Material_Name]:[Level]],5,0)</f>
        <v>Labor</v>
      </c>
      <c r="G83" s="68"/>
      <c r="H83" s="68"/>
      <c r="K83" s="362">
        <v>96</v>
      </c>
      <c r="L83" s="68">
        <f t="shared" si="24"/>
        <v>105.60000000000001</v>
      </c>
      <c r="M83" s="68" t="s">
        <v>18</v>
      </c>
      <c r="N83" s="358">
        <f>INDEX(Counter_Pricing[Olsen_Cost],MATCH(F83,Counter_Pricing[Level]))</f>
        <v>0</v>
      </c>
      <c r="O83" s="358">
        <f t="shared" si="26"/>
        <v>0</v>
      </c>
      <c r="P83" s="361">
        <f t="shared" si="27"/>
        <v>266.46928201332344</v>
      </c>
      <c r="Q83" s="361">
        <f t="shared" si="28"/>
        <v>-266.46928201332344</v>
      </c>
      <c r="R83" s="358">
        <f t="shared" si="25"/>
        <v>-266.46928201332344</v>
      </c>
    </row>
    <row r="84" spans="2:19" x14ac:dyDescent="0.3">
      <c r="B84" s="68" t="s">
        <v>892</v>
      </c>
      <c r="C84" s="68" t="s">
        <v>918</v>
      </c>
      <c r="D84" s="68" t="s">
        <v>894</v>
      </c>
      <c r="E84" s="68" t="s">
        <v>724</v>
      </c>
      <c r="F84" s="68" t="str">
        <f>VLOOKUP(E84,Counter_Pricing[[Material_Name]:[Level]],5,0)</f>
        <v>Level 1</v>
      </c>
      <c r="G84" s="68"/>
      <c r="H84" s="68"/>
      <c r="K84" s="362">
        <v>97</v>
      </c>
      <c r="L84" s="68">
        <f t="shared" si="24"/>
        <v>106.7</v>
      </c>
      <c r="M84" s="68" t="s">
        <v>18</v>
      </c>
      <c r="N84" s="358">
        <f>INDEX(Counter_Pricing[Olsen_Cost],MATCH(F84,Counter_Pricing[Level]))</f>
        <v>38</v>
      </c>
      <c r="O84" s="358">
        <f t="shared" si="26"/>
        <v>4054.6</v>
      </c>
      <c r="P84" s="361">
        <f t="shared" si="27"/>
        <v>269.24500370096223</v>
      </c>
      <c r="Q84" s="361">
        <f t="shared" si="28"/>
        <v>3785.3549962990378</v>
      </c>
      <c r="R84" s="358">
        <f t="shared" si="25"/>
        <v>5823.6230712292891</v>
      </c>
    </row>
    <row r="85" spans="2:19" x14ac:dyDescent="0.3">
      <c r="B85" s="68" t="s">
        <v>892</v>
      </c>
      <c r="C85" s="68" t="s">
        <v>894</v>
      </c>
      <c r="D85" s="68" t="s">
        <v>894</v>
      </c>
      <c r="E85" s="68" t="s">
        <v>724</v>
      </c>
      <c r="F85" s="68" t="str">
        <f>VLOOKUP(E85,Counter_Pricing[[Material_Name]:[Level]],5,0)</f>
        <v>Level 1</v>
      </c>
      <c r="G85" s="68"/>
      <c r="H85" s="68"/>
      <c r="K85" s="362">
        <v>98</v>
      </c>
      <c r="L85" s="68">
        <f t="shared" si="24"/>
        <v>107.80000000000001</v>
      </c>
      <c r="M85" s="68" t="s">
        <v>18</v>
      </c>
      <c r="N85" s="358">
        <f>INDEX(Counter_Pricing[Olsen_Cost],MATCH(F85,Counter_Pricing[Level]))</f>
        <v>38</v>
      </c>
      <c r="O85" s="358">
        <f t="shared" si="26"/>
        <v>4096.4000000000005</v>
      </c>
      <c r="P85" s="361">
        <f t="shared" si="27"/>
        <v>272.02072538860108</v>
      </c>
      <c r="Q85" s="361">
        <f t="shared" si="28"/>
        <v>3824.3792746113995</v>
      </c>
      <c r="R85" s="358">
        <f t="shared" si="25"/>
        <v>5883.6604224790763</v>
      </c>
      <c r="S85" s="68"/>
    </row>
    <row r="86" spans="2:19" x14ac:dyDescent="0.3">
      <c r="B86" s="68" t="s">
        <v>871</v>
      </c>
      <c r="C86" s="68" t="s">
        <v>894</v>
      </c>
      <c r="D86" s="68" t="s">
        <v>894</v>
      </c>
      <c r="E86" s="68" t="s">
        <v>724</v>
      </c>
      <c r="F86" s="68" t="str">
        <f>VLOOKUP(E86,Counter_Pricing[[Material_Name]:[Level]],5,0)</f>
        <v>Level 1</v>
      </c>
      <c r="G86" s="68"/>
      <c r="H86" s="68"/>
      <c r="K86" s="362">
        <v>99</v>
      </c>
      <c r="L86" s="68">
        <f t="shared" si="24"/>
        <v>108.9</v>
      </c>
      <c r="M86" s="68" t="s">
        <v>18</v>
      </c>
      <c r="N86" s="358">
        <f>INDEX(Counter_Pricing[Olsen_Cost],MATCH(F86,Counter_Pricing[Level]))</f>
        <v>38</v>
      </c>
      <c r="O86" s="358">
        <f t="shared" si="26"/>
        <v>4138.2</v>
      </c>
      <c r="P86" s="361">
        <f t="shared" si="27"/>
        <v>274.79644707623982</v>
      </c>
      <c r="Q86" s="361">
        <f t="shared" si="28"/>
        <v>3863.4035529237599</v>
      </c>
      <c r="R86" s="358">
        <f t="shared" si="25"/>
        <v>5943.6977737288607</v>
      </c>
      <c r="S86" s="68"/>
    </row>
    <row r="87" spans="2:19" x14ac:dyDescent="0.3">
      <c r="B87" s="68" t="s">
        <v>871</v>
      </c>
      <c r="C87" s="68" t="s">
        <v>894</v>
      </c>
      <c r="D87" s="68" t="s">
        <v>894</v>
      </c>
      <c r="E87" s="68" t="s">
        <v>724</v>
      </c>
      <c r="F87" s="68" t="str">
        <f>VLOOKUP(E87,Counter_Pricing[[Material_Name]:[Level]],5,0)</f>
        <v>Level 1</v>
      </c>
      <c r="G87" s="68"/>
      <c r="H87" s="68"/>
      <c r="K87" s="362">
        <v>100</v>
      </c>
      <c r="L87" s="68">
        <f t="shared" si="24"/>
        <v>110.00000000000001</v>
      </c>
      <c r="M87" s="68" t="s">
        <v>18</v>
      </c>
      <c r="N87" s="358">
        <f>INDEX(Counter_Pricing[Olsen_Cost],MATCH(F87,Counter_Pricing[Level]))</f>
        <v>38</v>
      </c>
      <c r="O87" s="358">
        <f t="shared" si="26"/>
        <v>4180.0000000000009</v>
      </c>
      <c r="P87" s="361">
        <f t="shared" si="27"/>
        <v>277.57216876387861</v>
      </c>
      <c r="Q87" s="361">
        <f t="shared" si="28"/>
        <v>3902.4278312361221</v>
      </c>
      <c r="R87" s="358">
        <f t="shared" si="25"/>
        <v>6003.7351249786489</v>
      </c>
      <c r="S87" s="68"/>
    </row>
    <row r="88" spans="2:19" x14ac:dyDescent="0.3">
      <c r="B88" s="68" t="s">
        <v>871</v>
      </c>
      <c r="C88" s="68" t="s">
        <v>894</v>
      </c>
      <c r="D88" s="68" t="s">
        <v>894</v>
      </c>
      <c r="E88" s="68" t="s">
        <v>724</v>
      </c>
      <c r="F88" s="68" t="str">
        <f>VLOOKUP(E88,Counter_Pricing[[Material_Name]:[Level]],5,0)</f>
        <v>Level 1</v>
      </c>
      <c r="G88" s="68"/>
      <c r="H88" s="68"/>
      <c r="K88" s="362">
        <v>101</v>
      </c>
      <c r="L88" s="68">
        <f t="shared" si="24"/>
        <v>111.10000000000001</v>
      </c>
      <c r="M88" s="68" t="s">
        <v>18</v>
      </c>
      <c r="N88" s="358">
        <f>INDEX(Counter_Pricing[Olsen_Cost],MATCH(F88,Counter_Pricing[Level]))</f>
        <v>38</v>
      </c>
      <c r="O88" s="358">
        <f t="shared" si="26"/>
        <v>4221.8</v>
      </c>
      <c r="P88" s="361">
        <f t="shared" si="27"/>
        <v>280.3478904515174</v>
      </c>
      <c r="Q88" s="361">
        <f t="shared" si="28"/>
        <v>3941.4521095484829</v>
      </c>
      <c r="R88" s="358">
        <f t="shared" si="25"/>
        <v>6063.7724762284352</v>
      </c>
      <c r="S88" s="68"/>
    </row>
    <row r="89" spans="2:19" x14ac:dyDescent="0.3">
      <c r="B89" s="68"/>
      <c r="C89" s="68"/>
      <c r="D89" s="68"/>
      <c r="E89" s="68"/>
      <c r="F89" s="68"/>
      <c r="G89" s="68"/>
      <c r="H89" s="68"/>
      <c r="K89" s="362"/>
      <c r="L89" s="68"/>
      <c r="M89" s="68"/>
      <c r="N89" s="358"/>
      <c r="O89" s="97" t="s">
        <v>696</v>
      </c>
      <c r="P89" s="226"/>
      <c r="Q89" s="98"/>
      <c r="R89" s="227">
        <f>SUM(R75:R88)</f>
        <v>45055.757672379434</v>
      </c>
      <c r="S89" s="68"/>
    </row>
    <row r="90" spans="2:19" ht="21" x14ac:dyDescent="0.35">
      <c r="B90" s="389" t="s">
        <v>226</v>
      </c>
      <c r="C90" s="390"/>
      <c r="D90" s="390"/>
      <c r="E90" s="390"/>
      <c r="F90" s="390"/>
      <c r="G90" s="390"/>
      <c r="H90" s="390"/>
      <c r="I90" s="390"/>
      <c r="J90" s="390"/>
      <c r="K90" s="390"/>
      <c r="L90" s="390"/>
      <c r="M90" s="390"/>
      <c r="N90" s="390"/>
      <c r="O90" s="390"/>
      <c r="P90" s="390"/>
      <c r="Q90" s="390"/>
      <c r="R90" s="390"/>
      <c r="S90" s="391"/>
    </row>
    <row r="91" spans="2:19" x14ac:dyDescent="0.3">
      <c r="B91" s="68" t="s">
        <v>900</v>
      </c>
      <c r="C91" s="68" t="s">
        <v>917</v>
      </c>
      <c r="D91" s="68" t="s">
        <v>894</v>
      </c>
      <c r="E91" s="68" t="s">
        <v>882</v>
      </c>
      <c r="F91" s="68" t="str">
        <f>VLOOKUP(E91,Counter_Pricing[[Material_Name]:[Level]],5,0)</f>
        <v>Labor</v>
      </c>
      <c r="G91" s="68"/>
      <c r="H91" s="68"/>
      <c r="K91" s="362">
        <v>92</v>
      </c>
      <c r="L91" s="68">
        <f t="shared" ref="L91:L104" si="29">K91*(1+$L$6)</f>
        <v>101.2</v>
      </c>
      <c r="M91" s="68" t="s">
        <v>18</v>
      </c>
      <c r="N91" s="358">
        <f>INDEX(Counter_Pricing[Olsen_Cost],MATCH(F91,Counter_Pricing[Level]))</f>
        <v>0</v>
      </c>
      <c r="O91" s="358">
        <f>L91*N91</f>
        <v>0</v>
      </c>
      <c r="P91" s="361">
        <f>(L91/SUM($L$8:$L$136))*$V$5</f>
        <v>255.36639526276832</v>
      </c>
      <c r="Q91" s="361">
        <f>O91-P91</f>
        <v>-255.36639526276832</v>
      </c>
      <c r="R91" s="358">
        <f t="shared" ref="R91:R104" si="30">IF(Q91&gt;0,Q91/$R$6,Q91)</f>
        <v>-255.36639526276832</v>
      </c>
    </row>
    <row r="92" spans="2:19" x14ac:dyDescent="0.3">
      <c r="B92" s="68"/>
      <c r="C92" s="68"/>
      <c r="D92" s="68"/>
      <c r="E92" s="68"/>
      <c r="F92" s="68" t="e">
        <f>VLOOKUP(E92,Counter_Pricing[[Material_Name]:[Level]],5,0)</f>
        <v>#N/A</v>
      </c>
      <c r="G92" s="68"/>
      <c r="H92" s="68"/>
      <c r="K92" s="362">
        <v>93</v>
      </c>
      <c r="L92" s="68">
        <f t="shared" si="29"/>
        <v>102.30000000000001</v>
      </c>
      <c r="M92" s="68" t="s">
        <v>26</v>
      </c>
      <c r="N92" s="358" t="e">
        <f>INDEX(Counter_Pricing[Olsen_Cost],MATCH(F92,Counter_Pricing[Level]))</f>
        <v>#N/A</v>
      </c>
      <c r="O92" s="358" t="e">
        <f t="shared" ref="O92:O104" si="31">L92*N92</f>
        <v>#N/A</v>
      </c>
      <c r="P92" s="361">
        <f t="shared" ref="P92:P104" si="32">(L92/SUM($L$8:$L$136))*$V$5</f>
        <v>258.14211695040711</v>
      </c>
      <c r="Q92" s="361" t="e">
        <f t="shared" ref="Q92:Q104" si="33">O92-P92</f>
        <v>#N/A</v>
      </c>
      <c r="R92" s="358" t="e">
        <f t="shared" si="30"/>
        <v>#N/A</v>
      </c>
    </row>
    <row r="93" spans="2:19" x14ac:dyDescent="0.3">
      <c r="B93" s="68"/>
      <c r="C93" s="68"/>
      <c r="D93" s="68"/>
      <c r="E93" s="68"/>
      <c r="F93" s="68" t="e">
        <f>VLOOKUP(E93,Counter_Pricing[[Material_Name]:[Level]],5,0)</f>
        <v>#N/A</v>
      </c>
      <c r="G93" s="68"/>
      <c r="H93" s="68"/>
      <c r="K93" s="362">
        <v>94</v>
      </c>
      <c r="L93" s="68">
        <f t="shared" si="29"/>
        <v>103.4</v>
      </c>
      <c r="M93" s="68" t="s">
        <v>18</v>
      </c>
      <c r="N93" s="358" t="e">
        <f>INDEX(Counter_Pricing[Olsen_Cost],MATCH(F93,Counter_Pricing[Level]))</f>
        <v>#N/A</v>
      </c>
      <c r="O93" s="358" t="e">
        <f t="shared" si="31"/>
        <v>#N/A</v>
      </c>
      <c r="P93" s="361">
        <f t="shared" si="32"/>
        <v>260.91783863804591</v>
      </c>
      <c r="Q93" s="361" t="e">
        <f t="shared" si="33"/>
        <v>#N/A</v>
      </c>
      <c r="R93" s="358" t="e">
        <f t="shared" si="30"/>
        <v>#N/A</v>
      </c>
    </row>
    <row r="94" spans="2:19" x14ac:dyDescent="0.3">
      <c r="B94" s="68"/>
      <c r="C94" s="68"/>
      <c r="D94" s="68"/>
      <c r="E94" s="68"/>
      <c r="F94" s="68" t="e">
        <f>VLOOKUP(E94,Counter_Pricing[[Material_Name]:[Level]],5,0)</f>
        <v>#N/A</v>
      </c>
      <c r="G94" s="68"/>
      <c r="H94" s="68"/>
      <c r="K94" s="362">
        <v>95</v>
      </c>
      <c r="L94" s="68">
        <f t="shared" si="29"/>
        <v>104.50000000000001</v>
      </c>
      <c r="M94" s="68" t="s">
        <v>18</v>
      </c>
      <c r="N94" s="358" t="e">
        <f>INDEX(Counter_Pricing[Olsen_Cost],MATCH(F94,Counter_Pricing[Level]))</f>
        <v>#N/A</v>
      </c>
      <c r="O94" s="358" t="e">
        <f t="shared" si="31"/>
        <v>#N/A</v>
      </c>
      <c r="P94" s="361">
        <f t="shared" si="32"/>
        <v>263.69356032568464</v>
      </c>
      <c r="Q94" s="361" t="e">
        <f t="shared" si="33"/>
        <v>#N/A</v>
      </c>
      <c r="R94" s="358" t="e">
        <f t="shared" si="30"/>
        <v>#N/A</v>
      </c>
    </row>
    <row r="95" spans="2:19" x14ac:dyDescent="0.3">
      <c r="B95" s="68"/>
      <c r="C95" s="68"/>
      <c r="D95" s="68"/>
      <c r="E95" s="68"/>
      <c r="F95" s="68" t="e">
        <f>VLOOKUP(E95,Counter_Pricing[[Material_Name]:[Level]],5,0)</f>
        <v>#N/A</v>
      </c>
      <c r="G95" s="68"/>
      <c r="H95" s="68"/>
      <c r="K95" s="362">
        <v>96</v>
      </c>
      <c r="L95" s="68">
        <f t="shared" si="29"/>
        <v>105.60000000000001</v>
      </c>
      <c r="M95" s="68" t="s">
        <v>18</v>
      </c>
      <c r="N95" s="358" t="e">
        <f>INDEX(Counter_Pricing[Olsen_Cost],MATCH(F95,Counter_Pricing[Level]))</f>
        <v>#N/A</v>
      </c>
      <c r="O95" s="358" t="e">
        <f t="shared" si="31"/>
        <v>#N/A</v>
      </c>
      <c r="P95" s="361">
        <f t="shared" si="32"/>
        <v>266.46928201332344</v>
      </c>
      <c r="Q95" s="361" t="e">
        <f t="shared" si="33"/>
        <v>#N/A</v>
      </c>
      <c r="R95" s="358" t="e">
        <f t="shared" si="30"/>
        <v>#N/A</v>
      </c>
    </row>
    <row r="96" spans="2:19" x14ac:dyDescent="0.3">
      <c r="B96" s="68"/>
      <c r="C96" s="68"/>
      <c r="D96" s="68"/>
      <c r="E96" s="68"/>
      <c r="F96" s="68" t="e">
        <f>VLOOKUP(E96,Counter_Pricing[[Material_Name]:[Level]],5,0)</f>
        <v>#N/A</v>
      </c>
      <c r="G96" s="68"/>
      <c r="H96" s="68"/>
      <c r="K96" s="362">
        <v>97</v>
      </c>
      <c r="L96" s="68">
        <f t="shared" si="29"/>
        <v>106.7</v>
      </c>
      <c r="M96" s="68" t="s">
        <v>18</v>
      </c>
      <c r="N96" s="358" t="e">
        <f>INDEX(Counter_Pricing[Olsen_Cost],MATCH(F96,Counter_Pricing[Level]))</f>
        <v>#N/A</v>
      </c>
      <c r="O96" s="358" t="e">
        <f t="shared" si="31"/>
        <v>#N/A</v>
      </c>
      <c r="P96" s="361">
        <f t="shared" si="32"/>
        <v>269.24500370096223</v>
      </c>
      <c r="Q96" s="361" t="e">
        <f t="shared" si="33"/>
        <v>#N/A</v>
      </c>
      <c r="R96" s="358" t="e">
        <f t="shared" si="30"/>
        <v>#N/A</v>
      </c>
    </row>
    <row r="97" spans="2:19" x14ac:dyDescent="0.3">
      <c r="B97" s="68"/>
      <c r="C97" s="68"/>
      <c r="D97" s="68"/>
      <c r="E97" s="68"/>
      <c r="F97" s="68" t="e">
        <f>VLOOKUP(E97,Counter_Pricing[[Material_Name]:[Level]],5,0)</f>
        <v>#N/A</v>
      </c>
      <c r="G97" s="68"/>
      <c r="H97" s="68"/>
      <c r="K97" s="362">
        <v>98</v>
      </c>
      <c r="L97" s="68">
        <f t="shared" si="29"/>
        <v>107.80000000000001</v>
      </c>
      <c r="M97" s="68" t="s">
        <v>18</v>
      </c>
      <c r="N97" s="358" t="e">
        <f>INDEX(Counter_Pricing[Olsen_Cost],MATCH(F97,Counter_Pricing[Level]))</f>
        <v>#N/A</v>
      </c>
      <c r="O97" s="358" t="e">
        <f t="shared" si="31"/>
        <v>#N/A</v>
      </c>
      <c r="P97" s="361">
        <f t="shared" si="32"/>
        <v>272.02072538860108</v>
      </c>
      <c r="Q97" s="361" t="e">
        <f t="shared" si="33"/>
        <v>#N/A</v>
      </c>
      <c r="R97" s="358" t="e">
        <f t="shared" si="30"/>
        <v>#N/A</v>
      </c>
    </row>
    <row r="98" spans="2:19" x14ac:dyDescent="0.3">
      <c r="B98" s="68"/>
      <c r="C98" s="68"/>
      <c r="D98" s="68"/>
      <c r="E98" s="68"/>
      <c r="F98" s="68" t="e">
        <f>VLOOKUP(E98,Counter_Pricing[[Material_Name]:[Level]],5,0)</f>
        <v>#N/A</v>
      </c>
      <c r="G98" s="68"/>
      <c r="H98" s="68"/>
      <c r="K98" s="362">
        <v>95</v>
      </c>
      <c r="L98" s="68">
        <f t="shared" si="29"/>
        <v>104.50000000000001</v>
      </c>
      <c r="M98" s="68" t="s">
        <v>18</v>
      </c>
      <c r="N98" s="358" t="e">
        <f>INDEX(Counter_Pricing[Olsen_Cost],MATCH(F98,Counter_Pricing[Level]))</f>
        <v>#N/A</v>
      </c>
      <c r="O98" s="358" t="e">
        <f t="shared" si="31"/>
        <v>#N/A</v>
      </c>
      <c r="P98" s="361">
        <f t="shared" si="32"/>
        <v>263.69356032568464</v>
      </c>
      <c r="Q98" s="361" t="e">
        <f t="shared" si="33"/>
        <v>#N/A</v>
      </c>
      <c r="R98" s="358" t="e">
        <f t="shared" si="30"/>
        <v>#N/A</v>
      </c>
    </row>
    <row r="99" spans="2:19" x14ac:dyDescent="0.3">
      <c r="B99" s="68"/>
      <c r="C99" s="68"/>
      <c r="D99" s="68"/>
      <c r="E99" s="68"/>
      <c r="F99" s="68" t="e">
        <f>VLOOKUP(E99,Counter_Pricing[[Material_Name]:[Level]],5,0)</f>
        <v>#N/A</v>
      </c>
      <c r="G99" s="68"/>
      <c r="H99" s="68"/>
      <c r="K99" s="362">
        <v>96</v>
      </c>
      <c r="L99" s="68">
        <f t="shared" si="29"/>
        <v>105.60000000000001</v>
      </c>
      <c r="M99" s="68" t="s">
        <v>18</v>
      </c>
      <c r="N99" s="358" t="e">
        <f>INDEX(Counter_Pricing[Olsen_Cost],MATCH(F99,Counter_Pricing[Level]))</f>
        <v>#N/A</v>
      </c>
      <c r="O99" s="358" t="e">
        <f t="shared" si="31"/>
        <v>#N/A</v>
      </c>
      <c r="P99" s="361">
        <f t="shared" si="32"/>
        <v>266.46928201332344</v>
      </c>
      <c r="Q99" s="361" t="e">
        <f t="shared" si="33"/>
        <v>#N/A</v>
      </c>
      <c r="R99" s="358" t="e">
        <f t="shared" si="30"/>
        <v>#N/A</v>
      </c>
    </row>
    <row r="100" spans="2:19" x14ac:dyDescent="0.3">
      <c r="B100" s="68"/>
      <c r="C100" s="68"/>
      <c r="D100" s="68"/>
      <c r="E100" s="68"/>
      <c r="F100" s="68" t="e">
        <f>VLOOKUP(E100,Counter_Pricing[[Material_Name]:[Level]],5,0)</f>
        <v>#N/A</v>
      </c>
      <c r="G100" s="68"/>
      <c r="H100" s="68"/>
      <c r="K100" s="362">
        <v>97</v>
      </c>
      <c r="L100" s="68">
        <f t="shared" si="29"/>
        <v>106.7</v>
      </c>
      <c r="M100" s="68" t="s">
        <v>18</v>
      </c>
      <c r="N100" s="358" t="e">
        <f>INDEX(Counter_Pricing[Olsen_Cost],MATCH(F100,Counter_Pricing[Level]))</f>
        <v>#N/A</v>
      </c>
      <c r="O100" s="358" t="e">
        <f t="shared" si="31"/>
        <v>#N/A</v>
      </c>
      <c r="P100" s="361">
        <f t="shared" si="32"/>
        <v>269.24500370096223</v>
      </c>
      <c r="Q100" s="361" t="e">
        <f t="shared" si="33"/>
        <v>#N/A</v>
      </c>
      <c r="R100" s="358" t="e">
        <f t="shared" si="30"/>
        <v>#N/A</v>
      </c>
    </row>
    <row r="101" spans="2:19" x14ac:dyDescent="0.3">
      <c r="B101" s="68"/>
      <c r="C101" s="68"/>
      <c r="D101" s="68"/>
      <c r="E101" s="68"/>
      <c r="F101" s="68" t="e">
        <f>VLOOKUP(E101,Counter_Pricing[[Material_Name]:[Level]],5,0)</f>
        <v>#N/A</v>
      </c>
      <c r="G101" s="68"/>
      <c r="H101" s="68"/>
      <c r="K101" s="362">
        <v>98</v>
      </c>
      <c r="L101" s="68">
        <f t="shared" si="29"/>
        <v>107.80000000000001</v>
      </c>
      <c r="M101" s="68" t="s">
        <v>18</v>
      </c>
      <c r="N101" s="358" t="e">
        <f>INDEX(Counter_Pricing[Olsen_Cost],MATCH(F101,Counter_Pricing[Level]))</f>
        <v>#N/A</v>
      </c>
      <c r="O101" s="358" t="e">
        <f t="shared" si="31"/>
        <v>#N/A</v>
      </c>
      <c r="P101" s="361">
        <f t="shared" si="32"/>
        <v>272.02072538860108</v>
      </c>
      <c r="Q101" s="361" t="e">
        <f t="shared" si="33"/>
        <v>#N/A</v>
      </c>
      <c r="R101" s="358" t="e">
        <f t="shared" si="30"/>
        <v>#N/A</v>
      </c>
      <c r="S101" s="68"/>
    </row>
    <row r="102" spans="2:19" x14ac:dyDescent="0.3">
      <c r="B102" s="68"/>
      <c r="C102" s="68"/>
      <c r="D102" s="68"/>
      <c r="E102" s="68"/>
      <c r="F102" s="68" t="e">
        <f>VLOOKUP(E102,Counter_Pricing[[Material_Name]:[Level]],5,0)</f>
        <v>#N/A</v>
      </c>
      <c r="G102" s="68"/>
      <c r="H102" s="68"/>
      <c r="K102" s="362">
        <v>99</v>
      </c>
      <c r="L102" s="68">
        <f t="shared" si="29"/>
        <v>108.9</v>
      </c>
      <c r="M102" s="68" t="s">
        <v>18</v>
      </c>
      <c r="N102" s="358" t="e">
        <f>INDEX(Counter_Pricing[Olsen_Cost],MATCH(F102,Counter_Pricing[Level]))</f>
        <v>#N/A</v>
      </c>
      <c r="O102" s="358" t="e">
        <f t="shared" si="31"/>
        <v>#N/A</v>
      </c>
      <c r="P102" s="361">
        <f t="shared" si="32"/>
        <v>274.79644707623982</v>
      </c>
      <c r="Q102" s="361" t="e">
        <f t="shared" si="33"/>
        <v>#N/A</v>
      </c>
      <c r="R102" s="358" t="e">
        <f t="shared" si="30"/>
        <v>#N/A</v>
      </c>
      <c r="S102" s="68"/>
    </row>
    <row r="103" spans="2:19" x14ac:dyDescent="0.3">
      <c r="B103" s="68"/>
      <c r="C103" s="68"/>
      <c r="D103" s="68"/>
      <c r="E103" s="68"/>
      <c r="F103" s="68" t="e">
        <f>VLOOKUP(E103,Counter_Pricing[[Material_Name]:[Level]],5,0)</f>
        <v>#N/A</v>
      </c>
      <c r="G103" s="68"/>
      <c r="H103" s="68"/>
      <c r="K103" s="362">
        <v>100</v>
      </c>
      <c r="L103" s="68">
        <f t="shared" si="29"/>
        <v>110.00000000000001</v>
      </c>
      <c r="M103" s="68" t="s">
        <v>18</v>
      </c>
      <c r="N103" s="358" t="e">
        <f>INDEX(Counter_Pricing[Olsen_Cost],MATCH(F103,Counter_Pricing[Level]))</f>
        <v>#N/A</v>
      </c>
      <c r="O103" s="358" t="e">
        <f t="shared" si="31"/>
        <v>#N/A</v>
      </c>
      <c r="P103" s="361">
        <f t="shared" si="32"/>
        <v>277.57216876387861</v>
      </c>
      <c r="Q103" s="361" t="e">
        <f t="shared" si="33"/>
        <v>#N/A</v>
      </c>
      <c r="R103" s="358" t="e">
        <f t="shared" si="30"/>
        <v>#N/A</v>
      </c>
      <c r="S103" s="68"/>
    </row>
    <row r="104" spans="2:19" x14ac:dyDescent="0.3">
      <c r="B104" s="68"/>
      <c r="C104" s="68"/>
      <c r="D104" s="68"/>
      <c r="E104" s="68"/>
      <c r="F104" s="68" t="e">
        <f>VLOOKUP(E104,Counter_Pricing[[Material_Name]:[Level]],5,0)</f>
        <v>#N/A</v>
      </c>
      <c r="G104" s="68"/>
      <c r="H104" s="68"/>
      <c r="K104" s="362">
        <v>101</v>
      </c>
      <c r="L104" s="68">
        <f t="shared" si="29"/>
        <v>111.10000000000001</v>
      </c>
      <c r="M104" s="68" t="s">
        <v>18</v>
      </c>
      <c r="N104" s="358" t="e">
        <f>INDEX(Counter_Pricing[Olsen_Cost],MATCH(F104,Counter_Pricing[Level]))</f>
        <v>#N/A</v>
      </c>
      <c r="O104" s="358" t="e">
        <f t="shared" si="31"/>
        <v>#N/A</v>
      </c>
      <c r="P104" s="361">
        <f t="shared" si="32"/>
        <v>280.3478904515174</v>
      </c>
      <c r="Q104" s="361" t="e">
        <f t="shared" si="33"/>
        <v>#N/A</v>
      </c>
      <c r="R104" s="358" t="e">
        <f t="shared" si="30"/>
        <v>#N/A</v>
      </c>
      <c r="S104" s="68"/>
    </row>
    <row r="105" spans="2:19" x14ac:dyDescent="0.3">
      <c r="B105" s="68"/>
      <c r="C105" s="68"/>
      <c r="D105" s="68"/>
      <c r="E105" s="68"/>
      <c r="F105" s="68"/>
      <c r="G105" s="68"/>
      <c r="H105" s="68"/>
      <c r="K105" s="362"/>
      <c r="L105" s="68"/>
      <c r="M105" s="68"/>
      <c r="N105" s="358"/>
      <c r="O105" s="97" t="s">
        <v>696</v>
      </c>
      <c r="P105" s="226"/>
      <c r="Q105" s="98"/>
      <c r="R105" s="227" t="e">
        <f>SUM(R91:R104)</f>
        <v>#N/A</v>
      </c>
      <c r="S105" s="68"/>
    </row>
    <row r="106" spans="2:19" ht="21" x14ac:dyDescent="0.35">
      <c r="B106" s="389"/>
      <c r="C106" s="390"/>
      <c r="D106" s="390"/>
      <c r="E106" s="390"/>
      <c r="F106" s="390"/>
      <c r="G106" s="390"/>
      <c r="H106" s="390"/>
      <c r="I106" s="390"/>
      <c r="J106" s="390"/>
      <c r="K106" s="390"/>
      <c r="L106" s="390"/>
      <c r="M106" s="390"/>
      <c r="N106" s="390"/>
      <c r="O106" s="390"/>
      <c r="P106" s="390"/>
      <c r="Q106" s="390"/>
      <c r="R106" s="390"/>
      <c r="S106" s="391"/>
    </row>
    <row r="107" spans="2:19" x14ac:dyDescent="0.3">
      <c r="B107" s="68"/>
      <c r="C107" s="68"/>
      <c r="D107" s="68"/>
      <c r="E107" s="68"/>
      <c r="F107" s="68" t="e">
        <f>VLOOKUP(E107,Counter_Pricing[[Material_Name]:[Level]],5,0)</f>
        <v>#N/A</v>
      </c>
      <c r="G107" s="68"/>
      <c r="H107" s="68"/>
      <c r="K107" s="362">
        <v>92</v>
      </c>
      <c r="L107" s="68">
        <f t="shared" ref="L107:L120" si="34">K107*(1+$L$6)</f>
        <v>101.2</v>
      </c>
      <c r="M107" s="68" t="s">
        <v>18</v>
      </c>
      <c r="N107" s="358" t="e">
        <f>INDEX(Counter_Pricing[Olsen_Cost],MATCH(F107,Counter_Pricing[Level]))</f>
        <v>#N/A</v>
      </c>
      <c r="O107" s="358" t="e">
        <f>L107*N107</f>
        <v>#N/A</v>
      </c>
      <c r="P107" s="361">
        <f>(L107/SUM($L$8:$L$136))*$V$5</f>
        <v>255.36639526276832</v>
      </c>
      <c r="Q107" s="361" t="e">
        <f>O107-P107</f>
        <v>#N/A</v>
      </c>
      <c r="R107" s="358" t="e">
        <f t="shared" ref="R107:R120" si="35">IF(Q107&gt;0,Q107/$R$6,Q107)</f>
        <v>#N/A</v>
      </c>
    </row>
    <row r="108" spans="2:19" x14ac:dyDescent="0.3">
      <c r="B108" s="68"/>
      <c r="C108" s="68"/>
      <c r="D108" s="68"/>
      <c r="E108" s="68"/>
      <c r="F108" s="68" t="e">
        <f>VLOOKUP(E108,Counter_Pricing[[Material_Name]:[Level]],5,0)</f>
        <v>#N/A</v>
      </c>
      <c r="G108" s="68"/>
      <c r="H108" s="68"/>
      <c r="K108" s="362">
        <v>93</v>
      </c>
      <c r="L108" s="68">
        <f t="shared" si="34"/>
        <v>102.30000000000001</v>
      </c>
      <c r="M108" s="68" t="s">
        <v>26</v>
      </c>
      <c r="N108" s="358" t="e">
        <f>INDEX(Counter_Pricing[Olsen_Cost],MATCH(F108,Counter_Pricing[Level]))</f>
        <v>#N/A</v>
      </c>
      <c r="O108" s="358" t="e">
        <f t="shared" ref="O108:O120" si="36">L108*N108</f>
        <v>#N/A</v>
      </c>
      <c r="P108" s="361">
        <f t="shared" ref="P108:P120" si="37">(L108/SUM($L$8:$L$136))*$V$5</f>
        <v>258.14211695040711</v>
      </c>
      <c r="Q108" s="361" t="e">
        <f t="shared" ref="Q108:Q120" si="38">O108-P108</f>
        <v>#N/A</v>
      </c>
      <c r="R108" s="358" t="e">
        <f t="shared" si="35"/>
        <v>#N/A</v>
      </c>
    </row>
    <row r="109" spans="2:19" x14ac:dyDescent="0.3">
      <c r="B109" s="68"/>
      <c r="C109" s="68"/>
      <c r="D109" s="68"/>
      <c r="E109" s="68"/>
      <c r="F109" s="68" t="e">
        <f>VLOOKUP(E109,Counter_Pricing[[Material_Name]:[Level]],5,0)</f>
        <v>#N/A</v>
      </c>
      <c r="G109" s="68"/>
      <c r="H109" s="68"/>
      <c r="K109" s="362">
        <v>94</v>
      </c>
      <c r="L109" s="68">
        <f t="shared" si="34"/>
        <v>103.4</v>
      </c>
      <c r="M109" s="68" t="s">
        <v>18</v>
      </c>
      <c r="N109" s="358" t="e">
        <f>INDEX(Counter_Pricing[Olsen_Cost],MATCH(F109,Counter_Pricing[Level]))</f>
        <v>#N/A</v>
      </c>
      <c r="O109" s="358" t="e">
        <f t="shared" si="36"/>
        <v>#N/A</v>
      </c>
      <c r="P109" s="361">
        <f t="shared" si="37"/>
        <v>260.91783863804591</v>
      </c>
      <c r="Q109" s="361" t="e">
        <f t="shared" si="38"/>
        <v>#N/A</v>
      </c>
      <c r="R109" s="358" t="e">
        <f t="shared" si="35"/>
        <v>#N/A</v>
      </c>
    </row>
    <row r="110" spans="2:19" x14ac:dyDescent="0.3">
      <c r="B110" s="68"/>
      <c r="C110" s="68"/>
      <c r="D110" s="68"/>
      <c r="E110" s="68"/>
      <c r="F110" s="68" t="e">
        <f>VLOOKUP(E110,Counter_Pricing[[Material_Name]:[Level]],5,0)</f>
        <v>#N/A</v>
      </c>
      <c r="G110" s="68"/>
      <c r="H110" s="68"/>
      <c r="K110" s="362">
        <v>95</v>
      </c>
      <c r="L110" s="68">
        <f t="shared" si="34"/>
        <v>104.50000000000001</v>
      </c>
      <c r="M110" s="68" t="s">
        <v>18</v>
      </c>
      <c r="N110" s="358" t="e">
        <f>INDEX(Counter_Pricing[Olsen_Cost],MATCH(F110,Counter_Pricing[Level]))</f>
        <v>#N/A</v>
      </c>
      <c r="O110" s="358" t="e">
        <f t="shared" si="36"/>
        <v>#N/A</v>
      </c>
      <c r="P110" s="361">
        <f t="shared" si="37"/>
        <v>263.69356032568464</v>
      </c>
      <c r="Q110" s="361" t="e">
        <f t="shared" si="38"/>
        <v>#N/A</v>
      </c>
      <c r="R110" s="358" t="e">
        <f t="shared" si="35"/>
        <v>#N/A</v>
      </c>
    </row>
    <row r="111" spans="2:19" x14ac:dyDescent="0.3">
      <c r="B111" s="68"/>
      <c r="C111" s="68"/>
      <c r="D111" s="68"/>
      <c r="E111" s="68"/>
      <c r="F111" s="68" t="e">
        <f>VLOOKUP(E111,Counter_Pricing[[Material_Name]:[Level]],5,0)</f>
        <v>#N/A</v>
      </c>
      <c r="G111" s="68"/>
      <c r="H111" s="68"/>
      <c r="K111" s="362">
        <v>96</v>
      </c>
      <c r="L111" s="68">
        <f t="shared" si="34"/>
        <v>105.60000000000001</v>
      </c>
      <c r="M111" s="68" t="s">
        <v>18</v>
      </c>
      <c r="N111" s="358" t="e">
        <f>INDEX(Counter_Pricing[Olsen_Cost],MATCH(F111,Counter_Pricing[Level]))</f>
        <v>#N/A</v>
      </c>
      <c r="O111" s="358" t="e">
        <f t="shared" si="36"/>
        <v>#N/A</v>
      </c>
      <c r="P111" s="361">
        <f t="shared" si="37"/>
        <v>266.46928201332344</v>
      </c>
      <c r="Q111" s="361" t="e">
        <f t="shared" si="38"/>
        <v>#N/A</v>
      </c>
      <c r="R111" s="358" t="e">
        <f t="shared" si="35"/>
        <v>#N/A</v>
      </c>
    </row>
    <row r="112" spans="2:19" x14ac:dyDescent="0.3">
      <c r="B112" s="68"/>
      <c r="C112" s="68"/>
      <c r="D112" s="68"/>
      <c r="E112" s="68"/>
      <c r="F112" s="68" t="e">
        <f>VLOOKUP(E112,Counter_Pricing[[Material_Name]:[Level]],5,0)</f>
        <v>#N/A</v>
      </c>
      <c r="G112" s="68"/>
      <c r="H112" s="68"/>
      <c r="K112" s="362">
        <v>97</v>
      </c>
      <c r="L112" s="68">
        <f t="shared" si="34"/>
        <v>106.7</v>
      </c>
      <c r="M112" s="68" t="s">
        <v>18</v>
      </c>
      <c r="N112" s="358" t="e">
        <f>INDEX(Counter_Pricing[Olsen_Cost],MATCH(F112,Counter_Pricing[Level]))</f>
        <v>#N/A</v>
      </c>
      <c r="O112" s="358" t="e">
        <f t="shared" si="36"/>
        <v>#N/A</v>
      </c>
      <c r="P112" s="361">
        <f t="shared" si="37"/>
        <v>269.24500370096223</v>
      </c>
      <c r="Q112" s="361" t="e">
        <f t="shared" si="38"/>
        <v>#N/A</v>
      </c>
      <c r="R112" s="358" t="e">
        <f t="shared" si="35"/>
        <v>#N/A</v>
      </c>
    </row>
    <row r="113" spans="2:19" x14ac:dyDescent="0.3">
      <c r="B113" s="68"/>
      <c r="C113" s="68"/>
      <c r="D113" s="68"/>
      <c r="E113" s="68"/>
      <c r="F113" s="68" t="e">
        <f>VLOOKUP(E113,Counter_Pricing[[Material_Name]:[Level]],5,0)</f>
        <v>#N/A</v>
      </c>
      <c r="G113" s="68"/>
      <c r="H113" s="68"/>
      <c r="K113" s="362">
        <v>98</v>
      </c>
      <c r="L113" s="68">
        <f t="shared" si="34"/>
        <v>107.80000000000001</v>
      </c>
      <c r="M113" s="68" t="s">
        <v>18</v>
      </c>
      <c r="N113" s="358" t="e">
        <f>INDEX(Counter_Pricing[Olsen_Cost],MATCH(F113,Counter_Pricing[Level]))</f>
        <v>#N/A</v>
      </c>
      <c r="O113" s="358" t="e">
        <f t="shared" si="36"/>
        <v>#N/A</v>
      </c>
      <c r="P113" s="361">
        <f t="shared" si="37"/>
        <v>272.02072538860108</v>
      </c>
      <c r="Q113" s="361" t="e">
        <f t="shared" si="38"/>
        <v>#N/A</v>
      </c>
      <c r="R113" s="358" t="e">
        <f t="shared" si="35"/>
        <v>#N/A</v>
      </c>
    </row>
    <row r="114" spans="2:19" x14ac:dyDescent="0.3">
      <c r="B114" s="68"/>
      <c r="C114" s="68"/>
      <c r="D114" s="68"/>
      <c r="E114" s="68"/>
      <c r="F114" s="68" t="e">
        <f>VLOOKUP(E114,Counter_Pricing[[Material_Name]:[Level]],5,0)</f>
        <v>#N/A</v>
      </c>
      <c r="G114" s="68"/>
      <c r="H114" s="68"/>
      <c r="K114" s="362">
        <v>95</v>
      </c>
      <c r="L114" s="68">
        <f t="shared" si="34"/>
        <v>104.50000000000001</v>
      </c>
      <c r="M114" s="68" t="s">
        <v>18</v>
      </c>
      <c r="N114" s="358" t="e">
        <f>INDEX(Counter_Pricing[Olsen_Cost],MATCH(F114,Counter_Pricing[Level]))</f>
        <v>#N/A</v>
      </c>
      <c r="O114" s="358" t="e">
        <f t="shared" si="36"/>
        <v>#N/A</v>
      </c>
      <c r="P114" s="361">
        <f t="shared" si="37"/>
        <v>263.69356032568464</v>
      </c>
      <c r="Q114" s="361" t="e">
        <f t="shared" si="38"/>
        <v>#N/A</v>
      </c>
      <c r="R114" s="358" t="e">
        <f t="shared" si="35"/>
        <v>#N/A</v>
      </c>
    </row>
    <row r="115" spans="2:19" x14ac:dyDescent="0.3">
      <c r="B115" s="68"/>
      <c r="C115" s="68"/>
      <c r="D115" s="68"/>
      <c r="E115" s="68"/>
      <c r="F115" s="68" t="e">
        <f>VLOOKUP(E115,Counter_Pricing[[Material_Name]:[Level]],5,0)</f>
        <v>#N/A</v>
      </c>
      <c r="G115" s="68"/>
      <c r="H115" s="68"/>
      <c r="K115" s="362">
        <v>96</v>
      </c>
      <c r="L115" s="68">
        <f t="shared" si="34"/>
        <v>105.60000000000001</v>
      </c>
      <c r="M115" s="68" t="s">
        <v>18</v>
      </c>
      <c r="N115" s="358" t="e">
        <f>INDEX(Counter_Pricing[Olsen_Cost],MATCH(F115,Counter_Pricing[Level]))</f>
        <v>#N/A</v>
      </c>
      <c r="O115" s="358" t="e">
        <f t="shared" si="36"/>
        <v>#N/A</v>
      </c>
      <c r="P115" s="361">
        <f t="shared" si="37"/>
        <v>266.46928201332344</v>
      </c>
      <c r="Q115" s="361" t="e">
        <f t="shared" si="38"/>
        <v>#N/A</v>
      </c>
      <c r="R115" s="358" t="e">
        <f t="shared" si="35"/>
        <v>#N/A</v>
      </c>
    </row>
    <row r="116" spans="2:19" x14ac:dyDescent="0.3">
      <c r="B116" s="68"/>
      <c r="C116" s="68"/>
      <c r="D116" s="68"/>
      <c r="E116" s="68"/>
      <c r="F116" s="68" t="e">
        <f>VLOOKUP(E116,Counter_Pricing[[Material_Name]:[Level]],5,0)</f>
        <v>#N/A</v>
      </c>
      <c r="G116" s="68"/>
      <c r="H116" s="68"/>
      <c r="K116" s="362">
        <v>97</v>
      </c>
      <c r="L116" s="68">
        <f t="shared" si="34"/>
        <v>106.7</v>
      </c>
      <c r="M116" s="68" t="s">
        <v>18</v>
      </c>
      <c r="N116" s="358" t="e">
        <f>INDEX(Counter_Pricing[Olsen_Cost],MATCH(F116,Counter_Pricing[Level]))</f>
        <v>#N/A</v>
      </c>
      <c r="O116" s="358" t="e">
        <f t="shared" si="36"/>
        <v>#N/A</v>
      </c>
      <c r="P116" s="361">
        <f t="shared" si="37"/>
        <v>269.24500370096223</v>
      </c>
      <c r="Q116" s="361" t="e">
        <f t="shared" si="38"/>
        <v>#N/A</v>
      </c>
      <c r="R116" s="358" t="e">
        <f t="shared" si="35"/>
        <v>#N/A</v>
      </c>
    </row>
    <row r="117" spans="2:19" x14ac:dyDescent="0.3">
      <c r="B117" s="68"/>
      <c r="C117" s="68"/>
      <c r="D117" s="68"/>
      <c r="E117" s="68"/>
      <c r="F117" s="68" t="e">
        <f>VLOOKUP(E117,Counter_Pricing[[Material_Name]:[Level]],5,0)</f>
        <v>#N/A</v>
      </c>
      <c r="G117" s="68"/>
      <c r="H117" s="68"/>
      <c r="K117" s="362">
        <v>98</v>
      </c>
      <c r="L117" s="68">
        <f t="shared" si="34"/>
        <v>107.80000000000001</v>
      </c>
      <c r="M117" s="68" t="s">
        <v>18</v>
      </c>
      <c r="N117" s="358" t="e">
        <f>INDEX(Counter_Pricing[Olsen_Cost],MATCH(F117,Counter_Pricing[Level]))</f>
        <v>#N/A</v>
      </c>
      <c r="O117" s="358" t="e">
        <f t="shared" si="36"/>
        <v>#N/A</v>
      </c>
      <c r="P117" s="361">
        <f t="shared" si="37"/>
        <v>272.02072538860108</v>
      </c>
      <c r="Q117" s="361" t="e">
        <f t="shared" si="38"/>
        <v>#N/A</v>
      </c>
      <c r="R117" s="358" t="e">
        <f t="shared" si="35"/>
        <v>#N/A</v>
      </c>
      <c r="S117" s="68"/>
    </row>
    <row r="118" spans="2:19" x14ac:dyDescent="0.3">
      <c r="B118" s="68"/>
      <c r="C118" s="68"/>
      <c r="D118" s="68"/>
      <c r="E118" s="68"/>
      <c r="F118" s="68" t="e">
        <f>VLOOKUP(E118,Counter_Pricing[[Material_Name]:[Level]],5,0)</f>
        <v>#N/A</v>
      </c>
      <c r="G118" s="68"/>
      <c r="H118" s="68"/>
      <c r="K118" s="362">
        <v>99</v>
      </c>
      <c r="L118" s="68">
        <f t="shared" si="34"/>
        <v>108.9</v>
      </c>
      <c r="M118" s="68" t="s">
        <v>18</v>
      </c>
      <c r="N118" s="358" t="e">
        <f>INDEX(Counter_Pricing[Olsen_Cost],MATCH(F118,Counter_Pricing[Level]))</f>
        <v>#N/A</v>
      </c>
      <c r="O118" s="358" t="e">
        <f t="shared" si="36"/>
        <v>#N/A</v>
      </c>
      <c r="P118" s="361">
        <f t="shared" si="37"/>
        <v>274.79644707623982</v>
      </c>
      <c r="Q118" s="361" t="e">
        <f t="shared" si="38"/>
        <v>#N/A</v>
      </c>
      <c r="R118" s="358" t="e">
        <f t="shared" si="35"/>
        <v>#N/A</v>
      </c>
      <c r="S118" s="68"/>
    </row>
    <row r="119" spans="2:19" x14ac:dyDescent="0.3">
      <c r="B119" s="68"/>
      <c r="C119" s="68"/>
      <c r="D119" s="68"/>
      <c r="E119" s="68"/>
      <c r="F119" s="68" t="e">
        <f>VLOOKUP(E119,Counter_Pricing[[Material_Name]:[Level]],5,0)</f>
        <v>#N/A</v>
      </c>
      <c r="G119" s="68"/>
      <c r="H119" s="68"/>
      <c r="K119" s="362">
        <v>100</v>
      </c>
      <c r="L119" s="68">
        <f t="shared" si="34"/>
        <v>110.00000000000001</v>
      </c>
      <c r="M119" s="68" t="s">
        <v>18</v>
      </c>
      <c r="N119" s="358" t="e">
        <f>INDEX(Counter_Pricing[Olsen_Cost],MATCH(F119,Counter_Pricing[Level]))</f>
        <v>#N/A</v>
      </c>
      <c r="O119" s="358" t="e">
        <f t="shared" si="36"/>
        <v>#N/A</v>
      </c>
      <c r="P119" s="361">
        <f t="shared" si="37"/>
        <v>277.57216876387861</v>
      </c>
      <c r="Q119" s="361" t="e">
        <f t="shared" si="38"/>
        <v>#N/A</v>
      </c>
      <c r="R119" s="358" t="e">
        <f t="shared" si="35"/>
        <v>#N/A</v>
      </c>
      <c r="S119" s="68"/>
    </row>
    <row r="120" spans="2:19" x14ac:dyDescent="0.3">
      <c r="B120" s="68"/>
      <c r="C120" s="68"/>
      <c r="D120" s="68"/>
      <c r="E120" s="68"/>
      <c r="F120" s="68" t="e">
        <f>VLOOKUP(E120,Counter_Pricing[[Material_Name]:[Level]],5,0)</f>
        <v>#N/A</v>
      </c>
      <c r="G120" s="68"/>
      <c r="H120" s="68"/>
      <c r="K120" s="362">
        <v>101</v>
      </c>
      <c r="L120" s="68">
        <f t="shared" si="34"/>
        <v>111.10000000000001</v>
      </c>
      <c r="M120" s="68" t="s">
        <v>18</v>
      </c>
      <c r="N120" s="358" t="e">
        <f>INDEX(Counter_Pricing[Olsen_Cost],MATCH(F120,Counter_Pricing[Level]))</f>
        <v>#N/A</v>
      </c>
      <c r="O120" s="358" t="e">
        <f t="shared" si="36"/>
        <v>#N/A</v>
      </c>
      <c r="P120" s="361">
        <f t="shared" si="37"/>
        <v>280.3478904515174</v>
      </c>
      <c r="Q120" s="361" t="e">
        <f t="shared" si="38"/>
        <v>#N/A</v>
      </c>
      <c r="R120" s="358" t="e">
        <f t="shared" si="35"/>
        <v>#N/A</v>
      </c>
      <c r="S120" s="68"/>
    </row>
    <row r="121" spans="2:19" x14ac:dyDescent="0.3">
      <c r="B121" s="68"/>
      <c r="C121" s="68"/>
      <c r="D121" s="68"/>
      <c r="E121" s="68"/>
      <c r="F121" s="68"/>
      <c r="G121" s="68"/>
      <c r="H121" s="68"/>
      <c r="K121" s="362"/>
      <c r="L121" s="68"/>
      <c r="M121" s="68"/>
      <c r="N121" s="358"/>
      <c r="O121" s="97" t="s">
        <v>696</v>
      </c>
      <c r="P121" s="226"/>
      <c r="Q121" s="98"/>
      <c r="R121" s="227" t="e">
        <f>SUM(R107:R120)</f>
        <v>#N/A</v>
      </c>
      <c r="S121" s="68"/>
    </row>
    <row r="122" spans="2:19" ht="21" x14ac:dyDescent="0.35">
      <c r="B122" s="389"/>
      <c r="C122" s="390"/>
      <c r="D122" s="390"/>
      <c r="E122" s="390"/>
      <c r="F122" s="390"/>
      <c r="G122" s="390"/>
      <c r="H122" s="390"/>
      <c r="I122" s="390"/>
      <c r="J122" s="390"/>
      <c r="K122" s="390"/>
      <c r="L122" s="390"/>
      <c r="M122" s="390"/>
      <c r="N122" s="390"/>
      <c r="O122" s="390"/>
      <c r="P122" s="390"/>
      <c r="Q122" s="390"/>
      <c r="R122" s="390"/>
      <c r="S122" s="391"/>
    </row>
    <row r="123" spans="2:19" x14ac:dyDescent="0.3">
      <c r="B123" s="68"/>
      <c r="C123" s="68"/>
      <c r="D123" s="68"/>
      <c r="E123" s="68"/>
      <c r="F123" s="68" t="e">
        <f>VLOOKUP(E123,Counter_Pricing[[Material_Name]:[Level]],5,0)</f>
        <v>#N/A</v>
      </c>
      <c r="G123" s="68"/>
      <c r="H123" s="68"/>
      <c r="K123" s="362">
        <v>92</v>
      </c>
      <c r="L123" s="68">
        <f t="shared" ref="L123:L136" si="39">K123*(1+$L$6)</f>
        <v>101.2</v>
      </c>
      <c r="M123" s="68" t="s">
        <v>18</v>
      </c>
      <c r="N123" s="358" t="e">
        <f>INDEX(Counter_Pricing[Olsen_Cost],MATCH(F123,Counter_Pricing[Level]))</f>
        <v>#N/A</v>
      </c>
      <c r="O123" s="358" t="e">
        <f>L123*N123</f>
        <v>#N/A</v>
      </c>
      <c r="P123" s="361">
        <f>(L123/SUM($L$8:$L$136))*$V$5</f>
        <v>255.36639526276832</v>
      </c>
      <c r="Q123" s="361" t="e">
        <f>O123-P123</f>
        <v>#N/A</v>
      </c>
      <c r="R123" s="358" t="e">
        <f t="shared" ref="R123:R136" si="40">IF(Q123&gt;0,Q123/$R$6,Q123)</f>
        <v>#N/A</v>
      </c>
    </row>
    <row r="124" spans="2:19" x14ac:dyDescent="0.3">
      <c r="B124" s="68"/>
      <c r="C124" s="68"/>
      <c r="D124" s="68"/>
      <c r="E124" s="68"/>
      <c r="F124" s="68" t="e">
        <f>VLOOKUP(E124,Counter_Pricing[[Material_Name]:[Level]],5,0)</f>
        <v>#N/A</v>
      </c>
      <c r="G124" s="68"/>
      <c r="H124" s="68"/>
      <c r="K124" s="362">
        <v>93</v>
      </c>
      <c r="L124" s="68">
        <f t="shared" si="39"/>
        <v>102.30000000000001</v>
      </c>
      <c r="M124" s="68" t="s">
        <v>26</v>
      </c>
      <c r="N124" s="358" t="e">
        <f>INDEX(Counter_Pricing[Olsen_Cost],MATCH(F124,Counter_Pricing[Level]))</f>
        <v>#N/A</v>
      </c>
      <c r="O124" s="358" t="e">
        <f t="shared" ref="O124:O136" si="41">L124*N124</f>
        <v>#N/A</v>
      </c>
      <c r="P124" s="361">
        <f t="shared" ref="P124:P136" si="42">(L124/SUM($L$8:$L$136))*$V$5</f>
        <v>258.14211695040711</v>
      </c>
      <c r="Q124" s="361" t="e">
        <f t="shared" ref="Q124:Q136" si="43">O124-P124</f>
        <v>#N/A</v>
      </c>
      <c r="R124" s="358" t="e">
        <f t="shared" si="40"/>
        <v>#N/A</v>
      </c>
    </row>
    <row r="125" spans="2:19" x14ac:dyDescent="0.3">
      <c r="B125" s="68"/>
      <c r="C125" s="68"/>
      <c r="D125" s="68"/>
      <c r="E125" s="68"/>
      <c r="F125" s="68" t="e">
        <f>VLOOKUP(E125,Counter_Pricing[[Material_Name]:[Level]],5,0)</f>
        <v>#N/A</v>
      </c>
      <c r="G125" s="68"/>
      <c r="H125" s="68"/>
      <c r="K125" s="362">
        <v>94</v>
      </c>
      <c r="L125" s="68">
        <f t="shared" si="39"/>
        <v>103.4</v>
      </c>
      <c r="M125" s="68" t="s">
        <v>18</v>
      </c>
      <c r="N125" s="358" t="e">
        <f>INDEX(Counter_Pricing[Olsen_Cost],MATCH(F125,Counter_Pricing[Level]))</f>
        <v>#N/A</v>
      </c>
      <c r="O125" s="358" t="e">
        <f t="shared" si="41"/>
        <v>#N/A</v>
      </c>
      <c r="P125" s="361">
        <f t="shared" si="42"/>
        <v>260.91783863804591</v>
      </c>
      <c r="Q125" s="361" t="e">
        <f t="shared" si="43"/>
        <v>#N/A</v>
      </c>
      <c r="R125" s="358" t="e">
        <f t="shared" si="40"/>
        <v>#N/A</v>
      </c>
    </row>
    <row r="126" spans="2:19" x14ac:dyDescent="0.3">
      <c r="B126" s="68"/>
      <c r="C126" s="68"/>
      <c r="D126" s="68"/>
      <c r="E126" s="68"/>
      <c r="F126" s="68" t="e">
        <f>VLOOKUP(E126,Counter_Pricing[[Material_Name]:[Level]],5,0)</f>
        <v>#N/A</v>
      </c>
      <c r="G126" s="68"/>
      <c r="H126" s="68"/>
      <c r="K126" s="362">
        <v>95</v>
      </c>
      <c r="L126" s="68">
        <f t="shared" si="39"/>
        <v>104.50000000000001</v>
      </c>
      <c r="M126" s="68" t="s">
        <v>18</v>
      </c>
      <c r="N126" s="358" t="e">
        <f>INDEX(Counter_Pricing[Olsen_Cost],MATCH(F126,Counter_Pricing[Level]))</f>
        <v>#N/A</v>
      </c>
      <c r="O126" s="358" t="e">
        <f t="shared" si="41"/>
        <v>#N/A</v>
      </c>
      <c r="P126" s="361">
        <f t="shared" si="42"/>
        <v>263.69356032568464</v>
      </c>
      <c r="Q126" s="361" t="e">
        <f t="shared" si="43"/>
        <v>#N/A</v>
      </c>
      <c r="R126" s="358" t="e">
        <f t="shared" si="40"/>
        <v>#N/A</v>
      </c>
    </row>
    <row r="127" spans="2:19" x14ac:dyDescent="0.3">
      <c r="B127" s="68"/>
      <c r="C127" s="68"/>
      <c r="D127" s="68"/>
      <c r="E127" s="68"/>
      <c r="F127" s="68" t="e">
        <f>VLOOKUP(E127,Counter_Pricing[[Material_Name]:[Level]],5,0)</f>
        <v>#N/A</v>
      </c>
      <c r="G127" s="68"/>
      <c r="H127" s="68"/>
      <c r="K127" s="362">
        <v>96</v>
      </c>
      <c r="L127" s="68">
        <f t="shared" si="39"/>
        <v>105.60000000000001</v>
      </c>
      <c r="M127" s="68" t="s">
        <v>18</v>
      </c>
      <c r="N127" s="358" t="e">
        <f>INDEX(Counter_Pricing[Olsen_Cost],MATCH(F127,Counter_Pricing[Level]))</f>
        <v>#N/A</v>
      </c>
      <c r="O127" s="358" t="e">
        <f t="shared" si="41"/>
        <v>#N/A</v>
      </c>
      <c r="P127" s="361">
        <f t="shared" si="42"/>
        <v>266.46928201332344</v>
      </c>
      <c r="Q127" s="361" t="e">
        <f t="shared" si="43"/>
        <v>#N/A</v>
      </c>
      <c r="R127" s="358" t="e">
        <f t="shared" si="40"/>
        <v>#N/A</v>
      </c>
    </row>
    <row r="128" spans="2:19" x14ac:dyDescent="0.3">
      <c r="B128" s="68"/>
      <c r="C128" s="68"/>
      <c r="D128" s="68"/>
      <c r="E128" s="68"/>
      <c r="F128" s="68" t="e">
        <f>VLOOKUP(E128,Counter_Pricing[[Material_Name]:[Level]],5,0)</f>
        <v>#N/A</v>
      </c>
      <c r="G128" s="68"/>
      <c r="H128" s="68"/>
      <c r="K128" s="362">
        <v>97</v>
      </c>
      <c r="L128" s="68">
        <f t="shared" si="39"/>
        <v>106.7</v>
      </c>
      <c r="M128" s="68" t="s">
        <v>18</v>
      </c>
      <c r="N128" s="358" t="e">
        <f>INDEX(Counter_Pricing[Olsen_Cost],MATCH(F128,Counter_Pricing[Level]))</f>
        <v>#N/A</v>
      </c>
      <c r="O128" s="358" t="e">
        <f t="shared" si="41"/>
        <v>#N/A</v>
      </c>
      <c r="P128" s="361">
        <f t="shared" si="42"/>
        <v>269.24500370096223</v>
      </c>
      <c r="Q128" s="361" t="e">
        <f t="shared" si="43"/>
        <v>#N/A</v>
      </c>
      <c r="R128" s="358" t="e">
        <f t="shared" si="40"/>
        <v>#N/A</v>
      </c>
    </row>
    <row r="129" spans="2:19" x14ac:dyDescent="0.3">
      <c r="B129" s="68"/>
      <c r="C129" s="68"/>
      <c r="D129" s="68"/>
      <c r="E129" s="68"/>
      <c r="F129" s="68" t="e">
        <f>VLOOKUP(E129,Counter_Pricing[[Material_Name]:[Level]],5,0)</f>
        <v>#N/A</v>
      </c>
      <c r="G129" s="68"/>
      <c r="H129" s="68"/>
      <c r="K129" s="362">
        <v>98</v>
      </c>
      <c r="L129" s="68">
        <f t="shared" si="39"/>
        <v>107.80000000000001</v>
      </c>
      <c r="M129" s="68" t="s">
        <v>18</v>
      </c>
      <c r="N129" s="358" t="e">
        <f>INDEX(Counter_Pricing[Olsen_Cost],MATCH(F129,Counter_Pricing[Level]))</f>
        <v>#N/A</v>
      </c>
      <c r="O129" s="358" t="e">
        <f t="shared" si="41"/>
        <v>#N/A</v>
      </c>
      <c r="P129" s="361">
        <f t="shared" si="42"/>
        <v>272.02072538860108</v>
      </c>
      <c r="Q129" s="361" t="e">
        <f t="shared" si="43"/>
        <v>#N/A</v>
      </c>
      <c r="R129" s="358" t="e">
        <f t="shared" si="40"/>
        <v>#N/A</v>
      </c>
    </row>
    <row r="130" spans="2:19" x14ac:dyDescent="0.3">
      <c r="B130" s="68"/>
      <c r="C130" s="68"/>
      <c r="D130" s="68"/>
      <c r="E130" s="68"/>
      <c r="F130" s="68" t="e">
        <f>VLOOKUP(E130,Counter_Pricing[[Material_Name]:[Level]],5,0)</f>
        <v>#N/A</v>
      </c>
      <c r="G130" s="68"/>
      <c r="H130" s="68"/>
      <c r="K130" s="362">
        <v>95</v>
      </c>
      <c r="L130" s="68">
        <f t="shared" si="39"/>
        <v>104.50000000000001</v>
      </c>
      <c r="M130" s="68" t="s">
        <v>18</v>
      </c>
      <c r="N130" s="358" t="e">
        <f>INDEX(Counter_Pricing[Olsen_Cost],MATCH(F130,Counter_Pricing[Level]))</f>
        <v>#N/A</v>
      </c>
      <c r="O130" s="358" t="e">
        <f t="shared" si="41"/>
        <v>#N/A</v>
      </c>
      <c r="P130" s="361">
        <f t="shared" si="42"/>
        <v>263.69356032568464</v>
      </c>
      <c r="Q130" s="361" t="e">
        <f t="shared" si="43"/>
        <v>#N/A</v>
      </c>
      <c r="R130" s="358" t="e">
        <f t="shared" si="40"/>
        <v>#N/A</v>
      </c>
    </row>
    <row r="131" spans="2:19" x14ac:dyDescent="0.3">
      <c r="B131" s="68"/>
      <c r="C131" s="68"/>
      <c r="D131" s="68"/>
      <c r="E131" s="68"/>
      <c r="F131" s="68" t="e">
        <f>VLOOKUP(E131,Counter_Pricing[[Material_Name]:[Level]],5,0)</f>
        <v>#N/A</v>
      </c>
      <c r="G131" s="68"/>
      <c r="H131" s="68"/>
      <c r="K131" s="362">
        <v>96</v>
      </c>
      <c r="L131" s="68">
        <f t="shared" si="39"/>
        <v>105.60000000000001</v>
      </c>
      <c r="M131" s="68" t="s">
        <v>18</v>
      </c>
      <c r="N131" s="358" t="e">
        <f>INDEX(Counter_Pricing[Olsen_Cost],MATCH(F131,Counter_Pricing[Level]))</f>
        <v>#N/A</v>
      </c>
      <c r="O131" s="358" t="e">
        <f t="shared" si="41"/>
        <v>#N/A</v>
      </c>
      <c r="P131" s="361">
        <f t="shared" si="42"/>
        <v>266.46928201332344</v>
      </c>
      <c r="Q131" s="361" t="e">
        <f t="shared" si="43"/>
        <v>#N/A</v>
      </c>
      <c r="R131" s="358" t="e">
        <f t="shared" si="40"/>
        <v>#N/A</v>
      </c>
    </row>
    <row r="132" spans="2:19" x14ac:dyDescent="0.3">
      <c r="B132" s="68"/>
      <c r="C132" s="68"/>
      <c r="D132" s="68"/>
      <c r="E132" s="68"/>
      <c r="F132" s="68" t="e">
        <f>VLOOKUP(E132,Counter_Pricing[[Material_Name]:[Level]],5,0)</f>
        <v>#N/A</v>
      </c>
      <c r="G132" s="68"/>
      <c r="H132" s="68"/>
      <c r="K132" s="362">
        <v>97</v>
      </c>
      <c r="L132" s="68">
        <f t="shared" si="39"/>
        <v>106.7</v>
      </c>
      <c r="M132" s="68" t="s">
        <v>18</v>
      </c>
      <c r="N132" s="358" t="e">
        <f>INDEX(Counter_Pricing[Olsen_Cost],MATCH(F132,Counter_Pricing[Level]))</f>
        <v>#N/A</v>
      </c>
      <c r="O132" s="358" t="e">
        <f t="shared" si="41"/>
        <v>#N/A</v>
      </c>
      <c r="P132" s="361">
        <f t="shared" si="42"/>
        <v>269.24500370096223</v>
      </c>
      <c r="Q132" s="361" t="e">
        <f t="shared" si="43"/>
        <v>#N/A</v>
      </c>
      <c r="R132" s="358" t="e">
        <f t="shared" si="40"/>
        <v>#N/A</v>
      </c>
    </row>
    <row r="133" spans="2:19" x14ac:dyDescent="0.3">
      <c r="B133" s="68"/>
      <c r="C133" s="68"/>
      <c r="D133" s="68"/>
      <c r="E133" s="68"/>
      <c r="F133" s="68" t="e">
        <f>VLOOKUP(E133,Counter_Pricing[[Material_Name]:[Level]],5,0)</f>
        <v>#N/A</v>
      </c>
      <c r="G133" s="68"/>
      <c r="H133" s="68"/>
      <c r="K133" s="362">
        <v>98</v>
      </c>
      <c r="L133" s="68">
        <f t="shared" si="39"/>
        <v>107.80000000000001</v>
      </c>
      <c r="M133" s="68" t="s">
        <v>18</v>
      </c>
      <c r="N133" s="358" t="e">
        <f>INDEX(Counter_Pricing[Olsen_Cost],MATCH(F133,Counter_Pricing[Level]))</f>
        <v>#N/A</v>
      </c>
      <c r="O133" s="358" t="e">
        <f t="shared" si="41"/>
        <v>#N/A</v>
      </c>
      <c r="P133" s="361">
        <f t="shared" si="42"/>
        <v>272.02072538860108</v>
      </c>
      <c r="Q133" s="361" t="e">
        <f t="shared" si="43"/>
        <v>#N/A</v>
      </c>
      <c r="R133" s="358" t="e">
        <f t="shared" si="40"/>
        <v>#N/A</v>
      </c>
      <c r="S133" s="68"/>
    </row>
    <row r="134" spans="2:19" x14ac:dyDescent="0.3">
      <c r="B134" s="68"/>
      <c r="C134" s="68"/>
      <c r="D134" s="68"/>
      <c r="E134" s="68"/>
      <c r="F134" s="68" t="e">
        <f>VLOOKUP(E134,Counter_Pricing[[Material_Name]:[Level]],5,0)</f>
        <v>#N/A</v>
      </c>
      <c r="G134" s="68"/>
      <c r="H134" s="68"/>
      <c r="K134" s="362">
        <v>99</v>
      </c>
      <c r="L134" s="68">
        <f t="shared" si="39"/>
        <v>108.9</v>
      </c>
      <c r="M134" s="68" t="s">
        <v>18</v>
      </c>
      <c r="N134" s="358" t="e">
        <f>INDEX(Counter_Pricing[Olsen_Cost],MATCH(F134,Counter_Pricing[Level]))</f>
        <v>#N/A</v>
      </c>
      <c r="O134" s="358" t="e">
        <f t="shared" si="41"/>
        <v>#N/A</v>
      </c>
      <c r="P134" s="361">
        <f t="shared" si="42"/>
        <v>274.79644707623982</v>
      </c>
      <c r="Q134" s="361" t="e">
        <f t="shared" si="43"/>
        <v>#N/A</v>
      </c>
      <c r="R134" s="358" t="e">
        <f t="shared" si="40"/>
        <v>#N/A</v>
      </c>
      <c r="S134" s="68"/>
    </row>
    <row r="135" spans="2:19" x14ac:dyDescent="0.3">
      <c r="B135" s="68"/>
      <c r="C135" s="68"/>
      <c r="D135" s="68"/>
      <c r="E135" s="68"/>
      <c r="F135" s="68" t="e">
        <f>VLOOKUP(E135,Counter_Pricing[[Material_Name]:[Level]],5,0)</f>
        <v>#N/A</v>
      </c>
      <c r="G135" s="68"/>
      <c r="H135" s="68"/>
      <c r="K135" s="362">
        <v>100</v>
      </c>
      <c r="L135" s="68">
        <f t="shared" si="39"/>
        <v>110.00000000000001</v>
      </c>
      <c r="M135" s="68" t="s">
        <v>18</v>
      </c>
      <c r="N135" s="358" t="e">
        <f>INDEX(Counter_Pricing[Olsen_Cost],MATCH(F135,Counter_Pricing[Level]))</f>
        <v>#N/A</v>
      </c>
      <c r="O135" s="358" t="e">
        <f t="shared" si="41"/>
        <v>#N/A</v>
      </c>
      <c r="P135" s="361">
        <f t="shared" si="42"/>
        <v>277.57216876387861</v>
      </c>
      <c r="Q135" s="361" t="e">
        <f t="shared" si="43"/>
        <v>#N/A</v>
      </c>
      <c r="R135" s="358" t="e">
        <f t="shared" si="40"/>
        <v>#N/A</v>
      </c>
      <c r="S135" s="68"/>
    </row>
    <row r="136" spans="2:19" x14ac:dyDescent="0.3">
      <c r="B136" s="68"/>
      <c r="C136" s="68"/>
      <c r="D136" s="68"/>
      <c r="E136" s="68"/>
      <c r="F136" s="68" t="e">
        <f>VLOOKUP(E136,Counter_Pricing[[Material_Name]:[Level]],5,0)</f>
        <v>#N/A</v>
      </c>
      <c r="G136" s="68"/>
      <c r="H136" s="68"/>
      <c r="K136" s="362">
        <v>101</v>
      </c>
      <c r="L136" s="68">
        <f t="shared" si="39"/>
        <v>111.10000000000001</v>
      </c>
      <c r="M136" s="68" t="s">
        <v>18</v>
      </c>
      <c r="N136" s="358" t="e">
        <f>INDEX(Counter_Pricing[Olsen_Cost],MATCH(F136,Counter_Pricing[Level]))</f>
        <v>#N/A</v>
      </c>
      <c r="O136" s="358" t="e">
        <f t="shared" si="41"/>
        <v>#N/A</v>
      </c>
      <c r="P136" s="361">
        <f t="shared" si="42"/>
        <v>280.3478904515174</v>
      </c>
      <c r="Q136" s="361" t="e">
        <f t="shared" si="43"/>
        <v>#N/A</v>
      </c>
      <c r="R136" s="358" t="e">
        <f t="shared" si="40"/>
        <v>#N/A</v>
      </c>
      <c r="S136" s="68"/>
    </row>
    <row r="137" spans="2:19" x14ac:dyDescent="0.3">
      <c r="B137" s="68"/>
      <c r="C137" s="68"/>
      <c r="D137" s="68"/>
      <c r="E137" s="68"/>
      <c r="F137" s="68"/>
      <c r="G137" s="68"/>
      <c r="H137" s="68"/>
      <c r="K137" s="362"/>
      <c r="L137" s="68"/>
      <c r="M137" s="68"/>
      <c r="N137" s="358"/>
      <c r="O137" s="97" t="s">
        <v>696</v>
      </c>
      <c r="P137" s="226"/>
      <c r="Q137" s="98"/>
      <c r="R137" s="227" t="e">
        <f>SUM(R123:R136)</f>
        <v>#N/A</v>
      </c>
      <c r="S137" s="68"/>
    </row>
    <row r="145" spans="2:19" ht="28.5" x14ac:dyDescent="0.45">
      <c r="B145" s="376" t="s">
        <v>705</v>
      </c>
      <c r="C145" s="376"/>
      <c r="D145" s="376"/>
      <c r="E145" s="376"/>
      <c r="F145" s="376"/>
      <c r="G145" s="376"/>
      <c r="H145" s="376"/>
      <c r="I145" s="376"/>
      <c r="J145" s="376"/>
      <c r="K145" s="376"/>
      <c r="L145" s="376"/>
      <c r="M145" s="376"/>
      <c r="N145" s="376"/>
      <c r="O145" s="376"/>
      <c r="P145" s="376"/>
      <c r="Q145" s="376"/>
      <c r="R145" s="376"/>
      <c r="S145" s="376"/>
    </row>
    <row r="146" spans="2:19" x14ac:dyDescent="0.3">
      <c r="B146" s="73" t="s">
        <v>891</v>
      </c>
      <c r="C146" s="73" t="s">
        <v>33</v>
      </c>
      <c r="D146" s="73" t="s">
        <v>2</v>
      </c>
      <c r="E146" s="73" t="s">
        <v>893</v>
      </c>
      <c r="F146" s="44" t="s">
        <v>921</v>
      </c>
    </row>
    <row r="147" spans="2:19" x14ac:dyDescent="0.3">
      <c r="B147" s="68"/>
      <c r="C147" s="68"/>
      <c r="D147" s="68"/>
      <c r="E147" s="68"/>
    </row>
    <row r="148" spans="2:19" x14ac:dyDescent="0.3">
      <c r="B148" s="68" t="s">
        <v>48</v>
      </c>
      <c r="C148" s="68" t="s">
        <v>672</v>
      </c>
      <c r="D148" s="68" t="s">
        <v>917</v>
      </c>
      <c r="E148" s="68" t="s">
        <v>894</v>
      </c>
      <c r="F148" s="44" t="s">
        <v>922</v>
      </c>
    </row>
    <row r="149" spans="2:19" x14ac:dyDescent="0.3">
      <c r="B149" s="68"/>
      <c r="C149" s="68" t="s">
        <v>900</v>
      </c>
      <c r="D149" s="68" t="s">
        <v>918</v>
      </c>
      <c r="E149" s="68" t="s">
        <v>882</v>
      </c>
      <c r="F149" s="44" t="s">
        <v>924</v>
      </c>
    </row>
    <row r="150" spans="2:19" x14ac:dyDescent="0.3">
      <c r="B150" s="68" t="s">
        <v>15</v>
      </c>
      <c r="C150" s="68" t="s">
        <v>902</v>
      </c>
      <c r="D150" s="68" t="s">
        <v>915</v>
      </c>
      <c r="E150" s="68" t="s">
        <v>916</v>
      </c>
      <c r="F150" s="44" t="s">
        <v>923</v>
      </c>
    </row>
    <row r="151" spans="2:19" x14ac:dyDescent="0.3">
      <c r="B151" s="68" t="s">
        <v>50</v>
      </c>
      <c r="C151" s="68" t="s">
        <v>901</v>
      </c>
      <c r="D151" s="68" t="s">
        <v>672</v>
      </c>
      <c r="E151" s="68" t="s">
        <v>920</v>
      </c>
    </row>
    <row r="152" spans="2:19" x14ac:dyDescent="0.3">
      <c r="B152" s="68" t="s">
        <v>86</v>
      </c>
      <c r="C152" s="68" t="s">
        <v>903</v>
      </c>
      <c r="D152" s="68" t="s">
        <v>880</v>
      </c>
      <c r="E152" s="68" t="s">
        <v>914</v>
      </c>
    </row>
    <row r="153" spans="2:19" x14ac:dyDescent="0.3">
      <c r="B153" s="68" t="s">
        <v>95</v>
      </c>
      <c r="C153" s="68" t="s">
        <v>904</v>
      </c>
      <c r="D153" s="68" t="s">
        <v>893</v>
      </c>
      <c r="E153" s="68" t="s">
        <v>913</v>
      </c>
    </row>
    <row r="154" spans="2:19" x14ac:dyDescent="0.3">
      <c r="B154" s="68" t="s">
        <v>103</v>
      </c>
      <c r="C154" s="68" t="s">
        <v>906</v>
      </c>
      <c r="D154" s="68"/>
      <c r="E154" s="68" t="s">
        <v>909</v>
      </c>
    </row>
    <row r="155" spans="2:19" x14ac:dyDescent="0.3">
      <c r="B155" s="68" t="s">
        <v>21</v>
      </c>
      <c r="C155" s="68" t="s">
        <v>892</v>
      </c>
      <c r="D155" s="68"/>
      <c r="E155" s="68" t="s">
        <v>910</v>
      </c>
    </row>
    <row r="156" spans="2:19" x14ac:dyDescent="0.3">
      <c r="B156" s="68" t="s">
        <v>114</v>
      </c>
      <c r="C156" s="68" t="s">
        <v>905</v>
      </c>
      <c r="D156" s="68"/>
      <c r="E156" s="68" t="s">
        <v>911</v>
      </c>
    </row>
    <row r="157" spans="2:19" x14ac:dyDescent="0.3">
      <c r="B157" s="68" t="s">
        <v>120</v>
      </c>
      <c r="C157" s="68" t="s">
        <v>907</v>
      </c>
      <c r="D157" s="68"/>
      <c r="E157" s="68" t="s">
        <v>912</v>
      </c>
    </row>
    <row r="158" spans="2:19" x14ac:dyDescent="0.3">
      <c r="B158" s="68"/>
    </row>
    <row r="159" spans="2:19" x14ac:dyDescent="0.3">
      <c r="B159" s="68" t="s">
        <v>23</v>
      </c>
      <c r="D159" s="68"/>
      <c r="E159" s="68"/>
    </row>
    <row r="160" spans="2:19" x14ac:dyDescent="0.3">
      <c r="B160" s="68" t="s">
        <v>135</v>
      </c>
      <c r="C160" s="68"/>
      <c r="D160" s="68"/>
      <c r="E160" s="68" t="s">
        <v>908</v>
      </c>
    </row>
    <row r="161" spans="2:5" x14ac:dyDescent="0.3">
      <c r="B161" s="68" t="s">
        <v>140</v>
      </c>
      <c r="C161" s="68"/>
      <c r="D161" s="68"/>
      <c r="E161" s="68" t="s">
        <v>895</v>
      </c>
    </row>
    <row r="162" spans="2:5" x14ac:dyDescent="0.3">
      <c r="B162" s="68" t="s">
        <v>144</v>
      </c>
      <c r="C162" s="68"/>
      <c r="D162" s="68"/>
      <c r="E162" s="68" t="s">
        <v>896</v>
      </c>
    </row>
    <row r="163" spans="2:5" x14ac:dyDescent="0.3">
      <c r="B163" s="68" t="s">
        <v>148</v>
      </c>
      <c r="C163" s="68" t="s">
        <v>876</v>
      </c>
      <c r="D163" s="68"/>
      <c r="E163" s="68" t="s">
        <v>897</v>
      </c>
    </row>
    <row r="164" spans="2:5" x14ac:dyDescent="0.3">
      <c r="B164" s="68" t="s">
        <v>152</v>
      </c>
      <c r="C164" s="68"/>
      <c r="D164" s="68"/>
      <c r="E164" s="68" t="s">
        <v>898</v>
      </c>
    </row>
    <row r="165" spans="2:5" x14ac:dyDescent="0.3">
      <c r="B165" s="68" t="s">
        <v>158</v>
      </c>
      <c r="C165" s="68"/>
      <c r="D165" s="68"/>
      <c r="E165" s="68"/>
    </row>
    <row r="166" spans="2:5" x14ac:dyDescent="0.3">
      <c r="B166" s="68" t="s">
        <v>162</v>
      </c>
      <c r="C166" s="68"/>
      <c r="D166" s="68"/>
      <c r="E166" s="68"/>
    </row>
    <row r="167" spans="2:5" x14ac:dyDescent="0.3">
      <c r="B167" s="68" t="s">
        <v>167</v>
      </c>
      <c r="C167" s="68"/>
      <c r="D167" s="68"/>
      <c r="E167" s="68"/>
    </row>
    <row r="168" spans="2:5" x14ac:dyDescent="0.3">
      <c r="B168" s="68" t="s">
        <v>171</v>
      </c>
      <c r="C168" s="68"/>
      <c r="D168" s="68"/>
      <c r="E168" s="68"/>
    </row>
    <row r="169" spans="2:5" x14ac:dyDescent="0.3">
      <c r="B169" s="68" t="s">
        <v>655</v>
      </c>
      <c r="C169" s="68"/>
      <c r="D169" s="68"/>
      <c r="E169" s="68"/>
    </row>
    <row r="170" spans="2:5" x14ac:dyDescent="0.3">
      <c r="B170" s="68" t="s">
        <v>656</v>
      </c>
      <c r="C170" s="68"/>
      <c r="D170" s="68"/>
      <c r="E170" s="68"/>
    </row>
    <row r="171" spans="2:5" x14ac:dyDescent="0.3">
      <c r="B171" s="68" t="s">
        <v>657</v>
      </c>
      <c r="C171" s="68"/>
      <c r="D171" s="68"/>
      <c r="E171" s="68"/>
    </row>
    <row r="172" spans="2:5" x14ac:dyDescent="0.3">
      <c r="B172" s="68" t="s">
        <v>90</v>
      </c>
      <c r="C172" s="68"/>
      <c r="D172" s="68"/>
      <c r="E172" s="68"/>
    </row>
    <row r="173" spans="2:5" x14ac:dyDescent="0.3">
      <c r="B173" s="68" t="s">
        <v>659</v>
      </c>
      <c r="C173" s="68"/>
      <c r="D173" s="68"/>
      <c r="E173" s="68"/>
    </row>
    <row r="174" spans="2:5" x14ac:dyDescent="0.3">
      <c r="B174" s="68" t="s">
        <v>658</v>
      </c>
      <c r="C174" s="68"/>
      <c r="D174" s="68"/>
      <c r="E174" s="68"/>
    </row>
    <row r="175" spans="2:5" x14ac:dyDescent="0.3">
      <c r="B175" s="68" t="s">
        <v>661</v>
      </c>
      <c r="C175" s="68"/>
      <c r="D175" s="68"/>
      <c r="E175" s="68"/>
    </row>
    <row r="176" spans="2:5" x14ac:dyDescent="0.3">
      <c r="B176" s="68" t="s">
        <v>72</v>
      </c>
      <c r="C176" s="68"/>
      <c r="D176" s="68"/>
      <c r="E176" s="68"/>
    </row>
    <row r="177" spans="2:5" x14ac:dyDescent="0.3">
      <c r="B177" s="68" t="s">
        <v>46</v>
      </c>
      <c r="C177" s="68"/>
      <c r="D177" s="68"/>
      <c r="E177" s="68"/>
    </row>
    <row r="178" spans="2:5" x14ac:dyDescent="0.3">
      <c r="B178" s="68" t="s">
        <v>180</v>
      </c>
      <c r="C178" s="68"/>
      <c r="D178" s="68"/>
      <c r="E178" s="68"/>
    </row>
    <row r="179" spans="2:5" x14ac:dyDescent="0.3">
      <c r="B179" s="68" t="s">
        <v>654</v>
      </c>
      <c r="C179" s="68"/>
      <c r="D179" s="68"/>
      <c r="E179" s="68"/>
    </row>
    <row r="180" spans="2:5" x14ac:dyDescent="0.3">
      <c r="B180" s="68" t="s">
        <v>185</v>
      </c>
      <c r="C180" s="68"/>
      <c r="D180" s="68"/>
      <c r="E180" s="68"/>
    </row>
    <row r="181" spans="2:5" x14ac:dyDescent="0.3">
      <c r="B181" s="68" t="s">
        <v>189</v>
      </c>
      <c r="C181" s="68"/>
      <c r="D181" s="68"/>
      <c r="E181" s="68"/>
    </row>
    <row r="182" spans="2:5" x14ac:dyDescent="0.3">
      <c r="B182" s="68" t="s">
        <v>192</v>
      </c>
      <c r="C182" s="68"/>
      <c r="D182" s="68"/>
      <c r="E182" s="68"/>
    </row>
    <row r="183" spans="2:5" x14ac:dyDescent="0.3">
      <c r="B183" s="68" t="s">
        <v>195</v>
      </c>
      <c r="C183" s="68"/>
      <c r="D183" s="68"/>
      <c r="E183" s="68"/>
    </row>
    <row r="184" spans="2:5" x14ac:dyDescent="0.3">
      <c r="B184" s="68" t="s">
        <v>198</v>
      </c>
      <c r="C184" s="68"/>
      <c r="D184" s="68"/>
      <c r="E184" s="68"/>
    </row>
    <row r="185" spans="2:5" x14ac:dyDescent="0.3">
      <c r="B185" s="68" t="s">
        <v>201</v>
      </c>
      <c r="C185" s="68"/>
      <c r="D185" s="68"/>
      <c r="E185" s="68"/>
    </row>
    <row r="186" spans="2:5" x14ac:dyDescent="0.3">
      <c r="B186" s="68" t="s">
        <v>164</v>
      </c>
      <c r="C186" s="68"/>
      <c r="D186" s="68"/>
      <c r="E186" s="68"/>
    </row>
    <row r="187" spans="2:5" x14ac:dyDescent="0.3">
      <c r="B187" s="68" t="s">
        <v>206</v>
      </c>
      <c r="C187" s="68"/>
      <c r="D187" s="68"/>
      <c r="E187" s="68"/>
    </row>
    <row r="188" spans="2:5" x14ac:dyDescent="0.3">
      <c r="B188" s="68" t="s">
        <v>209</v>
      </c>
      <c r="C188" s="68"/>
      <c r="D188" s="68"/>
      <c r="E188" s="68"/>
    </row>
    <row r="189" spans="2:5" x14ac:dyDescent="0.3">
      <c r="B189" s="68" t="s">
        <v>212</v>
      </c>
      <c r="C189" s="68"/>
      <c r="D189" s="68"/>
      <c r="E189" s="68"/>
    </row>
    <row r="190" spans="2:5" x14ac:dyDescent="0.3">
      <c r="B190" s="68" t="s">
        <v>215</v>
      </c>
      <c r="C190" s="68"/>
      <c r="D190" s="68"/>
      <c r="E190" s="68"/>
    </row>
    <row r="191" spans="2:5" x14ac:dyDescent="0.3">
      <c r="B191" s="68" t="s">
        <v>217</v>
      </c>
      <c r="C191" s="68"/>
      <c r="D191" s="68"/>
      <c r="E191" s="68"/>
    </row>
    <row r="192" spans="2:5" x14ac:dyDescent="0.3">
      <c r="B192" s="68" t="s">
        <v>221</v>
      </c>
      <c r="C192" s="68"/>
      <c r="D192" s="68"/>
      <c r="E192" s="68"/>
    </row>
    <row r="193" spans="2:5" x14ac:dyDescent="0.3">
      <c r="B193" s="68" t="s">
        <v>224</v>
      </c>
      <c r="C193" s="68"/>
      <c r="D193" s="68"/>
      <c r="E193" s="68"/>
    </row>
    <row r="194" spans="2:5" x14ac:dyDescent="0.3">
      <c r="B194" s="68" t="s">
        <v>226</v>
      </c>
      <c r="C194" s="68"/>
      <c r="D194" s="68"/>
      <c r="E194" s="68"/>
    </row>
    <row r="195" spans="2:5" x14ac:dyDescent="0.3">
      <c r="B195" s="68" t="s">
        <v>228</v>
      </c>
      <c r="C195" s="68"/>
      <c r="D195" s="68"/>
      <c r="E195" s="68"/>
    </row>
    <row r="196" spans="2:5" x14ac:dyDescent="0.3">
      <c r="B196" s="68" t="s">
        <v>230</v>
      </c>
      <c r="C196" s="68"/>
      <c r="D196" s="68"/>
      <c r="E196" s="68"/>
    </row>
    <row r="197" spans="2:5" x14ac:dyDescent="0.3">
      <c r="B197" s="68" t="s">
        <v>232</v>
      </c>
      <c r="C197" s="68"/>
      <c r="D197" s="68"/>
      <c r="E197" s="68"/>
    </row>
    <row r="198" spans="2:5" x14ac:dyDescent="0.3">
      <c r="B198" s="68" t="s">
        <v>233</v>
      </c>
      <c r="C198" s="68"/>
      <c r="D198" s="68"/>
      <c r="E198" s="68"/>
    </row>
    <row r="199" spans="2:5" x14ac:dyDescent="0.3">
      <c r="B199" s="68" t="s">
        <v>234</v>
      </c>
      <c r="C199" s="68"/>
      <c r="D199" s="68"/>
      <c r="E199" s="68"/>
    </row>
    <row r="200" spans="2:5" x14ac:dyDescent="0.3">
      <c r="B200" s="68"/>
      <c r="C200" s="68"/>
      <c r="D200" s="68"/>
      <c r="E200" s="68"/>
    </row>
    <row r="201" spans="2:5" x14ac:dyDescent="0.3">
      <c r="B201" s="68"/>
      <c r="C201" s="68"/>
      <c r="D201" s="68"/>
      <c r="E201" s="68"/>
    </row>
    <row r="202" spans="2:5" x14ac:dyDescent="0.3">
      <c r="B202" s="68"/>
      <c r="C202" s="68"/>
      <c r="D202" s="68"/>
      <c r="E202" s="68"/>
    </row>
    <row r="203" spans="2:5" x14ac:dyDescent="0.3">
      <c r="B203" s="68"/>
      <c r="C203" s="68"/>
      <c r="D203" s="68"/>
      <c r="E203" s="68"/>
    </row>
    <row r="204" spans="2:5" x14ac:dyDescent="0.3">
      <c r="B204" s="68"/>
      <c r="C204" s="68"/>
      <c r="D204" s="68"/>
      <c r="E204" s="68"/>
    </row>
    <row r="205" spans="2:5" x14ac:dyDescent="0.3">
      <c r="B205" s="68"/>
      <c r="C205" s="68"/>
      <c r="D205" s="68"/>
      <c r="E205" s="68"/>
    </row>
    <row r="206" spans="2:5" x14ac:dyDescent="0.3">
      <c r="B206" s="68"/>
      <c r="C206" s="68"/>
      <c r="D206" s="68"/>
      <c r="E206" s="68"/>
    </row>
    <row r="207" spans="2:5" x14ac:dyDescent="0.3">
      <c r="B207" s="68"/>
      <c r="C207" s="68"/>
      <c r="D207" s="68"/>
      <c r="E207" s="68"/>
    </row>
    <row r="208" spans="2:5" x14ac:dyDescent="0.3">
      <c r="B208" s="68"/>
      <c r="C208" s="68"/>
      <c r="D208" s="68"/>
      <c r="E208" s="68"/>
    </row>
    <row r="209" spans="2:5" x14ac:dyDescent="0.3">
      <c r="B209" s="68"/>
      <c r="C209" s="68"/>
      <c r="D209" s="68"/>
      <c r="E209" s="68"/>
    </row>
    <row r="210" spans="2:5" x14ac:dyDescent="0.3">
      <c r="B210" s="68"/>
      <c r="C210" s="68"/>
      <c r="D210" s="68"/>
      <c r="E210" s="68"/>
    </row>
    <row r="211" spans="2:5" x14ac:dyDescent="0.3">
      <c r="B211" s="68"/>
      <c r="C211" s="68"/>
      <c r="D211" s="68"/>
      <c r="E211" s="68"/>
    </row>
    <row r="212" spans="2:5" x14ac:dyDescent="0.3">
      <c r="B212" s="68"/>
      <c r="C212" s="68"/>
      <c r="D212" s="68"/>
      <c r="E212" s="68"/>
    </row>
    <row r="213" spans="2:5" x14ac:dyDescent="0.3">
      <c r="B213" s="68"/>
      <c r="C213" s="68"/>
      <c r="D213" s="68"/>
      <c r="E213" s="68"/>
    </row>
    <row r="214" spans="2:5" x14ac:dyDescent="0.3">
      <c r="B214" s="68"/>
      <c r="C214" s="68"/>
      <c r="D214" s="68"/>
      <c r="E214" s="68"/>
    </row>
    <row r="215" spans="2:5" x14ac:dyDescent="0.3">
      <c r="B215" s="68"/>
      <c r="C215" s="68"/>
      <c r="D215" s="68"/>
      <c r="E215" s="68"/>
    </row>
    <row r="216" spans="2:5" x14ac:dyDescent="0.3">
      <c r="B216" s="68"/>
      <c r="C216" s="68"/>
      <c r="D216" s="68"/>
      <c r="E216" s="68"/>
    </row>
    <row r="217" spans="2:5" x14ac:dyDescent="0.3">
      <c r="B217" s="68"/>
      <c r="C217" s="68"/>
      <c r="D217" s="68"/>
      <c r="E217" s="68"/>
    </row>
    <row r="218" spans="2:5" x14ac:dyDescent="0.3">
      <c r="B218" s="68"/>
      <c r="C218" s="68"/>
      <c r="D218" s="68"/>
      <c r="E218" s="68"/>
    </row>
    <row r="219" spans="2:5" x14ac:dyDescent="0.3">
      <c r="B219" s="68"/>
      <c r="C219" s="68"/>
      <c r="D219" s="68"/>
      <c r="E219" s="68"/>
    </row>
    <row r="545" spans="2:13" ht="26.25" x14ac:dyDescent="0.4">
      <c r="B545" s="397" t="s">
        <v>872</v>
      </c>
      <c r="C545" s="397"/>
      <c r="D545" s="397"/>
      <c r="E545" s="397"/>
      <c r="F545" s="397"/>
      <c r="G545" s="397"/>
      <c r="H545" s="397"/>
      <c r="I545" s="397"/>
      <c r="J545" s="397"/>
    </row>
    <row r="546" spans="2:13" ht="30" x14ac:dyDescent="0.3">
      <c r="B546" s="354" t="s">
        <v>721</v>
      </c>
      <c r="C546" s="354" t="s">
        <v>722</v>
      </c>
      <c r="D546" s="354" t="s">
        <v>723</v>
      </c>
      <c r="E546" s="354" t="s">
        <v>237</v>
      </c>
      <c r="F546" s="354" t="s">
        <v>3</v>
      </c>
      <c r="G546" s="354" t="s">
        <v>238</v>
      </c>
      <c r="H546" s="354" t="s">
        <v>239</v>
      </c>
      <c r="I546" s="354" t="s">
        <v>240</v>
      </c>
      <c r="J546" s="354" t="s">
        <v>241</v>
      </c>
      <c r="L546" s="339" t="s">
        <v>873</v>
      </c>
      <c r="M546" s="339" t="s">
        <v>874</v>
      </c>
    </row>
    <row r="547" spans="2:13" x14ac:dyDescent="0.3">
      <c r="B547" s="76" t="s">
        <v>870</v>
      </c>
      <c r="C547" s="76" t="s">
        <v>880</v>
      </c>
      <c r="D547" s="76" t="s">
        <v>877</v>
      </c>
      <c r="E547" s="76" t="s">
        <v>726</v>
      </c>
      <c r="F547" s="76" t="s">
        <v>877</v>
      </c>
      <c r="G547" s="355">
        <v>150</v>
      </c>
      <c r="H547" s="355" t="s">
        <v>878</v>
      </c>
      <c r="I547" s="78"/>
      <c r="J547" s="76"/>
      <c r="L547" s="339"/>
      <c r="M547" s="339"/>
    </row>
    <row r="548" spans="2:13" x14ac:dyDescent="0.3">
      <c r="B548" s="76" t="s">
        <v>926</v>
      </c>
      <c r="C548" s="76" t="s">
        <v>880</v>
      </c>
      <c r="D548" s="76" t="s">
        <v>877</v>
      </c>
      <c r="E548" s="76" t="s">
        <v>726</v>
      </c>
      <c r="F548" s="76" t="s">
        <v>877</v>
      </c>
      <c r="G548" s="355">
        <v>150</v>
      </c>
      <c r="H548" s="355" t="s">
        <v>878</v>
      </c>
      <c r="I548" s="78"/>
      <c r="J548" s="76"/>
      <c r="L548" s="339"/>
      <c r="M548" s="339"/>
    </row>
    <row r="549" spans="2:13" ht="28.5" x14ac:dyDescent="0.3">
      <c r="B549" s="76" t="s">
        <v>879</v>
      </c>
      <c r="C549" s="76" t="s">
        <v>880</v>
      </c>
      <c r="D549" s="76" t="s">
        <v>877</v>
      </c>
      <c r="E549" s="76" t="s">
        <v>726</v>
      </c>
      <c r="F549" s="76" t="s">
        <v>877</v>
      </c>
      <c r="G549" s="355">
        <v>30</v>
      </c>
      <c r="H549" s="355" t="s">
        <v>878</v>
      </c>
      <c r="I549" s="78"/>
      <c r="J549" s="76"/>
      <c r="L549" s="339"/>
      <c r="M549" s="339"/>
    </row>
    <row r="550" spans="2:13" ht="28.5" x14ac:dyDescent="0.3">
      <c r="B550" s="76" t="s">
        <v>881</v>
      </c>
      <c r="C550" s="76" t="s">
        <v>880</v>
      </c>
      <c r="D550" s="76" t="s">
        <v>877</v>
      </c>
      <c r="E550" s="76" t="s">
        <v>726</v>
      </c>
      <c r="F550" s="76" t="s">
        <v>877</v>
      </c>
      <c r="G550" s="355">
        <v>30</v>
      </c>
      <c r="H550" s="355" t="s">
        <v>878</v>
      </c>
      <c r="I550" s="78"/>
      <c r="J550" s="76"/>
      <c r="L550" s="339"/>
      <c r="M550" s="339"/>
    </row>
    <row r="551" spans="2:13" x14ac:dyDescent="0.3">
      <c r="B551" s="76" t="s">
        <v>916</v>
      </c>
      <c r="C551" s="76" t="s">
        <v>883</v>
      </c>
      <c r="D551" s="76" t="s">
        <v>877</v>
      </c>
      <c r="E551" s="76"/>
      <c r="F551" s="76" t="s">
        <v>877</v>
      </c>
      <c r="G551" s="355">
        <v>0</v>
      </c>
      <c r="H551" s="355" t="s">
        <v>26</v>
      </c>
      <c r="I551" s="78"/>
      <c r="J551" s="76"/>
      <c r="L551" s="339"/>
      <c r="M551" s="339"/>
    </row>
    <row r="552" spans="2:13" x14ac:dyDescent="0.3">
      <c r="B552" s="76" t="s">
        <v>882</v>
      </c>
      <c r="C552" s="76" t="s">
        <v>883</v>
      </c>
      <c r="D552" s="76" t="s">
        <v>877</v>
      </c>
      <c r="E552" s="76"/>
      <c r="F552" s="76" t="s">
        <v>877</v>
      </c>
      <c r="G552" s="355"/>
      <c r="H552" s="355" t="s">
        <v>26</v>
      </c>
    </row>
    <row r="553" spans="2:13" x14ac:dyDescent="0.3">
      <c r="B553" s="76"/>
      <c r="C553" s="76"/>
      <c r="D553" s="76"/>
      <c r="E553" s="76"/>
      <c r="F553" s="76"/>
      <c r="G553" s="355"/>
      <c r="H553" s="355"/>
      <c r="I553" s="78"/>
      <c r="J553" s="76"/>
      <c r="L553" s="339"/>
      <c r="M553" s="339"/>
    </row>
    <row r="554" spans="2:13" x14ac:dyDescent="0.3">
      <c r="B554" s="76" t="s">
        <v>724</v>
      </c>
      <c r="C554" s="76" t="s">
        <v>725</v>
      </c>
      <c r="D554" s="76"/>
      <c r="E554" s="76" t="s">
        <v>726</v>
      </c>
      <c r="F554" s="76" t="s">
        <v>153</v>
      </c>
      <c r="G554" s="355">
        <v>38</v>
      </c>
      <c r="H554" s="355" t="s">
        <v>18</v>
      </c>
      <c r="I554" s="78"/>
      <c r="J554" s="76"/>
      <c r="L554" s="339" t="s">
        <v>875</v>
      </c>
      <c r="M554" s="356">
        <v>0</v>
      </c>
    </row>
    <row r="555" spans="2:13" x14ac:dyDescent="0.3">
      <c r="B555" s="76" t="s">
        <v>727</v>
      </c>
      <c r="C555" s="76" t="s">
        <v>725</v>
      </c>
      <c r="D555" s="76"/>
      <c r="E555" s="76" t="s">
        <v>726</v>
      </c>
      <c r="F555" s="76" t="s">
        <v>153</v>
      </c>
      <c r="G555" s="355">
        <v>38</v>
      </c>
      <c r="H555" s="355" t="s">
        <v>18</v>
      </c>
      <c r="I555" s="78"/>
      <c r="J555" s="76"/>
      <c r="L555" s="339" t="s">
        <v>876</v>
      </c>
      <c r="M555" s="356">
        <v>0</v>
      </c>
    </row>
    <row r="556" spans="2:13" x14ac:dyDescent="0.3">
      <c r="B556" s="76" t="s">
        <v>728</v>
      </c>
      <c r="C556" s="76" t="s">
        <v>725</v>
      </c>
      <c r="D556" s="76"/>
      <c r="E556" s="76" t="s">
        <v>726</v>
      </c>
      <c r="F556" s="76" t="s">
        <v>153</v>
      </c>
      <c r="G556" s="355">
        <v>38</v>
      </c>
      <c r="H556" s="355" t="s">
        <v>18</v>
      </c>
      <c r="I556" s="78"/>
      <c r="J556" s="76"/>
      <c r="L556" s="339" t="s">
        <v>153</v>
      </c>
      <c r="M556" s="356">
        <v>38</v>
      </c>
    </row>
    <row r="557" spans="2:13" x14ac:dyDescent="0.3">
      <c r="B557" s="76" t="s">
        <v>729</v>
      </c>
      <c r="C557" s="76" t="s">
        <v>725</v>
      </c>
      <c r="D557" s="76"/>
      <c r="E557" s="76" t="s">
        <v>726</v>
      </c>
      <c r="F557" s="76" t="s">
        <v>153</v>
      </c>
      <c r="G557" s="355">
        <v>38</v>
      </c>
      <c r="H557" s="355" t="s">
        <v>18</v>
      </c>
      <c r="I557" s="78"/>
      <c r="J557" s="76"/>
      <c r="L557" s="339" t="s">
        <v>17</v>
      </c>
      <c r="M557" s="356">
        <v>45</v>
      </c>
    </row>
    <row r="558" spans="2:13" x14ac:dyDescent="0.3">
      <c r="B558" s="76" t="s">
        <v>730</v>
      </c>
      <c r="C558" s="76" t="s">
        <v>725</v>
      </c>
      <c r="D558" s="76"/>
      <c r="E558" s="76" t="s">
        <v>726</v>
      </c>
      <c r="F558" s="76" t="s">
        <v>17</v>
      </c>
      <c r="G558" s="355">
        <v>45</v>
      </c>
      <c r="H558" s="355" t="s">
        <v>18</v>
      </c>
      <c r="I558" s="78"/>
      <c r="J558" s="76"/>
      <c r="L558" s="339" t="s">
        <v>163</v>
      </c>
      <c r="M558" s="356">
        <v>52</v>
      </c>
    </row>
    <row r="559" spans="2:13" ht="42.75" x14ac:dyDescent="0.3">
      <c r="B559" s="76" t="s">
        <v>731</v>
      </c>
      <c r="C559" s="76" t="s">
        <v>725</v>
      </c>
      <c r="D559" s="76"/>
      <c r="E559" s="76" t="s">
        <v>726</v>
      </c>
      <c r="F559" s="76" t="s">
        <v>17</v>
      </c>
      <c r="G559" s="355">
        <v>45</v>
      </c>
      <c r="H559" s="355" t="s">
        <v>18</v>
      </c>
      <c r="I559" s="78"/>
      <c r="J559" s="76"/>
      <c r="L559" s="339" t="s">
        <v>19</v>
      </c>
      <c r="M559" s="356">
        <v>59</v>
      </c>
    </row>
    <row r="560" spans="2:13" ht="42.75" x14ac:dyDescent="0.3">
      <c r="B560" s="76" t="s">
        <v>732</v>
      </c>
      <c r="C560" s="76" t="s">
        <v>733</v>
      </c>
      <c r="D560" s="76"/>
      <c r="E560" s="76" t="s">
        <v>726</v>
      </c>
      <c r="F560" s="76" t="s">
        <v>17</v>
      </c>
      <c r="G560" s="355">
        <v>45</v>
      </c>
      <c r="H560" s="355" t="s">
        <v>18</v>
      </c>
      <c r="I560" s="78"/>
      <c r="J560" s="76"/>
      <c r="L560" s="339" t="s">
        <v>172</v>
      </c>
      <c r="M560" s="356">
        <v>66</v>
      </c>
    </row>
    <row r="561" spans="2:13" ht="28.5" x14ac:dyDescent="0.3">
      <c r="B561" s="76" t="s">
        <v>734</v>
      </c>
      <c r="C561" s="76" t="s">
        <v>725</v>
      </c>
      <c r="D561" s="76"/>
      <c r="E561" s="76" t="s">
        <v>726</v>
      </c>
      <c r="F561" s="76" t="s">
        <v>17</v>
      </c>
      <c r="G561" s="355">
        <v>45</v>
      </c>
      <c r="H561" s="355" t="s">
        <v>18</v>
      </c>
      <c r="I561" s="78"/>
      <c r="J561" s="76"/>
      <c r="L561" s="339" t="s">
        <v>176</v>
      </c>
      <c r="M561" s="356">
        <v>73</v>
      </c>
    </row>
    <row r="562" spans="2:13" x14ac:dyDescent="0.3">
      <c r="B562" s="76" t="s">
        <v>735</v>
      </c>
      <c r="C562" s="76" t="s">
        <v>736</v>
      </c>
      <c r="D562" s="76" t="s">
        <v>737</v>
      </c>
      <c r="E562" s="76" t="s">
        <v>726</v>
      </c>
      <c r="F562" s="76" t="s">
        <v>17</v>
      </c>
      <c r="G562" s="355">
        <v>45</v>
      </c>
      <c r="H562" s="355" t="s">
        <v>18</v>
      </c>
      <c r="I562" s="78"/>
      <c r="J562" s="76"/>
      <c r="L562" s="339" t="s">
        <v>181</v>
      </c>
      <c r="M562" s="356">
        <v>80</v>
      </c>
    </row>
    <row r="563" spans="2:13" x14ac:dyDescent="0.3">
      <c r="B563" s="76" t="s">
        <v>738</v>
      </c>
      <c r="C563" s="76" t="s">
        <v>736</v>
      </c>
      <c r="D563" s="76" t="s">
        <v>739</v>
      </c>
      <c r="E563" s="76" t="s">
        <v>726</v>
      </c>
      <c r="F563" s="76" t="s">
        <v>17</v>
      </c>
      <c r="G563" s="355">
        <v>45</v>
      </c>
      <c r="H563" s="355" t="s">
        <v>18</v>
      </c>
      <c r="I563" s="78"/>
      <c r="J563" s="76"/>
      <c r="L563" s="339" t="s">
        <v>186</v>
      </c>
      <c r="M563" s="356">
        <v>87</v>
      </c>
    </row>
    <row r="564" spans="2:13" x14ac:dyDescent="0.3">
      <c r="B564" s="76" t="s">
        <v>740</v>
      </c>
      <c r="C564" s="76" t="s">
        <v>736</v>
      </c>
      <c r="D564" s="76" t="s">
        <v>737</v>
      </c>
      <c r="E564" s="76" t="s">
        <v>726</v>
      </c>
      <c r="F564" s="76" t="s">
        <v>17</v>
      </c>
      <c r="G564" s="355">
        <v>45</v>
      </c>
      <c r="H564" s="355" t="s">
        <v>18</v>
      </c>
      <c r="I564" s="78"/>
      <c r="J564" s="76"/>
      <c r="L564" s="339" t="s">
        <v>190</v>
      </c>
      <c r="M564" s="356">
        <v>94</v>
      </c>
    </row>
    <row r="565" spans="2:13" ht="28.5" x14ac:dyDescent="0.3">
      <c r="B565" s="76" t="s">
        <v>741</v>
      </c>
      <c r="C565" s="76" t="s">
        <v>736</v>
      </c>
      <c r="D565" s="76" t="s">
        <v>737</v>
      </c>
      <c r="E565" s="76" t="s">
        <v>726</v>
      </c>
      <c r="F565" s="76" t="s">
        <v>17</v>
      </c>
      <c r="G565" s="355">
        <v>45</v>
      </c>
      <c r="H565" s="355" t="s">
        <v>18</v>
      </c>
      <c r="I565" s="78"/>
      <c r="J565" s="76"/>
      <c r="L565" s="339" t="s">
        <v>193</v>
      </c>
      <c r="M565" s="356">
        <v>101</v>
      </c>
    </row>
    <row r="566" spans="2:13" ht="28.5" x14ac:dyDescent="0.3">
      <c r="B566" s="76" t="s">
        <v>742</v>
      </c>
      <c r="C566" s="76" t="s">
        <v>736</v>
      </c>
      <c r="D566" s="76" t="s">
        <v>737</v>
      </c>
      <c r="E566" s="76" t="s">
        <v>726</v>
      </c>
      <c r="F566" s="76" t="s">
        <v>17</v>
      </c>
      <c r="G566" s="355">
        <v>45</v>
      </c>
      <c r="H566" s="355" t="s">
        <v>18</v>
      </c>
      <c r="I566" s="78"/>
      <c r="J566" s="76"/>
      <c r="L566" s="339" t="s">
        <v>196</v>
      </c>
      <c r="M566" s="356">
        <v>108</v>
      </c>
    </row>
    <row r="567" spans="2:13" x14ac:dyDescent="0.3">
      <c r="B567" s="76" t="s">
        <v>743</v>
      </c>
      <c r="C567" s="76" t="s">
        <v>736</v>
      </c>
      <c r="D567" s="76" t="s">
        <v>744</v>
      </c>
      <c r="E567" s="76" t="s">
        <v>726</v>
      </c>
      <c r="F567" s="76" t="s">
        <v>17</v>
      </c>
      <c r="G567" s="355">
        <v>45</v>
      </c>
      <c r="H567" s="355" t="s">
        <v>18</v>
      </c>
      <c r="I567" s="78"/>
      <c r="J567" s="76"/>
      <c r="L567" s="339" t="s">
        <v>199</v>
      </c>
      <c r="M567" s="356">
        <v>115</v>
      </c>
    </row>
    <row r="568" spans="2:13" ht="28.5" x14ac:dyDescent="0.3">
      <c r="B568" s="76" t="s">
        <v>745</v>
      </c>
      <c r="C568" s="76" t="s">
        <v>736</v>
      </c>
      <c r="D568" s="76" t="s">
        <v>739</v>
      </c>
      <c r="E568" s="76" t="s">
        <v>726</v>
      </c>
      <c r="F568" s="76" t="s">
        <v>17</v>
      </c>
      <c r="G568" s="355">
        <v>45</v>
      </c>
      <c r="H568" s="355" t="s">
        <v>18</v>
      </c>
      <c r="I568" s="78"/>
      <c r="J568" s="76"/>
      <c r="L568" s="339" t="s">
        <v>202</v>
      </c>
      <c r="M568" s="356">
        <v>122</v>
      </c>
    </row>
    <row r="569" spans="2:13" ht="28.5" x14ac:dyDescent="0.3">
      <c r="B569" s="76" t="s">
        <v>746</v>
      </c>
      <c r="C569" s="76" t="s">
        <v>725</v>
      </c>
      <c r="D569" s="76"/>
      <c r="E569" s="76" t="s">
        <v>726</v>
      </c>
      <c r="F569" s="76" t="s">
        <v>163</v>
      </c>
      <c r="G569" s="355">
        <v>52</v>
      </c>
      <c r="H569" s="355" t="s">
        <v>18</v>
      </c>
      <c r="I569" s="78"/>
      <c r="J569" s="76"/>
      <c r="L569" s="339" t="s">
        <v>204</v>
      </c>
      <c r="M569" s="356">
        <v>129</v>
      </c>
    </row>
    <row r="570" spans="2:13" x14ac:dyDescent="0.3">
      <c r="B570" s="76" t="s">
        <v>747</v>
      </c>
      <c r="C570" s="76" t="s">
        <v>725</v>
      </c>
      <c r="D570" s="76"/>
      <c r="E570" s="76" t="s">
        <v>726</v>
      </c>
      <c r="F570" s="76" t="s">
        <v>163</v>
      </c>
      <c r="G570" s="355">
        <v>52</v>
      </c>
      <c r="H570" s="355" t="s">
        <v>18</v>
      </c>
      <c r="I570" s="78"/>
      <c r="J570" s="76"/>
      <c r="L570" s="339" t="s">
        <v>207</v>
      </c>
      <c r="M570" s="356"/>
    </row>
    <row r="571" spans="2:13" x14ac:dyDescent="0.3">
      <c r="B571" s="76" t="s">
        <v>748</v>
      </c>
      <c r="C571" s="76" t="s">
        <v>725</v>
      </c>
      <c r="D571" s="76"/>
      <c r="E571" s="76" t="s">
        <v>726</v>
      </c>
      <c r="F571" s="76" t="s">
        <v>163</v>
      </c>
      <c r="G571" s="355">
        <v>52</v>
      </c>
      <c r="H571" s="355" t="s">
        <v>18</v>
      </c>
      <c r="I571" s="78"/>
      <c r="J571" s="76"/>
    </row>
    <row r="572" spans="2:13" ht="28.5" x14ac:dyDescent="0.3">
      <c r="B572" s="76" t="s">
        <v>749</v>
      </c>
      <c r="C572" s="76" t="s">
        <v>736</v>
      </c>
      <c r="D572" s="76" t="s">
        <v>737</v>
      </c>
      <c r="E572" s="76" t="s">
        <v>726</v>
      </c>
      <c r="F572" s="76" t="s">
        <v>163</v>
      </c>
      <c r="G572" s="355">
        <v>52</v>
      </c>
      <c r="H572" s="355" t="s">
        <v>18</v>
      </c>
      <c r="I572" s="78"/>
      <c r="J572" s="76"/>
    </row>
    <row r="573" spans="2:13" x14ac:dyDescent="0.3">
      <c r="B573" s="76" t="s">
        <v>750</v>
      </c>
      <c r="C573" s="76" t="s">
        <v>736</v>
      </c>
      <c r="D573" s="76" t="s">
        <v>739</v>
      </c>
      <c r="E573" s="76" t="s">
        <v>726</v>
      </c>
      <c r="F573" s="76" t="s">
        <v>163</v>
      </c>
      <c r="G573" s="355">
        <v>52</v>
      </c>
      <c r="H573" s="355" t="s">
        <v>18</v>
      </c>
      <c r="I573" s="78"/>
      <c r="J573" s="76"/>
    </row>
    <row r="574" spans="2:13" x14ac:dyDescent="0.3">
      <c r="B574" s="76" t="s">
        <v>751</v>
      </c>
      <c r="C574" s="76" t="s">
        <v>736</v>
      </c>
      <c r="D574" s="76" t="s">
        <v>739</v>
      </c>
      <c r="E574" s="76" t="s">
        <v>726</v>
      </c>
      <c r="F574" s="76" t="s">
        <v>163</v>
      </c>
      <c r="G574" s="355">
        <v>52</v>
      </c>
      <c r="H574" s="355" t="s">
        <v>18</v>
      </c>
      <c r="I574" s="78"/>
      <c r="J574" s="76"/>
    </row>
    <row r="575" spans="2:13" x14ac:dyDescent="0.3">
      <c r="B575" s="76" t="s">
        <v>752</v>
      </c>
      <c r="C575" s="76" t="s">
        <v>736</v>
      </c>
      <c r="D575" s="76" t="s">
        <v>737</v>
      </c>
      <c r="E575" s="76" t="s">
        <v>726</v>
      </c>
      <c r="F575" s="76" t="s">
        <v>163</v>
      </c>
      <c r="G575" s="355">
        <v>52</v>
      </c>
      <c r="H575" s="355" t="s">
        <v>18</v>
      </c>
      <c r="I575" s="78"/>
      <c r="J575" s="76"/>
    </row>
    <row r="576" spans="2:13" x14ac:dyDescent="0.3">
      <c r="B576" s="76" t="s">
        <v>753</v>
      </c>
      <c r="C576" s="76" t="s">
        <v>736</v>
      </c>
      <c r="D576" s="76" t="s">
        <v>754</v>
      </c>
      <c r="E576" s="76" t="s">
        <v>726</v>
      </c>
      <c r="F576" s="76" t="s">
        <v>163</v>
      </c>
      <c r="G576" s="355">
        <v>52</v>
      </c>
      <c r="H576" s="355" t="s">
        <v>18</v>
      </c>
      <c r="I576" s="78"/>
      <c r="J576" s="76"/>
    </row>
    <row r="577" spans="2:10" ht="28.5" x14ac:dyDescent="0.3">
      <c r="B577" s="76" t="s">
        <v>755</v>
      </c>
      <c r="C577" s="76" t="s">
        <v>736</v>
      </c>
      <c r="D577" s="76" t="s">
        <v>737</v>
      </c>
      <c r="E577" s="76" t="s">
        <v>726</v>
      </c>
      <c r="F577" s="76" t="s">
        <v>163</v>
      </c>
      <c r="G577" s="355">
        <v>52</v>
      </c>
      <c r="H577" s="355" t="s">
        <v>18</v>
      </c>
      <c r="I577" s="78"/>
      <c r="J577" s="76"/>
    </row>
    <row r="578" spans="2:10" ht="28.5" x14ac:dyDescent="0.3">
      <c r="B578" s="76" t="s">
        <v>756</v>
      </c>
      <c r="C578" s="76" t="s">
        <v>736</v>
      </c>
      <c r="D578" s="76" t="s">
        <v>737</v>
      </c>
      <c r="E578" s="76" t="s">
        <v>726</v>
      </c>
      <c r="F578" s="76" t="s">
        <v>163</v>
      </c>
      <c r="G578" s="355">
        <v>52</v>
      </c>
      <c r="H578" s="355" t="s">
        <v>18</v>
      </c>
      <c r="I578" s="78"/>
      <c r="J578" s="76"/>
    </row>
    <row r="579" spans="2:10" ht="28.5" x14ac:dyDescent="0.3">
      <c r="B579" s="76" t="s">
        <v>757</v>
      </c>
      <c r="C579" s="76" t="s">
        <v>736</v>
      </c>
      <c r="D579" s="76" t="s">
        <v>737</v>
      </c>
      <c r="E579" s="76" t="s">
        <v>726</v>
      </c>
      <c r="F579" s="76" t="s">
        <v>163</v>
      </c>
      <c r="G579" s="355">
        <v>52</v>
      </c>
      <c r="H579" s="355" t="s">
        <v>18</v>
      </c>
      <c r="I579" s="78"/>
      <c r="J579" s="76"/>
    </row>
    <row r="580" spans="2:10" ht="28.5" x14ac:dyDescent="0.3">
      <c r="B580" s="76" t="s">
        <v>758</v>
      </c>
      <c r="C580" s="76" t="s">
        <v>736</v>
      </c>
      <c r="D580" s="76" t="s">
        <v>737</v>
      </c>
      <c r="E580" s="76" t="s">
        <v>726</v>
      </c>
      <c r="F580" s="76" t="s">
        <v>163</v>
      </c>
      <c r="G580" s="355">
        <v>52</v>
      </c>
      <c r="H580" s="355" t="s">
        <v>18</v>
      </c>
      <c r="I580" s="78"/>
      <c r="J580" s="76"/>
    </row>
    <row r="581" spans="2:10" x14ac:dyDescent="0.3">
      <c r="B581" s="76" t="s">
        <v>759</v>
      </c>
      <c r="C581" s="76" t="s">
        <v>725</v>
      </c>
      <c r="D581" s="76"/>
      <c r="E581" s="76" t="s">
        <v>726</v>
      </c>
      <c r="F581" s="76" t="s">
        <v>19</v>
      </c>
      <c r="G581" s="355">
        <v>59</v>
      </c>
      <c r="H581" s="355" t="s">
        <v>18</v>
      </c>
      <c r="I581" s="78"/>
      <c r="J581" s="76"/>
    </row>
    <row r="582" spans="2:10" x14ac:dyDescent="0.3">
      <c r="B582" s="76" t="s">
        <v>760</v>
      </c>
      <c r="C582" s="76" t="s">
        <v>725</v>
      </c>
      <c r="D582" s="76"/>
      <c r="E582" s="76" t="s">
        <v>726</v>
      </c>
      <c r="F582" s="76" t="s">
        <v>19</v>
      </c>
      <c r="G582" s="355">
        <v>59</v>
      </c>
      <c r="H582" s="355" t="s">
        <v>18</v>
      </c>
      <c r="I582" s="78"/>
      <c r="J582" s="76"/>
    </row>
    <row r="583" spans="2:10" x14ac:dyDescent="0.3">
      <c r="B583" s="76" t="s">
        <v>761</v>
      </c>
      <c r="C583" s="76" t="s">
        <v>762</v>
      </c>
      <c r="D583" s="76"/>
      <c r="E583" s="76" t="s">
        <v>726</v>
      </c>
      <c r="F583" s="76" t="s">
        <v>19</v>
      </c>
      <c r="G583" s="355">
        <v>59</v>
      </c>
      <c r="H583" s="355" t="s">
        <v>18</v>
      </c>
      <c r="I583" s="78"/>
      <c r="J583" s="76"/>
    </row>
    <row r="584" spans="2:10" x14ac:dyDescent="0.3">
      <c r="B584" s="76" t="s">
        <v>763</v>
      </c>
      <c r="C584" s="76" t="s">
        <v>725</v>
      </c>
      <c r="D584" s="76"/>
      <c r="E584" s="76" t="s">
        <v>726</v>
      </c>
      <c r="F584" s="76" t="s">
        <v>19</v>
      </c>
      <c r="G584" s="355">
        <v>59</v>
      </c>
      <c r="H584" s="355" t="s">
        <v>18</v>
      </c>
      <c r="I584" s="78"/>
      <c r="J584" s="76"/>
    </row>
    <row r="585" spans="2:10" ht="28.5" x14ac:dyDescent="0.3">
      <c r="B585" s="76" t="s">
        <v>764</v>
      </c>
      <c r="C585" s="76" t="s">
        <v>736</v>
      </c>
      <c r="D585" s="76" t="s">
        <v>737</v>
      </c>
      <c r="E585" s="76" t="s">
        <v>726</v>
      </c>
      <c r="F585" s="76" t="s">
        <v>19</v>
      </c>
      <c r="G585" s="355">
        <v>59</v>
      </c>
      <c r="H585" s="355" t="s">
        <v>18</v>
      </c>
      <c r="I585" s="78"/>
      <c r="J585" s="76"/>
    </row>
    <row r="586" spans="2:10" x14ac:dyDescent="0.3">
      <c r="B586" s="76" t="s">
        <v>765</v>
      </c>
      <c r="C586" s="76" t="s">
        <v>736</v>
      </c>
      <c r="D586" s="76" t="s">
        <v>737</v>
      </c>
      <c r="E586" s="76" t="s">
        <v>726</v>
      </c>
      <c r="F586" s="76" t="s">
        <v>19</v>
      </c>
      <c r="G586" s="355">
        <v>59</v>
      </c>
      <c r="H586" s="355" t="s">
        <v>18</v>
      </c>
      <c r="I586" s="78"/>
      <c r="J586" s="76"/>
    </row>
    <row r="587" spans="2:10" ht="28.5" x14ac:dyDescent="0.3">
      <c r="B587" s="76" t="s">
        <v>766</v>
      </c>
      <c r="C587" s="76" t="s">
        <v>736</v>
      </c>
      <c r="D587" s="76" t="s">
        <v>767</v>
      </c>
      <c r="E587" s="76" t="s">
        <v>726</v>
      </c>
      <c r="F587" s="76" t="s">
        <v>19</v>
      </c>
      <c r="G587" s="355">
        <v>59</v>
      </c>
      <c r="H587" s="355" t="s">
        <v>18</v>
      </c>
      <c r="I587" s="78"/>
      <c r="J587" s="76"/>
    </row>
    <row r="588" spans="2:10" x14ac:dyDescent="0.3">
      <c r="B588" s="76" t="s">
        <v>768</v>
      </c>
      <c r="C588" s="76" t="s">
        <v>736</v>
      </c>
      <c r="D588" s="76" t="s">
        <v>739</v>
      </c>
      <c r="E588" s="76" t="s">
        <v>726</v>
      </c>
      <c r="F588" s="76" t="s">
        <v>19</v>
      </c>
      <c r="G588" s="355">
        <v>59</v>
      </c>
      <c r="H588" s="355" t="s">
        <v>18</v>
      </c>
      <c r="I588" s="78"/>
      <c r="J588" s="76"/>
    </row>
    <row r="589" spans="2:10" x14ac:dyDescent="0.3">
      <c r="B589" s="76" t="s">
        <v>769</v>
      </c>
      <c r="C589" s="76" t="s">
        <v>736</v>
      </c>
      <c r="D589" s="76" t="s">
        <v>770</v>
      </c>
      <c r="E589" s="76" t="s">
        <v>726</v>
      </c>
      <c r="F589" s="76" t="s">
        <v>19</v>
      </c>
      <c r="G589" s="355">
        <v>59</v>
      </c>
      <c r="H589" s="355" t="s">
        <v>18</v>
      </c>
      <c r="I589" s="78"/>
      <c r="J589" s="76"/>
    </row>
    <row r="590" spans="2:10" x14ac:dyDescent="0.3">
      <c r="B590" s="76" t="s">
        <v>771</v>
      </c>
      <c r="C590" s="76" t="s">
        <v>736</v>
      </c>
      <c r="D590" s="76" t="s">
        <v>770</v>
      </c>
      <c r="E590" s="76" t="s">
        <v>726</v>
      </c>
      <c r="F590" s="76" t="s">
        <v>19</v>
      </c>
      <c r="G590" s="355">
        <v>59</v>
      </c>
      <c r="H590" s="355" t="s">
        <v>18</v>
      </c>
      <c r="I590" s="78"/>
      <c r="J590" s="76"/>
    </row>
    <row r="591" spans="2:10" x14ac:dyDescent="0.3">
      <c r="B591" s="76" t="s">
        <v>772</v>
      </c>
      <c r="C591" s="76" t="s">
        <v>736</v>
      </c>
      <c r="D591" s="76" t="s">
        <v>770</v>
      </c>
      <c r="E591" s="76" t="s">
        <v>726</v>
      </c>
      <c r="F591" s="76" t="s">
        <v>19</v>
      </c>
      <c r="G591" s="355">
        <v>59</v>
      </c>
      <c r="H591" s="355" t="s">
        <v>18</v>
      </c>
      <c r="I591" s="78"/>
      <c r="J591" s="76"/>
    </row>
    <row r="592" spans="2:10" ht="99.75" x14ac:dyDescent="0.3">
      <c r="B592" s="76" t="s">
        <v>773</v>
      </c>
      <c r="C592" s="76"/>
      <c r="D592" s="76" t="s">
        <v>774</v>
      </c>
      <c r="E592" s="76" t="s">
        <v>726</v>
      </c>
      <c r="F592" s="76" t="s">
        <v>19</v>
      </c>
      <c r="G592" s="355">
        <v>59</v>
      </c>
      <c r="H592" s="355" t="s">
        <v>18</v>
      </c>
      <c r="I592" s="78"/>
      <c r="J592" s="76" t="s">
        <v>775</v>
      </c>
    </row>
    <row r="593" spans="2:10" x14ac:dyDescent="0.3">
      <c r="B593" s="76" t="s">
        <v>776</v>
      </c>
      <c r="C593" s="76" t="s">
        <v>736</v>
      </c>
      <c r="D593" s="76" t="s">
        <v>770</v>
      </c>
      <c r="E593" s="76" t="s">
        <v>726</v>
      </c>
      <c r="F593" s="76" t="s">
        <v>19</v>
      </c>
      <c r="G593" s="355">
        <v>59</v>
      </c>
      <c r="H593" s="355" t="s">
        <v>18</v>
      </c>
      <c r="I593" s="78"/>
      <c r="J593" s="76"/>
    </row>
    <row r="594" spans="2:10" ht="28.5" x14ac:dyDescent="0.3">
      <c r="B594" s="76" t="s">
        <v>777</v>
      </c>
      <c r="C594" s="76" t="s">
        <v>725</v>
      </c>
      <c r="D594" s="76"/>
      <c r="E594" s="76" t="s">
        <v>726</v>
      </c>
      <c r="F594" s="76" t="s">
        <v>172</v>
      </c>
      <c r="G594" s="355">
        <v>66</v>
      </c>
      <c r="H594" s="355" t="s">
        <v>18</v>
      </c>
      <c r="I594" s="78"/>
      <c r="J594" s="76"/>
    </row>
    <row r="595" spans="2:10" x14ac:dyDescent="0.3">
      <c r="B595" s="76" t="s">
        <v>778</v>
      </c>
      <c r="C595" s="76" t="s">
        <v>736</v>
      </c>
      <c r="D595" s="76" t="s">
        <v>779</v>
      </c>
      <c r="E595" s="76" t="s">
        <v>726</v>
      </c>
      <c r="F595" s="76" t="s">
        <v>172</v>
      </c>
      <c r="G595" s="355">
        <v>66</v>
      </c>
      <c r="H595" s="355" t="s">
        <v>18</v>
      </c>
      <c r="I595" s="78"/>
      <c r="J595" s="76"/>
    </row>
    <row r="596" spans="2:10" x14ac:dyDescent="0.3">
      <c r="B596" s="76" t="s">
        <v>780</v>
      </c>
      <c r="C596" s="76" t="s">
        <v>736</v>
      </c>
      <c r="D596" s="76" t="s">
        <v>739</v>
      </c>
      <c r="E596" s="76" t="s">
        <v>726</v>
      </c>
      <c r="F596" s="76" t="s">
        <v>172</v>
      </c>
      <c r="G596" s="355">
        <v>66</v>
      </c>
      <c r="H596" s="355" t="s">
        <v>18</v>
      </c>
      <c r="I596" s="78"/>
      <c r="J596" s="76"/>
    </row>
    <row r="597" spans="2:10" ht="28.5" x14ac:dyDescent="0.3">
      <c r="B597" s="76" t="s">
        <v>781</v>
      </c>
      <c r="C597" s="76" t="s">
        <v>736</v>
      </c>
      <c r="D597" s="76" t="s">
        <v>770</v>
      </c>
      <c r="E597" s="76" t="s">
        <v>726</v>
      </c>
      <c r="F597" s="76" t="s">
        <v>172</v>
      </c>
      <c r="G597" s="355">
        <v>66</v>
      </c>
      <c r="H597" s="355" t="s">
        <v>18</v>
      </c>
      <c r="I597" s="78"/>
      <c r="J597" s="76"/>
    </row>
    <row r="598" spans="2:10" ht="28.5" x14ac:dyDescent="0.3">
      <c r="B598" s="76" t="s">
        <v>782</v>
      </c>
      <c r="C598" s="76" t="s">
        <v>736</v>
      </c>
      <c r="D598" s="76" t="s">
        <v>737</v>
      </c>
      <c r="E598" s="76" t="s">
        <v>726</v>
      </c>
      <c r="F598" s="76" t="s">
        <v>172</v>
      </c>
      <c r="G598" s="355">
        <v>66</v>
      </c>
      <c r="H598" s="355" t="s">
        <v>18</v>
      </c>
      <c r="I598" s="78"/>
      <c r="J598" s="76"/>
    </row>
    <row r="599" spans="2:10" x14ac:dyDescent="0.3">
      <c r="B599" s="76" t="s">
        <v>783</v>
      </c>
      <c r="C599" s="76" t="s">
        <v>736</v>
      </c>
      <c r="D599" s="76" t="s">
        <v>784</v>
      </c>
      <c r="E599" s="76" t="s">
        <v>726</v>
      </c>
      <c r="F599" s="76" t="s">
        <v>172</v>
      </c>
      <c r="G599" s="355">
        <v>66</v>
      </c>
      <c r="H599" s="355" t="s">
        <v>18</v>
      </c>
      <c r="I599" s="78"/>
      <c r="J599" s="76"/>
    </row>
    <row r="600" spans="2:10" x14ac:dyDescent="0.3">
      <c r="B600" s="76" t="s">
        <v>785</v>
      </c>
      <c r="C600" s="76" t="s">
        <v>736</v>
      </c>
      <c r="D600" s="76" t="s">
        <v>739</v>
      </c>
      <c r="E600" s="76" t="s">
        <v>726</v>
      </c>
      <c r="F600" s="76" t="s">
        <v>172</v>
      </c>
      <c r="G600" s="355">
        <v>66</v>
      </c>
      <c r="H600" s="355" t="s">
        <v>18</v>
      </c>
      <c r="I600" s="78"/>
      <c r="J600" s="76"/>
    </row>
    <row r="601" spans="2:10" ht="28.5" x14ac:dyDescent="0.3">
      <c r="B601" s="76" t="s">
        <v>786</v>
      </c>
      <c r="C601" s="76" t="s">
        <v>736</v>
      </c>
      <c r="D601" s="76" t="s">
        <v>739</v>
      </c>
      <c r="E601" s="76" t="s">
        <v>726</v>
      </c>
      <c r="F601" s="76" t="s">
        <v>172</v>
      </c>
      <c r="G601" s="355">
        <v>66</v>
      </c>
      <c r="H601" s="355" t="s">
        <v>18</v>
      </c>
      <c r="I601" s="78"/>
      <c r="J601" s="76"/>
    </row>
    <row r="602" spans="2:10" x14ac:dyDescent="0.3">
      <c r="B602" s="76" t="s">
        <v>787</v>
      </c>
      <c r="C602" s="76" t="s">
        <v>736</v>
      </c>
      <c r="D602" s="76" t="s">
        <v>739</v>
      </c>
      <c r="E602" s="76" t="s">
        <v>726</v>
      </c>
      <c r="F602" s="76" t="s">
        <v>172</v>
      </c>
      <c r="G602" s="355">
        <v>66</v>
      </c>
      <c r="H602" s="355" t="s">
        <v>18</v>
      </c>
      <c r="I602" s="78"/>
      <c r="J602" s="76"/>
    </row>
    <row r="603" spans="2:10" x14ac:dyDescent="0.3">
      <c r="B603" s="76" t="s">
        <v>788</v>
      </c>
      <c r="C603" s="76" t="s">
        <v>736</v>
      </c>
      <c r="D603" s="76" t="s">
        <v>779</v>
      </c>
      <c r="E603" s="76" t="s">
        <v>726</v>
      </c>
      <c r="F603" s="76" t="s">
        <v>172</v>
      </c>
      <c r="G603" s="355">
        <v>66</v>
      </c>
      <c r="H603" s="355" t="s">
        <v>18</v>
      </c>
      <c r="I603" s="78"/>
      <c r="J603" s="76"/>
    </row>
    <row r="604" spans="2:10" ht="28.5" x14ac:dyDescent="0.3">
      <c r="B604" s="76" t="s">
        <v>789</v>
      </c>
      <c r="C604" s="76" t="s">
        <v>736</v>
      </c>
      <c r="D604" s="76" t="s">
        <v>739</v>
      </c>
      <c r="E604" s="76" t="s">
        <v>726</v>
      </c>
      <c r="F604" s="76" t="s">
        <v>172</v>
      </c>
      <c r="G604" s="355">
        <v>66</v>
      </c>
      <c r="H604" s="355" t="s">
        <v>18</v>
      </c>
      <c r="I604" s="78"/>
      <c r="J604" s="76"/>
    </row>
    <row r="605" spans="2:10" x14ac:dyDescent="0.3">
      <c r="B605" s="76" t="s">
        <v>790</v>
      </c>
      <c r="C605" s="76" t="s">
        <v>736</v>
      </c>
      <c r="D605" s="76" t="s">
        <v>791</v>
      </c>
      <c r="E605" s="76" t="s">
        <v>726</v>
      </c>
      <c r="F605" s="76" t="s">
        <v>172</v>
      </c>
      <c r="G605" s="355">
        <v>66</v>
      </c>
      <c r="H605" s="355" t="s">
        <v>18</v>
      </c>
      <c r="I605" s="78"/>
      <c r="J605" s="76"/>
    </row>
    <row r="606" spans="2:10" x14ac:dyDescent="0.3">
      <c r="B606" s="76" t="s">
        <v>792</v>
      </c>
      <c r="C606" s="76" t="s">
        <v>736</v>
      </c>
      <c r="D606" s="76" t="s">
        <v>791</v>
      </c>
      <c r="E606" s="76" t="s">
        <v>726</v>
      </c>
      <c r="F606" s="76" t="s">
        <v>172</v>
      </c>
      <c r="G606" s="355">
        <v>66</v>
      </c>
      <c r="H606" s="355" t="s">
        <v>18</v>
      </c>
      <c r="I606" s="78"/>
      <c r="J606" s="76"/>
    </row>
    <row r="607" spans="2:10" ht="28.5" x14ac:dyDescent="0.3">
      <c r="B607" s="76" t="s">
        <v>793</v>
      </c>
      <c r="C607" s="76" t="s">
        <v>725</v>
      </c>
      <c r="D607" s="76"/>
      <c r="E607" s="76" t="s">
        <v>726</v>
      </c>
      <c r="F607" s="76" t="s">
        <v>176</v>
      </c>
      <c r="G607" s="355">
        <v>73</v>
      </c>
      <c r="H607" s="355" t="s">
        <v>18</v>
      </c>
      <c r="I607" s="78"/>
      <c r="J607" s="76"/>
    </row>
    <row r="608" spans="2:10" ht="28.5" x14ac:dyDescent="0.3">
      <c r="B608" s="76" t="s">
        <v>794</v>
      </c>
      <c r="C608" s="76" t="s">
        <v>736</v>
      </c>
      <c r="D608" s="76" t="s">
        <v>795</v>
      </c>
      <c r="E608" s="76" t="s">
        <v>726</v>
      </c>
      <c r="F608" s="76" t="s">
        <v>176</v>
      </c>
      <c r="G608" s="355">
        <v>73</v>
      </c>
      <c r="H608" s="355" t="s">
        <v>18</v>
      </c>
      <c r="I608" s="78"/>
      <c r="J608" s="76"/>
    </row>
    <row r="609" spans="2:10" ht="28.5" x14ac:dyDescent="0.3">
      <c r="B609" s="76" t="s">
        <v>796</v>
      </c>
      <c r="C609" s="76" t="s">
        <v>736</v>
      </c>
      <c r="D609" s="76" t="s">
        <v>797</v>
      </c>
      <c r="E609" s="76" t="s">
        <v>726</v>
      </c>
      <c r="F609" s="76" t="s">
        <v>176</v>
      </c>
      <c r="G609" s="355">
        <v>73</v>
      </c>
      <c r="H609" s="355" t="s">
        <v>18</v>
      </c>
      <c r="I609" s="78"/>
      <c r="J609" s="76"/>
    </row>
    <row r="610" spans="2:10" ht="28.5" x14ac:dyDescent="0.3">
      <c r="B610" s="76" t="s">
        <v>798</v>
      </c>
      <c r="C610" s="76" t="s">
        <v>736</v>
      </c>
      <c r="D610" s="76" t="s">
        <v>737</v>
      </c>
      <c r="E610" s="76" t="s">
        <v>726</v>
      </c>
      <c r="F610" s="76" t="s">
        <v>176</v>
      </c>
      <c r="G610" s="355">
        <v>73</v>
      </c>
      <c r="H610" s="355" t="s">
        <v>18</v>
      </c>
      <c r="I610" s="78"/>
      <c r="J610" s="76"/>
    </row>
    <row r="611" spans="2:10" x14ac:dyDescent="0.3">
      <c r="B611" s="76" t="s">
        <v>799</v>
      </c>
      <c r="C611" s="76" t="s">
        <v>736</v>
      </c>
      <c r="D611" s="76" t="s">
        <v>800</v>
      </c>
      <c r="E611" s="76" t="s">
        <v>726</v>
      </c>
      <c r="F611" s="76" t="s">
        <v>176</v>
      </c>
      <c r="G611" s="355">
        <v>73</v>
      </c>
      <c r="H611" s="355" t="s">
        <v>18</v>
      </c>
      <c r="I611" s="78"/>
      <c r="J611" s="76"/>
    </row>
    <row r="612" spans="2:10" x14ac:dyDescent="0.3">
      <c r="B612" s="76" t="s">
        <v>801</v>
      </c>
      <c r="C612" s="76" t="s">
        <v>736</v>
      </c>
      <c r="D612" s="76" t="s">
        <v>800</v>
      </c>
      <c r="E612" s="76" t="s">
        <v>726</v>
      </c>
      <c r="F612" s="76" t="s">
        <v>176</v>
      </c>
      <c r="G612" s="355">
        <v>73</v>
      </c>
      <c r="H612" s="355" t="s">
        <v>18</v>
      </c>
      <c r="I612" s="78"/>
      <c r="J612" s="76"/>
    </row>
    <row r="613" spans="2:10" x14ac:dyDescent="0.3">
      <c r="B613" s="76" t="s">
        <v>802</v>
      </c>
      <c r="C613" s="76" t="s">
        <v>736</v>
      </c>
      <c r="D613" s="76" t="s">
        <v>754</v>
      </c>
      <c r="E613" s="76" t="s">
        <v>726</v>
      </c>
      <c r="F613" s="76" t="s">
        <v>176</v>
      </c>
      <c r="G613" s="355">
        <v>73</v>
      </c>
      <c r="H613" s="355" t="s">
        <v>18</v>
      </c>
      <c r="I613" s="78"/>
      <c r="J613" s="76"/>
    </row>
    <row r="614" spans="2:10" x14ac:dyDescent="0.3">
      <c r="B614" s="76" t="s">
        <v>803</v>
      </c>
      <c r="C614" s="76" t="s">
        <v>736</v>
      </c>
      <c r="D614" s="76" t="s">
        <v>739</v>
      </c>
      <c r="E614" s="76" t="s">
        <v>726</v>
      </c>
      <c r="F614" s="76" t="s">
        <v>176</v>
      </c>
      <c r="G614" s="355">
        <v>73</v>
      </c>
      <c r="H614" s="355" t="s">
        <v>18</v>
      </c>
      <c r="I614" s="78"/>
      <c r="J614" s="76"/>
    </row>
    <row r="615" spans="2:10" x14ac:dyDescent="0.3">
      <c r="B615" s="76" t="s">
        <v>804</v>
      </c>
      <c r="C615" s="76" t="s">
        <v>736</v>
      </c>
      <c r="D615" s="76" t="s">
        <v>770</v>
      </c>
      <c r="E615" s="76" t="s">
        <v>726</v>
      </c>
      <c r="F615" s="76" t="s">
        <v>176</v>
      </c>
      <c r="G615" s="355">
        <v>73</v>
      </c>
      <c r="H615" s="355" t="s">
        <v>18</v>
      </c>
      <c r="I615" s="78"/>
      <c r="J615" s="76"/>
    </row>
    <row r="616" spans="2:10" x14ac:dyDescent="0.3">
      <c r="B616" s="76" t="s">
        <v>805</v>
      </c>
      <c r="C616" s="76" t="s">
        <v>736</v>
      </c>
      <c r="D616" s="76" t="s">
        <v>770</v>
      </c>
      <c r="E616" s="76" t="s">
        <v>726</v>
      </c>
      <c r="F616" s="76" t="s">
        <v>176</v>
      </c>
      <c r="G616" s="355">
        <v>73</v>
      </c>
      <c r="H616" s="355" t="s">
        <v>18</v>
      </c>
      <c r="I616" s="78"/>
      <c r="J616" s="76"/>
    </row>
    <row r="617" spans="2:10" x14ac:dyDescent="0.3">
      <c r="B617" s="76" t="s">
        <v>806</v>
      </c>
      <c r="C617" s="76" t="s">
        <v>736</v>
      </c>
      <c r="D617" s="76" t="s">
        <v>800</v>
      </c>
      <c r="E617" s="76" t="s">
        <v>726</v>
      </c>
      <c r="F617" s="76" t="s">
        <v>176</v>
      </c>
      <c r="G617" s="355">
        <v>73</v>
      </c>
      <c r="H617" s="355" t="s">
        <v>18</v>
      </c>
      <c r="I617" s="78"/>
      <c r="J617" s="76"/>
    </row>
    <row r="618" spans="2:10" x14ac:dyDescent="0.3">
      <c r="B618" s="76" t="s">
        <v>807</v>
      </c>
      <c r="C618" s="76" t="s">
        <v>736</v>
      </c>
      <c r="D618" s="76" t="s">
        <v>770</v>
      </c>
      <c r="E618" s="76" t="s">
        <v>726</v>
      </c>
      <c r="F618" s="76" t="s">
        <v>176</v>
      </c>
      <c r="G618" s="355">
        <v>73</v>
      </c>
      <c r="H618" s="355" t="s">
        <v>18</v>
      </c>
      <c r="I618" s="78"/>
      <c r="J618" s="76"/>
    </row>
    <row r="619" spans="2:10" x14ac:dyDescent="0.3">
      <c r="B619" s="76" t="s">
        <v>808</v>
      </c>
      <c r="C619" s="76" t="s">
        <v>736</v>
      </c>
      <c r="D619" s="76" t="s">
        <v>770</v>
      </c>
      <c r="E619" s="76" t="s">
        <v>726</v>
      </c>
      <c r="F619" s="76" t="s">
        <v>176</v>
      </c>
      <c r="G619" s="355">
        <v>73</v>
      </c>
      <c r="H619" s="355" t="s">
        <v>18</v>
      </c>
      <c r="I619" s="78"/>
      <c r="J619" s="76"/>
    </row>
    <row r="620" spans="2:10" x14ac:dyDescent="0.3">
      <c r="B620" s="76" t="s">
        <v>809</v>
      </c>
      <c r="C620" s="76" t="s">
        <v>736</v>
      </c>
      <c r="D620" s="76" t="s">
        <v>770</v>
      </c>
      <c r="E620" s="76" t="s">
        <v>726</v>
      </c>
      <c r="F620" s="76" t="s">
        <v>181</v>
      </c>
      <c r="G620" s="355">
        <v>80</v>
      </c>
      <c r="H620" s="355" t="s">
        <v>18</v>
      </c>
      <c r="I620" s="78"/>
      <c r="J620" s="76"/>
    </row>
    <row r="621" spans="2:10" x14ac:dyDescent="0.3">
      <c r="B621" s="76" t="s">
        <v>810</v>
      </c>
      <c r="C621" s="76" t="s">
        <v>736</v>
      </c>
      <c r="D621" s="76" t="s">
        <v>800</v>
      </c>
      <c r="E621" s="76" t="s">
        <v>726</v>
      </c>
      <c r="F621" s="76" t="s">
        <v>181</v>
      </c>
      <c r="G621" s="355">
        <v>80</v>
      </c>
      <c r="H621" s="355" t="s">
        <v>18</v>
      </c>
      <c r="I621" s="78"/>
      <c r="J621" s="76"/>
    </row>
    <row r="622" spans="2:10" ht="28.5" x14ac:dyDescent="0.3">
      <c r="B622" s="76" t="s">
        <v>811</v>
      </c>
      <c r="C622" s="76" t="s">
        <v>736</v>
      </c>
      <c r="D622" s="76" t="s">
        <v>739</v>
      </c>
      <c r="E622" s="76" t="s">
        <v>726</v>
      </c>
      <c r="F622" s="76" t="s">
        <v>181</v>
      </c>
      <c r="G622" s="355">
        <v>80</v>
      </c>
      <c r="H622" s="355" t="s">
        <v>18</v>
      </c>
      <c r="I622" s="78"/>
      <c r="J622" s="76"/>
    </row>
    <row r="623" spans="2:10" ht="28.5" x14ac:dyDescent="0.3">
      <c r="B623" s="76" t="s">
        <v>812</v>
      </c>
      <c r="C623" s="76" t="s">
        <v>736</v>
      </c>
      <c r="D623" s="76" t="s">
        <v>737</v>
      </c>
      <c r="E623" s="76" t="s">
        <v>726</v>
      </c>
      <c r="F623" s="76" t="s">
        <v>181</v>
      </c>
      <c r="G623" s="355">
        <v>80</v>
      </c>
      <c r="H623" s="355" t="s">
        <v>18</v>
      </c>
      <c r="I623" s="78"/>
      <c r="J623" s="76"/>
    </row>
    <row r="624" spans="2:10" x14ac:dyDescent="0.3">
      <c r="B624" s="76" t="s">
        <v>813</v>
      </c>
      <c r="C624" s="76" t="s">
        <v>736</v>
      </c>
      <c r="D624" s="76" t="s">
        <v>795</v>
      </c>
      <c r="E624" s="76" t="s">
        <v>726</v>
      </c>
      <c r="F624" s="76" t="s">
        <v>181</v>
      </c>
      <c r="G624" s="355">
        <v>80</v>
      </c>
      <c r="H624" s="355" t="s">
        <v>18</v>
      </c>
      <c r="I624" s="78"/>
      <c r="J624" s="76"/>
    </row>
    <row r="625" spans="2:10" x14ac:dyDescent="0.3">
      <c r="B625" s="76" t="s">
        <v>814</v>
      </c>
      <c r="C625" s="76" t="s">
        <v>736</v>
      </c>
      <c r="D625" s="76" t="s">
        <v>815</v>
      </c>
      <c r="E625" s="76" t="s">
        <v>726</v>
      </c>
      <c r="F625" s="76" t="s">
        <v>181</v>
      </c>
      <c r="G625" s="355">
        <v>80</v>
      </c>
      <c r="H625" s="355" t="s">
        <v>18</v>
      </c>
      <c r="I625" s="78"/>
      <c r="J625" s="76"/>
    </row>
    <row r="626" spans="2:10" x14ac:dyDescent="0.3">
      <c r="B626" s="76" t="s">
        <v>816</v>
      </c>
      <c r="C626" s="76" t="s">
        <v>736</v>
      </c>
      <c r="D626" s="76" t="s">
        <v>770</v>
      </c>
      <c r="E626" s="76" t="s">
        <v>726</v>
      </c>
      <c r="F626" s="76" t="s">
        <v>181</v>
      </c>
      <c r="G626" s="355">
        <v>80</v>
      </c>
      <c r="H626" s="355" t="s">
        <v>18</v>
      </c>
      <c r="I626" s="78"/>
      <c r="J626" s="76"/>
    </row>
    <row r="627" spans="2:10" x14ac:dyDescent="0.3">
      <c r="B627" s="76" t="s">
        <v>817</v>
      </c>
      <c r="C627" s="76" t="s">
        <v>736</v>
      </c>
      <c r="D627" s="76" t="s">
        <v>770</v>
      </c>
      <c r="E627" s="76" t="s">
        <v>726</v>
      </c>
      <c r="F627" s="76" t="s">
        <v>181</v>
      </c>
      <c r="G627" s="355">
        <v>80</v>
      </c>
      <c r="H627" s="355" t="s">
        <v>18</v>
      </c>
      <c r="I627" s="78"/>
      <c r="J627" s="76"/>
    </row>
    <row r="628" spans="2:10" x14ac:dyDescent="0.3">
      <c r="B628" s="76" t="s">
        <v>818</v>
      </c>
      <c r="C628" s="76" t="s">
        <v>736</v>
      </c>
      <c r="D628" s="76" t="s">
        <v>800</v>
      </c>
      <c r="E628" s="76" t="s">
        <v>726</v>
      </c>
      <c r="F628" s="76" t="s">
        <v>181</v>
      </c>
      <c r="G628" s="355">
        <v>80</v>
      </c>
      <c r="H628" s="355" t="s">
        <v>18</v>
      </c>
      <c r="I628" s="78"/>
      <c r="J628" s="76"/>
    </row>
    <row r="629" spans="2:10" x14ac:dyDescent="0.3">
      <c r="B629" s="76" t="s">
        <v>819</v>
      </c>
      <c r="C629" s="76" t="s">
        <v>736</v>
      </c>
      <c r="D629" s="76" t="s">
        <v>770</v>
      </c>
      <c r="E629" s="76" t="s">
        <v>726</v>
      </c>
      <c r="F629" s="76" t="s">
        <v>181</v>
      </c>
      <c r="G629" s="355">
        <v>80</v>
      </c>
      <c r="H629" s="355" t="s">
        <v>18</v>
      </c>
      <c r="I629" s="78"/>
      <c r="J629" s="76"/>
    </row>
    <row r="630" spans="2:10" x14ac:dyDescent="0.3">
      <c r="B630" s="76" t="s">
        <v>820</v>
      </c>
      <c r="C630" s="76" t="s">
        <v>736</v>
      </c>
      <c r="D630" s="76" t="s">
        <v>800</v>
      </c>
      <c r="E630" s="76" t="s">
        <v>726</v>
      </c>
      <c r="F630" s="76" t="s">
        <v>181</v>
      </c>
      <c r="G630" s="355">
        <v>80</v>
      </c>
      <c r="H630" s="355" t="s">
        <v>18</v>
      </c>
      <c r="I630" s="78"/>
      <c r="J630" s="76"/>
    </row>
    <row r="631" spans="2:10" x14ac:dyDescent="0.3">
      <c r="B631" s="76" t="s">
        <v>821</v>
      </c>
      <c r="C631" s="76" t="s">
        <v>736</v>
      </c>
      <c r="D631" s="76" t="s">
        <v>800</v>
      </c>
      <c r="E631" s="76" t="s">
        <v>726</v>
      </c>
      <c r="F631" s="76" t="s">
        <v>181</v>
      </c>
      <c r="G631" s="355">
        <v>80</v>
      </c>
      <c r="H631" s="355" t="s">
        <v>18</v>
      </c>
      <c r="I631" s="78"/>
      <c r="J631" s="76"/>
    </row>
    <row r="632" spans="2:10" x14ac:dyDescent="0.3">
      <c r="B632" s="76" t="s">
        <v>822</v>
      </c>
      <c r="C632" s="76" t="s">
        <v>736</v>
      </c>
      <c r="D632" s="76" t="s">
        <v>800</v>
      </c>
      <c r="E632" s="76" t="s">
        <v>726</v>
      </c>
      <c r="F632" s="76" t="s">
        <v>181</v>
      </c>
      <c r="G632" s="355">
        <v>80</v>
      </c>
      <c r="H632" s="355" t="s">
        <v>18</v>
      </c>
      <c r="I632" s="78"/>
      <c r="J632" s="76"/>
    </row>
    <row r="633" spans="2:10" x14ac:dyDescent="0.3">
      <c r="B633" s="76" t="s">
        <v>823</v>
      </c>
      <c r="C633" s="76" t="s">
        <v>736</v>
      </c>
      <c r="D633" s="76" t="s">
        <v>770</v>
      </c>
      <c r="E633" s="76" t="s">
        <v>726</v>
      </c>
      <c r="F633" s="76" t="s">
        <v>186</v>
      </c>
      <c r="G633" s="355">
        <v>87</v>
      </c>
      <c r="H633" s="355" t="s">
        <v>18</v>
      </c>
      <c r="I633" s="78"/>
      <c r="J633" s="76"/>
    </row>
    <row r="634" spans="2:10" x14ac:dyDescent="0.3">
      <c r="B634" s="76" t="s">
        <v>824</v>
      </c>
      <c r="C634" s="76" t="s">
        <v>736</v>
      </c>
      <c r="D634" s="76" t="s">
        <v>770</v>
      </c>
      <c r="E634" s="76" t="s">
        <v>726</v>
      </c>
      <c r="F634" s="76" t="s">
        <v>186</v>
      </c>
      <c r="G634" s="355">
        <v>87</v>
      </c>
      <c r="H634" s="355" t="s">
        <v>18</v>
      </c>
      <c r="I634" s="78"/>
      <c r="J634" s="76"/>
    </row>
    <row r="635" spans="2:10" x14ac:dyDescent="0.3">
      <c r="B635" s="76" t="s">
        <v>825</v>
      </c>
      <c r="C635" s="76" t="s">
        <v>736</v>
      </c>
      <c r="D635" s="76" t="s">
        <v>770</v>
      </c>
      <c r="E635" s="76" t="s">
        <v>726</v>
      </c>
      <c r="F635" s="76" t="s">
        <v>186</v>
      </c>
      <c r="G635" s="355">
        <v>87</v>
      </c>
      <c r="H635" s="355" t="s">
        <v>18</v>
      </c>
      <c r="I635" s="78"/>
      <c r="J635" s="76"/>
    </row>
    <row r="636" spans="2:10" x14ac:dyDescent="0.3">
      <c r="B636" s="76" t="s">
        <v>826</v>
      </c>
      <c r="C636" s="76" t="s">
        <v>736</v>
      </c>
      <c r="D636" s="76" t="s">
        <v>770</v>
      </c>
      <c r="E636" s="76" t="s">
        <v>726</v>
      </c>
      <c r="F636" s="76" t="s">
        <v>186</v>
      </c>
      <c r="G636" s="355">
        <v>87</v>
      </c>
      <c r="H636" s="355" t="s">
        <v>18</v>
      </c>
      <c r="I636" s="78"/>
      <c r="J636" s="76"/>
    </row>
    <row r="637" spans="2:10" x14ac:dyDescent="0.3">
      <c r="B637" s="76" t="s">
        <v>827</v>
      </c>
      <c r="C637" s="76" t="s">
        <v>736</v>
      </c>
      <c r="D637" s="76" t="s">
        <v>770</v>
      </c>
      <c r="E637" s="76" t="s">
        <v>726</v>
      </c>
      <c r="F637" s="76" t="s">
        <v>186</v>
      </c>
      <c r="G637" s="355">
        <v>87</v>
      </c>
      <c r="H637" s="355" t="s">
        <v>18</v>
      </c>
      <c r="I637" s="78"/>
      <c r="J637" s="76"/>
    </row>
    <row r="638" spans="2:10" x14ac:dyDescent="0.3">
      <c r="B638" s="76" t="s">
        <v>828</v>
      </c>
      <c r="C638" s="76" t="s">
        <v>736</v>
      </c>
      <c r="D638" s="76" t="s">
        <v>739</v>
      </c>
      <c r="E638" s="76" t="s">
        <v>726</v>
      </c>
      <c r="F638" s="76" t="s">
        <v>186</v>
      </c>
      <c r="G638" s="355">
        <v>87</v>
      </c>
      <c r="H638" s="355" t="s">
        <v>18</v>
      </c>
      <c r="I638" s="78"/>
      <c r="J638" s="76"/>
    </row>
    <row r="639" spans="2:10" x14ac:dyDescent="0.3">
      <c r="B639" s="76" t="s">
        <v>829</v>
      </c>
      <c r="C639" s="76" t="s">
        <v>736</v>
      </c>
      <c r="D639" s="76" t="s">
        <v>770</v>
      </c>
      <c r="E639" s="76" t="s">
        <v>726</v>
      </c>
      <c r="F639" s="76" t="s">
        <v>186</v>
      </c>
      <c r="G639" s="355">
        <v>87</v>
      </c>
      <c r="H639" s="355" t="s">
        <v>18</v>
      </c>
      <c r="I639" s="78"/>
      <c r="J639" s="76"/>
    </row>
    <row r="640" spans="2:10" x14ac:dyDescent="0.3">
      <c r="B640" s="76" t="s">
        <v>830</v>
      </c>
      <c r="C640" s="76" t="s">
        <v>736</v>
      </c>
      <c r="D640" s="76" t="s">
        <v>770</v>
      </c>
      <c r="E640" s="76" t="s">
        <v>726</v>
      </c>
      <c r="F640" s="76" t="s">
        <v>186</v>
      </c>
      <c r="G640" s="355">
        <v>87</v>
      </c>
      <c r="H640" s="355" t="s">
        <v>18</v>
      </c>
      <c r="I640" s="78"/>
      <c r="J640" s="76"/>
    </row>
    <row r="641" spans="2:10" x14ac:dyDescent="0.3">
      <c r="B641" s="76" t="s">
        <v>831</v>
      </c>
      <c r="C641" s="76" t="s">
        <v>736</v>
      </c>
      <c r="D641" s="76" t="s">
        <v>770</v>
      </c>
      <c r="E641" s="76" t="s">
        <v>726</v>
      </c>
      <c r="F641" s="76" t="s">
        <v>186</v>
      </c>
      <c r="G641" s="355">
        <v>87</v>
      </c>
      <c r="H641" s="355" t="s">
        <v>18</v>
      </c>
      <c r="I641" s="78"/>
      <c r="J641" s="76"/>
    </row>
    <row r="642" spans="2:10" x14ac:dyDescent="0.3">
      <c r="B642" s="76" t="s">
        <v>832</v>
      </c>
      <c r="C642" s="76" t="s">
        <v>736</v>
      </c>
      <c r="D642" s="76" t="s">
        <v>770</v>
      </c>
      <c r="E642" s="76" t="s">
        <v>726</v>
      </c>
      <c r="F642" s="76" t="s">
        <v>186</v>
      </c>
      <c r="G642" s="355">
        <v>87</v>
      </c>
      <c r="H642" s="355" t="s">
        <v>18</v>
      </c>
      <c r="I642" s="78"/>
      <c r="J642" s="76"/>
    </row>
    <row r="643" spans="2:10" x14ac:dyDescent="0.3">
      <c r="B643" s="76" t="s">
        <v>833</v>
      </c>
      <c r="C643" s="76" t="s">
        <v>736</v>
      </c>
      <c r="D643" s="76" t="s">
        <v>800</v>
      </c>
      <c r="E643" s="76" t="s">
        <v>726</v>
      </c>
      <c r="F643" s="76" t="s">
        <v>186</v>
      </c>
      <c r="G643" s="355">
        <v>87</v>
      </c>
      <c r="H643" s="355" t="s">
        <v>18</v>
      </c>
      <c r="I643" s="78"/>
      <c r="J643" s="76"/>
    </row>
    <row r="644" spans="2:10" x14ac:dyDescent="0.3">
      <c r="B644" s="76" t="s">
        <v>834</v>
      </c>
      <c r="C644" s="76" t="s">
        <v>736</v>
      </c>
      <c r="D644" s="76" t="s">
        <v>770</v>
      </c>
      <c r="E644" s="76" t="s">
        <v>726</v>
      </c>
      <c r="F644" s="76" t="s">
        <v>186</v>
      </c>
      <c r="G644" s="355">
        <v>87</v>
      </c>
      <c r="H644" s="355" t="s">
        <v>18</v>
      </c>
      <c r="I644" s="78"/>
      <c r="J644" s="76"/>
    </row>
    <row r="645" spans="2:10" x14ac:dyDescent="0.3">
      <c r="B645" s="76" t="s">
        <v>835</v>
      </c>
      <c r="C645" s="76" t="s">
        <v>736</v>
      </c>
      <c r="D645" s="76" t="s">
        <v>770</v>
      </c>
      <c r="E645" s="76" t="s">
        <v>726</v>
      </c>
      <c r="F645" s="76" t="s">
        <v>186</v>
      </c>
      <c r="G645" s="355">
        <v>87</v>
      </c>
      <c r="H645" s="355" t="s">
        <v>18</v>
      </c>
      <c r="I645" s="78"/>
      <c r="J645" s="76"/>
    </row>
    <row r="646" spans="2:10" x14ac:dyDescent="0.3">
      <c r="B646" s="76" t="s">
        <v>836</v>
      </c>
      <c r="C646" s="76" t="s">
        <v>736</v>
      </c>
      <c r="D646" s="76" t="s">
        <v>837</v>
      </c>
      <c r="E646" s="76" t="s">
        <v>726</v>
      </c>
      <c r="F646" s="76" t="s">
        <v>190</v>
      </c>
      <c r="G646" s="355">
        <v>94</v>
      </c>
      <c r="H646" s="355" t="s">
        <v>18</v>
      </c>
      <c r="I646" s="78"/>
      <c r="J646" s="76"/>
    </row>
    <row r="647" spans="2:10" x14ac:dyDescent="0.3">
      <c r="B647" s="76" t="s">
        <v>838</v>
      </c>
      <c r="C647" s="76" t="s">
        <v>736</v>
      </c>
      <c r="D647" s="76" t="s">
        <v>770</v>
      </c>
      <c r="E647" s="76" t="s">
        <v>726</v>
      </c>
      <c r="F647" s="76" t="s">
        <v>190</v>
      </c>
      <c r="G647" s="355">
        <v>94</v>
      </c>
      <c r="H647" s="355" t="s">
        <v>18</v>
      </c>
      <c r="I647" s="78"/>
      <c r="J647" s="76"/>
    </row>
    <row r="648" spans="2:10" x14ac:dyDescent="0.3">
      <c r="B648" s="76" t="s">
        <v>839</v>
      </c>
      <c r="C648" s="76" t="s">
        <v>736</v>
      </c>
      <c r="D648" s="76" t="s">
        <v>837</v>
      </c>
      <c r="E648" s="76" t="s">
        <v>726</v>
      </c>
      <c r="F648" s="76" t="s">
        <v>190</v>
      </c>
      <c r="G648" s="355">
        <v>94</v>
      </c>
      <c r="H648" s="355" t="s">
        <v>18</v>
      </c>
      <c r="I648" s="78"/>
      <c r="J648" s="76"/>
    </row>
    <row r="649" spans="2:10" x14ac:dyDescent="0.3">
      <c r="B649" s="76" t="s">
        <v>840</v>
      </c>
      <c r="C649" s="76" t="s">
        <v>736</v>
      </c>
      <c r="D649" s="76" t="s">
        <v>837</v>
      </c>
      <c r="E649" s="76" t="s">
        <v>726</v>
      </c>
      <c r="F649" s="76" t="s">
        <v>190</v>
      </c>
      <c r="G649" s="355">
        <v>94</v>
      </c>
      <c r="H649" s="355" t="s">
        <v>18</v>
      </c>
      <c r="I649" s="78"/>
      <c r="J649" s="76"/>
    </row>
    <row r="650" spans="2:10" x14ac:dyDescent="0.3">
      <c r="B650" s="76" t="s">
        <v>841</v>
      </c>
      <c r="C650" s="76" t="s">
        <v>736</v>
      </c>
      <c r="D650" s="76" t="s">
        <v>837</v>
      </c>
      <c r="E650" s="76" t="s">
        <v>726</v>
      </c>
      <c r="F650" s="76" t="s">
        <v>190</v>
      </c>
      <c r="G650" s="355">
        <v>94</v>
      </c>
      <c r="H650" s="355" t="s">
        <v>18</v>
      </c>
      <c r="I650" s="78"/>
      <c r="J650" s="76"/>
    </row>
    <row r="651" spans="2:10" x14ac:dyDescent="0.3">
      <c r="B651" s="76" t="s">
        <v>842</v>
      </c>
      <c r="C651" s="76" t="s">
        <v>736</v>
      </c>
      <c r="D651" s="76" t="s">
        <v>837</v>
      </c>
      <c r="E651" s="76" t="s">
        <v>726</v>
      </c>
      <c r="F651" s="76" t="s">
        <v>190</v>
      </c>
      <c r="G651" s="355">
        <v>94</v>
      </c>
      <c r="H651" s="355" t="s">
        <v>18</v>
      </c>
      <c r="I651" s="78"/>
      <c r="J651" s="76"/>
    </row>
    <row r="652" spans="2:10" x14ac:dyDescent="0.3">
      <c r="B652" s="76" t="s">
        <v>843</v>
      </c>
      <c r="C652" s="76" t="s">
        <v>736</v>
      </c>
      <c r="D652" s="76" t="s">
        <v>837</v>
      </c>
      <c r="E652" s="76" t="s">
        <v>726</v>
      </c>
      <c r="F652" s="76" t="s">
        <v>190</v>
      </c>
      <c r="G652" s="355">
        <v>94</v>
      </c>
      <c r="H652" s="355" t="s">
        <v>18</v>
      </c>
      <c r="I652" s="78"/>
      <c r="J652" s="76"/>
    </row>
    <row r="653" spans="2:10" ht="28.5" x14ac:dyDescent="0.3">
      <c r="B653" s="76" t="s">
        <v>844</v>
      </c>
      <c r="C653" s="76" t="s">
        <v>733</v>
      </c>
      <c r="D653" s="76"/>
      <c r="E653" s="76" t="s">
        <v>726</v>
      </c>
      <c r="F653" s="76" t="s">
        <v>193</v>
      </c>
      <c r="G653" s="355">
        <v>101</v>
      </c>
      <c r="H653" s="355" t="s">
        <v>18</v>
      </c>
      <c r="I653" s="78"/>
      <c r="J653" s="76"/>
    </row>
    <row r="654" spans="2:10" ht="28.5" x14ac:dyDescent="0.3">
      <c r="B654" s="76" t="s">
        <v>845</v>
      </c>
      <c r="C654" s="76" t="s">
        <v>733</v>
      </c>
      <c r="D654" s="76"/>
      <c r="E654" s="76" t="s">
        <v>726</v>
      </c>
      <c r="F654" s="76" t="s">
        <v>193</v>
      </c>
      <c r="G654" s="355">
        <v>101</v>
      </c>
      <c r="H654" s="355" t="s">
        <v>18</v>
      </c>
      <c r="I654" s="78"/>
      <c r="J654" s="76"/>
    </row>
    <row r="655" spans="2:10" ht="28.5" x14ac:dyDescent="0.3">
      <c r="B655" s="76" t="s">
        <v>846</v>
      </c>
      <c r="C655" s="76" t="s">
        <v>847</v>
      </c>
      <c r="D655" s="76"/>
      <c r="E655" s="76" t="s">
        <v>726</v>
      </c>
      <c r="F655" s="76" t="s">
        <v>193</v>
      </c>
      <c r="G655" s="355">
        <v>101</v>
      </c>
      <c r="H655" s="355" t="s">
        <v>18</v>
      </c>
      <c r="I655" s="78"/>
      <c r="J655" s="76"/>
    </row>
    <row r="656" spans="2:10" x14ac:dyDescent="0.3">
      <c r="B656" s="76" t="s">
        <v>848</v>
      </c>
      <c r="C656" s="76" t="s">
        <v>847</v>
      </c>
      <c r="D656" s="76"/>
      <c r="E656" s="76" t="s">
        <v>726</v>
      </c>
      <c r="F656" s="76" t="s">
        <v>193</v>
      </c>
      <c r="G656" s="355">
        <v>101</v>
      </c>
      <c r="H656" s="355" t="s">
        <v>18</v>
      </c>
      <c r="I656" s="78"/>
      <c r="J656" s="76"/>
    </row>
    <row r="657" spans="2:10" x14ac:dyDescent="0.3">
      <c r="B657" s="76" t="s">
        <v>849</v>
      </c>
      <c r="C657" s="76" t="s">
        <v>733</v>
      </c>
      <c r="D657" s="76"/>
      <c r="E657" s="76" t="s">
        <v>726</v>
      </c>
      <c r="F657" s="76" t="s">
        <v>196</v>
      </c>
      <c r="G657" s="355">
        <v>108</v>
      </c>
      <c r="H657" s="355" t="s">
        <v>18</v>
      </c>
      <c r="I657" s="78"/>
      <c r="J657" s="76"/>
    </row>
    <row r="658" spans="2:10" x14ac:dyDescent="0.3">
      <c r="B658" s="76" t="s">
        <v>753</v>
      </c>
      <c r="C658" s="76" t="s">
        <v>733</v>
      </c>
      <c r="D658" s="76"/>
      <c r="E658" s="76" t="s">
        <v>726</v>
      </c>
      <c r="F658" s="76" t="s">
        <v>196</v>
      </c>
      <c r="G658" s="355">
        <v>108</v>
      </c>
      <c r="H658" s="355" t="s">
        <v>18</v>
      </c>
      <c r="I658" s="78"/>
      <c r="J658" s="76"/>
    </row>
    <row r="659" spans="2:10" ht="28.5" x14ac:dyDescent="0.3">
      <c r="B659" s="76" t="s">
        <v>850</v>
      </c>
      <c r="C659" s="76" t="s">
        <v>133</v>
      </c>
      <c r="D659" s="76" t="s">
        <v>851</v>
      </c>
      <c r="E659" s="76" t="s">
        <v>726</v>
      </c>
      <c r="F659" s="76" t="s">
        <v>196</v>
      </c>
      <c r="G659" s="355">
        <v>108</v>
      </c>
      <c r="H659" s="355" t="s">
        <v>18</v>
      </c>
      <c r="I659" s="78"/>
      <c r="J659" s="76"/>
    </row>
    <row r="660" spans="2:10" ht="28.5" x14ac:dyDescent="0.3">
      <c r="B660" s="76" t="s">
        <v>852</v>
      </c>
      <c r="C660" s="76" t="s">
        <v>133</v>
      </c>
      <c r="D660" s="76" t="s">
        <v>851</v>
      </c>
      <c r="E660" s="76" t="s">
        <v>726</v>
      </c>
      <c r="F660" s="76" t="s">
        <v>196</v>
      </c>
      <c r="G660" s="355">
        <v>108</v>
      </c>
      <c r="H660" s="355" t="s">
        <v>18</v>
      </c>
      <c r="I660" s="78"/>
      <c r="J660" s="76"/>
    </row>
    <row r="661" spans="2:10" ht="28.5" x14ac:dyDescent="0.3">
      <c r="B661" s="76" t="s">
        <v>853</v>
      </c>
      <c r="C661" s="76" t="s">
        <v>133</v>
      </c>
      <c r="D661" s="76" t="s">
        <v>851</v>
      </c>
      <c r="E661" s="76" t="s">
        <v>726</v>
      </c>
      <c r="F661" s="76" t="s">
        <v>196</v>
      </c>
      <c r="G661" s="355">
        <v>108</v>
      </c>
      <c r="H661" s="355" t="s">
        <v>18</v>
      </c>
      <c r="I661" s="78"/>
      <c r="J661" s="76"/>
    </row>
    <row r="662" spans="2:10" ht="28.5" x14ac:dyDescent="0.3">
      <c r="B662" s="76" t="s">
        <v>854</v>
      </c>
      <c r="C662" s="76" t="s">
        <v>133</v>
      </c>
      <c r="D662" s="76" t="s">
        <v>851</v>
      </c>
      <c r="E662" s="76" t="s">
        <v>726</v>
      </c>
      <c r="F662" s="76" t="s">
        <v>196</v>
      </c>
      <c r="G662" s="355">
        <v>108</v>
      </c>
      <c r="H662" s="355" t="s">
        <v>18</v>
      </c>
      <c r="I662" s="78"/>
      <c r="J662" s="76"/>
    </row>
    <row r="663" spans="2:10" x14ac:dyDescent="0.3">
      <c r="B663" s="76" t="s">
        <v>855</v>
      </c>
      <c r="C663" s="76" t="s">
        <v>736</v>
      </c>
      <c r="D663" s="76" t="s">
        <v>837</v>
      </c>
      <c r="E663" s="76" t="s">
        <v>726</v>
      </c>
      <c r="F663" s="76" t="s">
        <v>199</v>
      </c>
      <c r="G663" s="355">
        <v>115</v>
      </c>
      <c r="H663" s="355" t="s">
        <v>18</v>
      </c>
      <c r="I663" s="78"/>
      <c r="J663" s="76"/>
    </row>
    <row r="664" spans="2:10" ht="28.5" x14ac:dyDescent="0.3">
      <c r="B664" s="76" t="s">
        <v>856</v>
      </c>
      <c r="C664" s="76" t="s">
        <v>736</v>
      </c>
      <c r="D664" s="76" t="s">
        <v>837</v>
      </c>
      <c r="E664" s="76" t="s">
        <v>726</v>
      </c>
      <c r="F664" s="76" t="s">
        <v>199</v>
      </c>
      <c r="G664" s="355">
        <v>115</v>
      </c>
      <c r="H664" s="355" t="s">
        <v>18</v>
      </c>
      <c r="I664" s="78"/>
      <c r="J664" s="76"/>
    </row>
    <row r="665" spans="2:10" x14ac:dyDescent="0.3">
      <c r="B665" s="76" t="s">
        <v>857</v>
      </c>
      <c r="C665" s="76" t="s">
        <v>736</v>
      </c>
      <c r="D665" s="76" t="s">
        <v>837</v>
      </c>
      <c r="E665" s="76" t="s">
        <v>726</v>
      </c>
      <c r="F665" s="76" t="s">
        <v>199</v>
      </c>
      <c r="G665" s="355">
        <v>115</v>
      </c>
      <c r="H665" s="355" t="s">
        <v>18</v>
      </c>
      <c r="I665" s="78"/>
      <c r="J665" s="76"/>
    </row>
    <row r="666" spans="2:10" ht="28.5" x14ac:dyDescent="0.3">
      <c r="B666" s="76" t="s">
        <v>858</v>
      </c>
      <c r="C666" s="76" t="s">
        <v>736</v>
      </c>
      <c r="D666" s="76" t="s">
        <v>837</v>
      </c>
      <c r="E666" s="76" t="s">
        <v>726</v>
      </c>
      <c r="F666" s="76" t="s">
        <v>199</v>
      </c>
      <c r="G666" s="355">
        <v>115</v>
      </c>
      <c r="H666" s="355" t="s">
        <v>18</v>
      </c>
      <c r="I666" s="78"/>
      <c r="J666" s="76"/>
    </row>
    <row r="667" spans="2:10" x14ac:dyDescent="0.3">
      <c r="B667" s="76" t="s">
        <v>859</v>
      </c>
      <c r="C667" s="76" t="s">
        <v>736</v>
      </c>
      <c r="D667" s="76" t="s">
        <v>837</v>
      </c>
      <c r="E667" s="76" t="s">
        <v>726</v>
      </c>
      <c r="F667" s="76" t="s">
        <v>199</v>
      </c>
      <c r="G667" s="355">
        <v>115</v>
      </c>
      <c r="H667" s="355" t="s">
        <v>18</v>
      </c>
      <c r="I667" s="78"/>
      <c r="J667" s="76"/>
    </row>
    <row r="668" spans="2:10" x14ac:dyDescent="0.3">
      <c r="B668" s="76" t="s">
        <v>860</v>
      </c>
      <c r="C668" s="76" t="s">
        <v>736</v>
      </c>
      <c r="D668" s="76" t="s">
        <v>837</v>
      </c>
      <c r="E668" s="76" t="s">
        <v>726</v>
      </c>
      <c r="F668" s="76" t="s">
        <v>199</v>
      </c>
      <c r="G668" s="355">
        <v>115</v>
      </c>
      <c r="H668" s="355" t="s">
        <v>18</v>
      </c>
      <c r="I668" s="78"/>
      <c r="J668" s="76"/>
    </row>
    <row r="669" spans="2:10" x14ac:dyDescent="0.3">
      <c r="B669" s="76" t="s">
        <v>861</v>
      </c>
      <c r="C669" s="76" t="s">
        <v>736</v>
      </c>
      <c r="D669" s="76" t="s">
        <v>837</v>
      </c>
      <c r="E669" s="76" t="s">
        <v>726</v>
      </c>
      <c r="F669" s="76" t="s">
        <v>199</v>
      </c>
      <c r="G669" s="355">
        <v>115</v>
      </c>
      <c r="H669" s="355" t="s">
        <v>18</v>
      </c>
      <c r="I669" s="78"/>
      <c r="J669" s="76"/>
    </row>
    <row r="670" spans="2:10" ht="28.5" x14ac:dyDescent="0.3">
      <c r="B670" s="76" t="s">
        <v>862</v>
      </c>
      <c r="C670" s="76" t="s">
        <v>733</v>
      </c>
      <c r="D670" s="76"/>
      <c r="E670" s="76" t="s">
        <v>726</v>
      </c>
      <c r="F670" s="76" t="s">
        <v>202</v>
      </c>
      <c r="G670" s="355">
        <v>122</v>
      </c>
      <c r="H670" s="355" t="s">
        <v>18</v>
      </c>
      <c r="I670" s="78"/>
      <c r="J670" s="76"/>
    </row>
    <row r="671" spans="2:10" x14ac:dyDescent="0.3">
      <c r="B671" s="76" t="s">
        <v>863</v>
      </c>
      <c r="C671" s="76" t="s">
        <v>847</v>
      </c>
      <c r="D671" s="76"/>
      <c r="E671" s="76" t="s">
        <v>726</v>
      </c>
      <c r="F671" s="76" t="s">
        <v>202</v>
      </c>
      <c r="G671" s="355">
        <v>122</v>
      </c>
      <c r="H671" s="355" t="s">
        <v>18</v>
      </c>
      <c r="I671" s="78"/>
      <c r="J671" s="76"/>
    </row>
    <row r="672" spans="2:10" x14ac:dyDescent="0.3">
      <c r="B672" s="76" t="s">
        <v>864</v>
      </c>
      <c r="C672" s="76" t="s">
        <v>847</v>
      </c>
      <c r="D672" s="76"/>
      <c r="E672" s="76" t="s">
        <v>726</v>
      </c>
      <c r="F672" s="76" t="s">
        <v>202</v>
      </c>
      <c r="G672" s="355">
        <v>122</v>
      </c>
      <c r="H672" s="355" t="s">
        <v>18</v>
      </c>
      <c r="I672" s="78"/>
      <c r="J672" s="76"/>
    </row>
    <row r="673" spans="2:10" x14ac:dyDescent="0.3">
      <c r="B673" s="76" t="s">
        <v>865</v>
      </c>
      <c r="C673" s="76" t="s">
        <v>847</v>
      </c>
      <c r="D673" s="76"/>
      <c r="E673" s="76" t="s">
        <v>726</v>
      </c>
      <c r="F673" s="76" t="s">
        <v>202</v>
      </c>
      <c r="G673" s="355">
        <v>122</v>
      </c>
      <c r="H673" s="355" t="s">
        <v>18</v>
      </c>
      <c r="I673" s="78"/>
      <c r="J673" s="76"/>
    </row>
    <row r="674" spans="2:10" x14ac:dyDescent="0.3">
      <c r="B674" s="76" t="s">
        <v>866</v>
      </c>
      <c r="C674" s="76" t="s">
        <v>733</v>
      </c>
      <c r="D674" s="76"/>
      <c r="E674" s="76" t="s">
        <v>726</v>
      </c>
      <c r="F674" s="76" t="s">
        <v>204</v>
      </c>
      <c r="G674" s="355">
        <v>129</v>
      </c>
      <c r="H674" s="355" t="s">
        <v>18</v>
      </c>
      <c r="I674" s="78"/>
      <c r="J674" s="76"/>
    </row>
    <row r="675" spans="2:10" ht="28.5" x14ac:dyDescent="0.3">
      <c r="B675" s="76" t="s">
        <v>867</v>
      </c>
      <c r="C675" s="76" t="s">
        <v>733</v>
      </c>
      <c r="D675" s="76"/>
      <c r="E675" s="76" t="s">
        <v>726</v>
      </c>
      <c r="F675" s="76" t="s">
        <v>204</v>
      </c>
      <c r="G675" s="355">
        <v>129</v>
      </c>
      <c r="H675" s="355" t="s">
        <v>18</v>
      </c>
      <c r="I675" s="78"/>
      <c r="J675" s="76"/>
    </row>
    <row r="676" spans="2:10" ht="28.5" x14ac:dyDescent="0.3">
      <c r="B676" s="76" t="s">
        <v>868</v>
      </c>
      <c r="C676" s="76" t="s">
        <v>733</v>
      </c>
      <c r="D676" s="76"/>
      <c r="E676" s="76" t="s">
        <v>726</v>
      </c>
      <c r="F676" s="76" t="s">
        <v>204</v>
      </c>
      <c r="G676" s="355">
        <v>129</v>
      </c>
      <c r="H676" s="355" t="s">
        <v>18</v>
      </c>
      <c r="I676" s="78"/>
      <c r="J676" s="76"/>
    </row>
  </sheetData>
  <mergeCells count="16">
    <mergeCell ref="B122:S122"/>
    <mergeCell ref="U4:V4"/>
    <mergeCell ref="U18:V20"/>
    <mergeCell ref="B145:S145"/>
    <mergeCell ref="B545:J545"/>
    <mergeCell ref="B26:S26"/>
    <mergeCell ref="B42:S42"/>
    <mergeCell ref="B58:S58"/>
    <mergeCell ref="B74:S74"/>
    <mergeCell ref="B90:S90"/>
    <mergeCell ref="B106:S106"/>
    <mergeCell ref="L2:S2"/>
    <mergeCell ref="B3:K3"/>
    <mergeCell ref="L3:S3"/>
    <mergeCell ref="B2:K2"/>
    <mergeCell ref="B7:S7"/>
  </mergeCells>
  <phoneticPr fontId="27" type="noConversion"/>
  <dataValidations count="6">
    <dataValidation type="list" allowBlank="1" showInputMessage="1" showErrorMessage="1" sqref="B7 B74 B58 B42 B26 B90 B106 B122" xr:uid="{6FE9BBF1-C11C-4758-89AD-01D19AE1BDC8}">
      <formula1>$B$147:$B$215</formula1>
    </dataValidation>
    <dataValidation type="list" allowBlank="1" showInputMessage="1" showErrorMessage="1" sqref="B8:B21 B27:B41 B59:B73 B43:B57 B75:B89 B123:B137 B107:B121 B91:B105" xr:uid="{843B099D-F1DA-4B67-99BF-C4406263F47F}">
      <formula1>$C$147:$C$207</formula1>
    </dataValidation>
    <dataValidation type="list" allowBlank="1" showInputMessage="1" showErrorMessage="1" sqref="B8:B21 B27:B41 B59:B73 B43:B57 B75:B89 B123:B137 B107:B121 B91:B105" xr:uid="{47756D9A-1ED6-4C0B-94A3-AB9B8771221E}">
      <formula1>$C$146:$C$215</formula1>
    </dataValidation>
    <dataValidation type="list" allowBlank="1" showInputMessage="1" showErrorMessage="1" sqref="E8:E21 E27:E41 E59:E73 E43:E57 E75:E89 E91:E105 E107:E121 E123:E137" xr:uid="{62CEA476-DFF5-47E7-810B-FE715249971C}">
      <formula1>$B$547:$B$676</formula1>
    </dataValidation>
    <dataValidation type="list" allowBlank="1" showInputMessage="1" showErrorMessage="1" sqref="C8:C21 C27:C41 C59:C73 C43:C57 C75:C89 C123:C137 C107:C121 C91:C105" xr:uid="{D616AA2C-ED3B-4BF9-B72C-4666786333C0}">
      <formula1>$D$147:$D$215</formula1>
    </dataValidation>
    <dataValidation type="list" allowBlank="1" showInputMessage="1" showErrorMessage="1" sqref="D8:D21 D27:D41 D59:D73 D43:D57 D75:D89 D123:D137 D107:D121 D91:D105" xr:uid="{57A34A20-6317-479F-9377-F113363644C8}">
      <formula1>$E$147:$E$199</formula1>
    </dataValidation>
  </dataValidations>
  <pageMargins left="0.7" right="0.7" top="0.75" bottom="0.75" header="0.3" footer="0.3"/>
  <legacyDrawing r:id="rId1"/>
  <tableParts count="1">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BQ887"/>
  <sheetViews>
    <sheetView tabSelected="1" topLeftCell="A572" zoomScale="69" zoomScaleNormal="69" workbookViewId="0">
      <selection activeCell="C630" sqref="C630"/>
    </sheetView>
  </sheetViews>
  <sheetFormatPr defaultRowHeight="17.25" x14ac:dyDescent="0.3"/>
  <cols>
    <col min="1" max="1" width="2.7109375" style="44" customWidth="1"/>
    <col min="2" max="2" width="32.7109375" style="44" customWidth="1"/>
    <col min="3" max="3" width="19.5703125" style="44" customWidth="1"/>
    <col min="4" max="4" width="11.28515625" style="44" customWidth="1"/>
    <col min="5" max="5" width="59.28515625" style="44" customWidth="1"/>
    <col min="6" max="6" width="24.28515625" style="44" customWidth="1"/>
    <col min="7" max="7" width="14.42578125" style="44" customWidth="1"/>
    <col min="8" max="8" width="13.28515625" style="44" customWidth="1"/>
    <col min="9" max="9" width="19.140625" style="44" customWidth="1"/>
    <col min="10" max="10" width="6.7109375" style="44" customWidth="1"/>
    <col min="11" max="11" width="9.140625" style="44" customWidth="1"/>
    <col min="12" max="12" width="9.140625" style="341" customWidth="1"/>
    <col min="13" max="13" width="9.140625" style="44" customWidth="1"/>
    <col min="14" max="14" width="10.7109375" style="44" customWidth="1"/>
    <col min="15" max="15" width="9.5703125" style="44" customWidth="1"/>
    <col min="16" max="16" width="14" style="44" bestFit="1" customWidth="1"/>
    <col min="17" max="17" width="11.42578125" style="44" customWidth="1"/>
    <col min="18" max="19" width="14.28515625" style="44" bestFit="1" customWidth="1"/>
    <col min="20" max="20" width="4.140625" style="44" customWidth="1"/>
    <col min="21" max="21" width="48.140625" style="44" customWidth="1"/>
    <col min="22" max="22" width="17.140625" style="44" customWidth="1"/>
    <col min="23" max="23" width="3.85546875" style="44" customWidth="1"/>
    <col min="24" max="24" width="64.42578125" style="44" customWidth="1"/>
    <col min="25" max="25" width="3.5703125" style="44" customWidth="1"/>
    <col min="26" max="26" width="3.28515625" style="332" customWidth="1"/>
    <col min="27" max="30" width="9.140625" style="44" customWidth="1"/>
    <col min="31" max="31" width="21.5703125" style="44" customWidth="1"/>
    <col min="32" max="32" width="9.140625" style="44" customWidth="1"/>
    <col min="33" max="16384" width="9.140625" style="44"/>
  </cols>
  <sheetData>
    <row r="1" spans="2:69" ht="18" thickBot="1" x14ac:dyDescent="0.35"/>
    <row r="2" spans="2:69" ht="28.5" x14ac:dyDescent="0.45">
      <c r="B2" s="381" t="s">
        <v>697</v>
      </c>
      <c r="C2" s="382"/>
      <c r="D2" s="382"/>
      <c r="E2" s="382"/>
      <c r="F2" s="382"/>
      <c r="G2" s="382"/>
      <c r="H2" s="382"/>
      <c r="I2" s="382"/>
      <c r="J2" s="382"/>
      <c r="K2" s="382"/>
      <c r="L2" s="372" t="str">
        <f>'Customer Option Cover Page'!C6</f>
        <v>John Doe</v>
      </c>
      <c r="M2" s="372"/>
      <c r="N2" s="372"/>
      <c r="O2" s="372"/>
      <c r="P2" s="372"/>
      <c r="Q2" s="372"/>
      <c r="R2" s="372"/>
      <c r="S2" s="373"/>
      <c r="AB2" s="81"/>
      <c r="AC2" s="81"/>
      <c r="AD2" s="81"/>
      <c r="BP2" s="81"/>
      <c r="BQ2" s="81"/>
    </row>
    <row r="3" spans="2:69" ht="21" customHeight="1" thickBot="1" x14ac:dyDescent="0.35">
      <c r="B3" s="383" t="str">
        <f>U18</f>
        <v>*All pricing displayed on this page is subject to change at the sole discression of Olsen Custom Homes. Pricing will be finalized via a customer option form.*</v>
      </c>
      <c r="C3" s="384"/>
      <c r="D3" s="384"/>
      <c r="E3" s="384"/>
      <c r="F3" s="384"/>
      <c r="G3" s="384"/>
      <c r="H3" s="384"/>
      <c r="I3" s="384"/>
      <c r="J3" s="384"/>
      <c r="K3" s="384"/>
      <c r="L3" s="374" t="str">
        <f>'Customer Option Cover Page'!C7</f>
        <v>123 avenue</v>
      </c>
      <c r="M3" s="374"/>
      <c r="N3" s="374"/>
      <c r="O3" s="374"/>
      <c r="P3" s="374"/>
      <c r="Q3" s="374"/>
      <c r="R3" s="374"/>
      <c r="S3" s="375"/>
      <c r="AB3" s="81"/>
      <c r="AC3" s="81"/>
      <c r="AD3" s="81"/>
      <c r="BP3" s="81"/>
      <c r="BQ3" s="81"/>
    </row>
    <row r="4" spans="2:69" ht="26.25" x14ac:dyDescent="0.4">
      <c r="B4" s="402" t="s">
        <v>664</v>
      </c>
      <c r="C4" s="403"/>
      <c r="D4" s="403"/>
      <c r="E4" s="403"/>
      <c r="F4" s="403"/>
      <c r="G4" s="403"/>
      <c r="H4" s="403"/>
      <c r="I4" s="403"/>
      <c r="J4" s="403"/>
      <c r="K4" s="403"/>
      <c r="L4" s="404" t="s">
        <v>665</v>
      </c>
      <c r="M4" s="404"/>
      <c r="N4" s="404"/>
      <c r="O4" s="404"/>
      <c r="P4" s="404"/>
      <c r="Q4" s="404"/>
      <c r="R4" s="404"/>
      <c r="S4" s="405"/>
      <c r="T4" s="72"/>
      <c r="U4" s="370" t="s">
        <v>691</v>
      </c>
      <c r="V4" s="371"/>
      <c r="X4" s="192" t="s">
        <v>680</v>
      </c>
      <c r="AB4" s="81"/>
      <c r="AC4" s="81"/>
      <c r="AD4" s="81"/>
      <c r="AE4" s="80"/>
      <c r="AF4" s="80"/>
      <c r="AG4" s="80"/>
      <c r="AH4" s="80"/>
      <c r="AI4" s="80"/>
      <c r="AJ4" s="80"/>
      <c r="AK4" s="80"/>
      <c r="AL4" s="80"/>
      <c r="AM4" s="80"/>
      <c r="AN4" s="81"/>
      <c r="AO4" s="81"/>
      <c r="AP4" s="81"/>
      <c r="AQ4" s="81"/>
      <c r="AR4" s="81"/>
      <c r="AS4" s="81"/>
      <c r="AT4" s="81"/>
      <c r="AU4" s="81"/>
      <c r="AV4" s="81"/>
      <c r="AW4" s="81"/>
      <c r="AX4" s="81"/>
      <c r="AY4" s="81"/>
      <c r="AZ4" s="81"/>
      <c r="BA4" s="81"/>
      <c r="BB4" s="81"/>
      <c r="BC4" s="81"/>
      <c r="BD4" s="81"/>
      <c r="BE4" s="81"/>
      <c r="BF4" s="81"/>
      <c r="BG4" s="81"/>
      <c r="BH4" s="81"/>
      <c r="BI4" s="81"/>
      <c r="BJ4" s="81"/>
      <c r="BK4" s="81"/>
      <c r="BL4" s="81"/>
      <c r="BM4" s="81"/>
      <c r="BN4" s="81"/>
      <c r="BO4" s="81"/>
      <c r="BP4" s="81"/>
      <c r="BQ4" s="81"/>
    </row>
    <row r="5" spans="2:69" ht="18.75" x14ac:dyDescent="0.3">
      <c r="B5" s="217" t="s">
        <v>1</v>
      </c>
      <c r="C5" s="190" t="s">
        <v>2</v>
      </c>
      <c r="D5" s="190" t="s">
        <v>3</v>
      </c>
      <c r="E5" s="191" t="s">
        <v>4</v>
      </c>
      <c r="F5" s="191" t="s">
        <v>241</v>
      </c>
      <c r="G5" s="191" t="s">
        <v>5</v>
      </c>
      <c r="H5" s="191" t="s">
        <v>6</v>
      </c>
      <c r="I5" s="191" t="s">
        <v>7</v>
      </c>
      <c r="J5" s="191" t="s">
        <v>8</v>
      </c>
      <c r="K5" s="191" t="s">
        <v>9</v>
      </c>
      <c r="L5" s="351" t="s">
        <v>677</v>
      </c>
      <c r="M5" s="336" t="s">
        <v>678</v>
      </c>
      <c r="N5" s="336" t="s">
        <v>10</v>
      </c>
      <c r="O5" s="336" t="s">
        <v>663</v>
      </c>
      <c r="P5" s="336" t="s">
        <v>11</v>
      </c>
      <c r="Q5" s="336" t="s">
        <v>662</v>
      </c>
      <c r="R5" s="336" t="s">
        <v>12</v>
      </c>
      <c r="S5" s="337" t="s">
        <v>13</v>
      </c>
      <c r="U5" s="215" t="s">
        <v>679</v>
      </c>
      <c r="V5" s="216">
        <v>30000</v>
      </c>
      <c r="X5" s="338" t="s">
        <v>699</v>
      </c>
      <c r="AB5" s="96"/>
      <c r="AC5" s="96"/>
      <c r="AD5" s="96"/>
      <c r="AE5" s="96"/>
      <c r="AF5" s="96"/>
      <c r="AG5" s="96"/>
      <c r="AH5" s="96"/>
      <c r="AI5" s="96"/>
      <c r="AJ5" s="96"/>
      <c r="AK5" s="96"/>
      <c r="AL5" s="96"/>
      <c r="AM5" s="96"/>
      <c r="AN5" s="96"/>
      <c r="AO5" s="96"/>
      <c r="AP5" s="96"/>
      <c r="AQ5" s="96"/>
      <c r="AR5" s="96"/>
      <c r="AS5" s="96"/>
      <c r="AT5" s="96"/>
      <c r="AU5" s="96"/>
      <c r="AV5" s="96"/>
      <c r="AW5" s="96"/>
      <c r="AX5" s="96"/>
      <c r="AY5" s="96"/>
      <c r="AZ5" s="96"/>
      <c r="BA5" s="96"/>
      <c r="BB5" s="96"/>
      <c r="BC5" s="96"/>
      <c r="BD5" s="96"/>
      <c r="BE5" s="96"/>
      <c r="BF5" s="96"/>
      <c r="BG5" s="96"/>
      <c r="BH5" s="96"/>
      <c r="BI5" s="96"/>
      <c r="BJ5" s="96"/>
      <c r="BK5" s="96"/>
      <c r="BL5" s="96"/>
      <c r="BM5" s="96"/>
      <c r="BN5" s="96"/>
      <c r="BO5" s="96"/>
      <c r="BP5" s="81"/>
      <c r="BQ5" s="81"/>
    </row>
    <row r="6" spans="2:69" x14ac:dyDescent="0.3">
      <c r="B6" s="217"/>
      <c r="C6" s="218"/>
      <c r="D6" s="218"/>
      <c r="E6" s="219"/>
      <c r="F6" s="219"/>
      <c r="G6" s="219"/>
      <c r="H6" s="219"/>
      <c r="I6" s="219"/>
      <c r="J6" s="219"/>
      <c r="K6" s="219"/>
      <c r="L6" s="340"/>
      <c r="M6" s="221">
        <v>0.1</v>
      </c>
      <c r="N6" s="220"/>
      <c r="O6" s="220"/>
      <c r="P6" s="220"/>
      <c r="Q6" s="222"/>
      <c r="R6" s="222"/>
      <c r="S6" s="223">
        <v>0.65</v>
      </c>
      <c r="U6" s="197"/>
      <c r="V6" s="198"/>
      <c r="X6" s="194" t="s">
        <v>689</v>
      </c>
      <c r="AB6" s="96"/>
      <c r="AC6" s="96"/>
      <c r="AD6" s="96"/>
      <c r="AE6" s="96"/>
      <c r="AF6" s="96"/>
      <c r="AG6" s="96"/>
      <c r="AH6" s="96"/>
      <c r="AI6" s="96"/>
      <c r="AJ6" s="96"/>
      <c r="AK6" s="96"/>
      <c r="AL6" s="96"/>
      <c r="AM6" s="96"/>
      <c r="AN6" s="96"/>
      <c r="AO6" s="96"/>
      <c r="AP6" s="96"/>
      <c r="AQ6" s="96"/>
      <c r="AR6" s="96"/>
      <c r="AS6" s="96"/>
      <c r="AT6" s="96"/>
      <c r="AU6" s="96"/>
      <c r="AV6" s="96"/>
      <c r="AW6" s="96"/>
      <c r="AX6" s="96"/>
      <c r="AY6" s="96"/>
      <c r="AZ6" s="96"/>
      <c r="BA6" s="96"/>
      <c r="BB6" s="96"/>
      <c r="BC6" s="96"/>
      <c r="BD6" s="96"/>
      <c r="BE6" s="96"/>
      <c r="BF6" s="96"/>
      <c r="BG6" s="96"/>
      <c r="BH6" s="96"/>
      <c r="BI6" s="96"/>
      <c r="BJ6" s="96"/>
      <c r="BK6" s="96"/>
      <c r="BL6" s="96"/>
      <c r="BM6" s="96"/>
      <c r="BN6" s="96"/>
      <c r="BO6" s="96"/>
      <c r="BP6" s="81"/>
      <c r="BQ6" s="81"/>
    </row>
    <row r="7" spans="2:69" ht="18" customHeight="1" x14ac:dyDescent="0.35">
      <c r="B7" s="389" t="s">
        <v>14</v>
      </c>
      <c r="C7" s="390"/>
      <c r="D7" s="390"/>
      <c r="E7" s="390"/>
      <c r="F7" s="390"/>
      <c r="G7" s="390"/>
      <c r="H7" s="390"/>
      <c r="I7" s="390"/>
      <c r="J7" s="390"/>
      <c r="K7" s="390"/>
      <c r="L7" s="390"/>
      <c r="M7" s="390"/>
      <c r="N7" s="390"/>
      <c r="O7" s="390"/>
      <c r="P7" s="390"/>
      <c r="Q7" s="390"/>
      <c r="R7" s="390"/>
      <c r="S7" s="391"/>
      <c r="T7" s="95"/>
      <c r="U7" s="195" t="s">
        <v>33</v>
      </c>
      <c r="V7" s="196" t="s">
        <v>692</v>
      </c>
      <c r="X7" s="352" t="s">
        <v>713</v>
      </c>
      <c r="BP7" s="81"/>
      <c r="BQ7" s="81"/>
    </row>
    <row r="8" spans="2:69" x14ac:dyDescent="0.3">
      <c r="B8" s="224" t="s">
        <v>15</v>
      </c>
      <c r="C8" s="91" t="s">
        <v>20</v>
      </c>
      <c r="D8" s="91" t="s">
        <v>19</v>
      </c>
      <c r="E8" s="91" t="s">
        <v>340</v>
      </c>
      <c r="F8" s="94"/>
      <c r="G8" s="91"/>
      <c r="H8" s="91"/>
      <c r="I8" s="91"/>
      <c r="J8" s="91"/>
      <c r="K8" s="91"/>
      <c r="L8" s="359">
        <v>1680.7</v>
      </c>
      <c r="M8" s="187">
        <f>L8*(1+$M$6)</f>
        <v>1848.7700000000002</v>
      </c>
      <c r="N8" s="188" t="s">
        <v>18</v>
      </c>
      <c r="O8" s="92">
        <f>IF(AND($C8&lt;&gt;"",$D8&lt;&gt;"",$E8&lt;&gt;""),IF(COUNTIFS(TileTable[Section],$C8,TileTable[Level],$D8,TileTable[Item_Name],$E8)&gt;0,SUMIFS(TileTable[Olsen_Cost],TileTable[Section],$C8,TileTable[Level],$D8,TileTable[Item_Name],$E8),""),"0")</f>
        <v>7</v>
      </c>
      <c r="P8" s="93">
        <f t="shared" ref="P8:P29" si="0">O8*M8</f>
        <v>12941.390000000001</v>
      </c>
      <c r="Q8" s="99">
        <f t="shared" ref="Q8:Q26" si="1">(M8/SUM($M$8:$M$30,$M$32:$M$43,$M$45:$M$56,$M$58:$M$69,$M$71:$M$82,$M$84:$M$95,$M$97:$M$108,$M$110:$M$121,$M$123:$M$134))*$V$5</f>
        <v>29773.641356052303</v>
      </c>
      <c r="R8" s="100">
        <f>P8-Q8</f>
        <v>-16832.2513560523</v>
      </c>
      <c r="S8" s="225">
        <f>IF(R8&gt;0,R8/$S$6,R8)</f>
        <v>-16832.2513560523</v>
      </c>
      <c r="U8" s="199" t="str">
        <f>B7</f>
        <v>Main Flooring Selections</v>
      </c>
      <c r="V8" s="200">
        <f>S30</f>
        <v>-16849.351599141799</v>
      </c>
      <c r="X8" s="113" t="s">
        <v>716</v>
      </c>
      <c r="BP8" s="81"/>
      <c r="BQ8" s="81"/>
    </row>
    <row r="9" spans="2:69" x14ac:dyDescent="0.3">
      <c r="B9" s="224" t="s">
        <v>21</v>
      </c>
      <c r="C9" s="91" t="s">
        <v>64</v>
      </c>
      <c r="D9" s="91" t="s">
        <v>17</v>
      </c>
      <c r="E9" s="91" t="s">
        <v>434</v>
      </c>
      <c r="F9" s="94"/>
      <c r="G9" s="91"/>
      <c r="H9" s="91"/>
      <c r="I9" s="91"/>
      <c r="J9" s="91"/>
      <c r="K9" s="127"/>
      <c r="L9" s="359"/>
      <c r="M9" s="187">
        <f t="shared" ref="M9:M41" si="2">L9*(1+$M$6)</f>
        <v>0</v>
      </c>
      <c r="N9" s="188" t="s">
        <v>18</v>
      </c>
      <c r="O9" s="92">
        <f>IF(AND($C9&lt;&gt;"",$D9&lt;&gt;"",$E9&lt;&gt;""),IF(COUNTIFS(TileTable[Section],$C9,TileTable[Level],$D9,TileTable[Item_Name],$E9)&gt;0,SUMIFS(TileTable[Olsen_Cost],TileTable[Section],$C9,TileTable[Level],$D9,TileTable[Item_Name],$E9),""),"0")</f>
        <v>10.47</v>
      </c>
      <c r="P9" s="93">
        <f t="shared" si="0"/>
        <v>0</v>
      </c>
      <c r="Q9" s="99">
        <f t="shared" si="1"/>
        <v>0</v>
      </c>
      <c r="R9" s="100">
        <f t="shared" ref="R9:R29" si="3">P9-Q9</f>
        <v>0</v>
      </c>
      <c r="S9" s="225">
        <f t="shared" ref="S9:S29" si="4">IF(R9&gt;0,R9/$S$6,R9)</f>
        <v>0</v>
      </c>
      <c r="U9" s="201" t="str">
        <f>B31</f>
        <v>Master Bathroom</v>
      </c>
      <c r="V9" s="202">
        <f>S43</f>
        <v>-49.208400858194508</v>
      </c>
      <c r="X9" s="113" t="s">
        <v>708</v>
      </c>
      <c r="BP9" s="81"/>
      <c r="BQ9" s="81"/>
    </row>
    <row r="10" spans="2:69" x14ac:dyDescent="0.3">
      <c r="B10" s="224" t="s">
        <v>22</v>
      </c>
      <c r="C10" s="91" t="s">
        <v>109</v>
      </c>
      <c r="D10" s="91" t="s">
        <v>153</v>
      </c>
      <c r="E10" s="91"/>
      <c r="F10" s="94"/>
      <c r="G10" s="91"/>
      <c r="H10" s="91"/>
      <c r="I10" s="91"/>
      <c r="J10" s="91"/>
      <c r="K10" s="127"/>
      <c r="L10" s="359"/>
      <c r="M10" s="187">
        <f t="shared" si="2"/>
        <v>0</v>
      </c>
      <c r="N10" s="188" t="s">
        <v>18</v>
      </c>
      <c r="O10" s="92" t="str">
        <f>IF(AND($C10&lt;&gt;"",$D10&lt;&gt;"",$E10&lt;&gt;""),IF(COUNTIFS(TileTable[Section],$C10,TileTable[Level],$D10,TileTable[Item_Name],$E10)&gt;0,SUMIFS(TileTable[Olsen_Cost],TileTable[Section],$C10,TileTable[Level],$D10,TileTable[Item_Name],$E10),""),"0")</f>
        <v>0</v>
      </c>
      <c r="P10" s="93">
        <f t="shared" si="0"/>
        <v>0</v>
      </c>
      <c r="Q10" s="99">
        <f t="shared" si="1"/>
        <v>0</v>
      </c>
      <c r="R10" s="100">
        <f t="shared" si="3"/>
        <v>0</v>
      </c>
      <c r="S10" s="225">
        <f t="shared" si="4"/>
        <v>0</v>
      </c>
      <c r="U10" s="203" t="str">
        <f>B44</f>
        <v>Bathroom #2</v>
      </c>
      <c r="V10" s="204">
        <f>S56</f>
        <v>0</v>
      </c>
      <c r="X10" s="113" t="s">
        <v>682</v>
      </c>
      <c r="BP10" s="81"/>
      <c r="BQ10" s="81"/>
    </row>
    <row r="11" spans="2:69" x14ac:dyDescent="0.3">
      <c r="B11" s="224" t="s">
        <v>226</v>
      </c>
      <c r="C11" s="91" t="s">
        <v>87</v>
      </c>
      <c r="D11" s="91"/>
      <c r="E11" s="91"/>
      <c r="F11" s="94"/>
      <c r="G11" s="91"/>
      <c r="H11" s="91"/>
      <c r="I11" s="91"/>
      <c r="J11" s="91"/>
      <c r="K11" s="127"/>
      <c r="L11" s="359"/>
      <c r="M11" s="187">
        <f t="shared" si="2"/>
        <v>0</v>
      </c>
      <c r="N11" s="188" t="s">
        <v>18</v>
      </c>
      <c r="O11" s="92" t="str">
        <f>IF(AND($C11&lt;&gt;"",$D11&lt;&gt;"",$E11&lt;&gt;""),IF(COUNTIFS(TileTable[Section],$C11,TileTable[Level],$D11,TileTable[Item_Name],$E11)&gt;0,SUMIFS(TileTable[Olsen_Cost],TileTable[Section],$C11,TileTable[Level],$D11,TileTable[Item_Name],$E11),""),"0")</f>
        <v>0</v>
      </c>
      <c r="P11" s="93">
        <f t="shared" si="0"/>
        <v>0</v>
      </c>
      <c r="Q11" s="99">
        <f t="shared" si="1"/>
        <v>0</v>
      </c>
      <c r="R11" s="100">
        <f t="shared" si="3"/>
        <v>0</v>
      </c>
      <c r="S11" s="225">
        <f t="shared" si="4"/>
        <v>0</v>
      </c>
      <c r="U11" s="205" t="str">
        <f>B57</f>
        <v>Bathroom #3</v>
      </c>
      <c r="V11" s="206">
        <f>S69</f>
        <v>0</v>
      </c>
      <c r="X11" s="113" t="s">
        <v>683</v>
      </c>
      <c r="BP11" s="81"/>
      <c r="BQ11" s="81"/>
    </row>
    <row r="12" spans="2:69" x14ac:dyDescent="0.3">
      <c r="B12" s="224" t="s">
        <v>23</v>
      </c>
      <c r="C12" s="91" t="s">
        <v>933</v>
      </c>
      <c r="D12" s="91" t="s">
        <v>153</v>
      </c>
      <c r="E12" s="91" t="s">
        <v>929</v>
      </c>
      <c r="F12" s="94"/>
      <c r="G12" s="91"/>
      <c r="H12" s="91"/>
      <c r="I12" s="91"/>
      <c r="J12" s="91"/>
      <c r="K12" s="127"/>
      <c r="L12" s="359">
        <v>10</v>
      </c>
      <c r="M12" s="187">
        <f t="shared" ref="M12:M26" si="5">L12*(1+$M$6)</f>
        <v>11</v>
      </c>
      <c r="N12" s="188" t="s">
        <v>18</v>
      </c>
      <c r="O12" s="92">
        <f>IF(AND($C12&lt;&gt;"",$D12&lt;&gt;"",$E12&lt;&gt;""),IF(COUNTIFS(TileTable[Section],$C12,TileTable[Level],$D12,TileTable[Item_Name],$E12)&gt;0,SUMIFS(TileTable[Olsen_Cost],TileTable[Section],$C12,TileTable[Level],$D12,TileTable[Item_Name],$E12),""),"0")</f>
        <v>14.55</v>
      </c>
      <c r="P12" s="93">
        <f t="shared" ref="P12:P26" si="6">O12*M12</f>
        <v>160.05000000000001</v>
      </c>
      <c r="Q12" s="99">
        <f t="shared" si="1"/>
        <v>177.15024308950021</v>
      </c>
      <c r="R12" s="100">
        <f t="shared" ref="R12:R26" si="7">P12-Q12</f>
        <v>-17.100243089500196</v>
      </c>
      <c r="S12" s="225">
        <f t="shared" ref="S12:S26" si="8">IF(R12&gt;0,R12/$S$6,R12)</f>
        <v>-17.100243089500196</v>
      </c>
      <c r="U12" s="207" t="str">
        <f>B70</f>
        <v>Bathroom #4</v>
      </c>
      <c r="V12" s="208">
        <f>S82</f>
        <v>0</v>
      </c>
      <c r="X12" s="113" t="s">
        <v>717</v>
      </c>
      <c r="BP12" s="81"/>
      <c r="BQ12" s="81"/>
    </row>
    <row r="13" spans="2:69" x14ac:dyDescent="0.3">
      <c r="B13" s="224" t="s">
        <v>140</v>
      </c>
      <c r="C13" s="91" t="s">
        <v>20</v>
      </c>
      <c r="D13" s="91"/>
      <c r="E13" s="91"/>
      <c r="F13" s="94"/>
      <c r="G13" s="91"/>
      <c r="H13" s="91"/>
      <c r="I13" s="91"/>
      <c r="J13" s="91"/>
      <c r="K13" s="127"/>
      <c r="L13" s="359"/>
      <c r="M13" s="187">
        <f t="shared" si="5"/>
        <v>0</v>
      </c>
      <c r="N13" s="188" t="s">
        <v>18</v>
      </c>
      <c r="O13" s="92" t="str">
        <f>IF(AND($C13&lt;&gt;"",$D13&lt;&gt;"",$E13&lt;&gt;""),IF(COUNTIFS(TileTable[Section],$C13,TileTable[Level],$D13,TileTable[Item_Name],$E13)&gt;0,SUMIFS(TileTable[Olsen_Cost],TileTable[Section],$C13,TileTable[Level],$D13,TileTable[Item_Name],$E13),""),"0")</f>
        <v>0</v>
      </c>
      <c r="P13" s="93">
        <f t="shared" si="6"/>
        <v>0</v>
      </c>
      <c r="Q13" s="99">
        <f t="shared" si="1"/>
        <v>0</v>
      </c>
      <c r="R13" s="100">
        <f t="shared" si="7"/>
        <v>0</v>
      </c>
      <c r="S13" s="225">
        <f t="shared" si="8"/>
        <v>0</v>
      </c>
      <c r="U13" s="201" t="str">
        <f>B83</f>
        <v>Bathroom #5</v>
      </c>
      <c r="V13" s="202">
        <f>S95</f>
        <v>0</v>
      </c>
      <c r="X13" s="113" t="s">
        <v>690</v>
      </c>
      <c r="BP13" s="81"/>
      <c r="BQ13" s="81"/>
    </row>
    <row r="14" spans="2:69" x14ac:dyDescent="0.3">
      <c r="B14" s="224" t="s">
        <v>144</v>
      </c>
      <c r="C14" s="91" t="s">
        <v>20</v>
      </c>
      <c r="D14" s="91"/>
      <c r="E14" s="91"/>
      <c r="F14" s="94"/>
      <c r="G14" s="91"/>
      <c r="H14" s="91"/>
      <c r="I14" s="91"/>
      <c r="J14" s="91"/>
      <c r="K14" s="127"/>
      <c r="L14" s="359"/>
      <c r="M14" s="187">
        <f t="shared" si="5"/>
        <v>0</v>
      </c>
      <c r="N14" s="188" t="s">
        <v>18</v>
      </c>
      <c r="O14" s="92" t="str">
        <f>IF(AND($C14&lt;&gt;"",$D14&lt;&gt;"",$E14&lt;&gt;""),IF(COUNTIFS(TileTable[Section],$C14,TileTable[Level],$D14,TileTable[Item_Name],$E14)&gt;0,SUMIFS(TileTable[Olsen_Cost],TileTable[Section],$C14,TileTable[Level],$D14,TileTable[Item_Name],$E14),""),"0")</f>
        <v>0</v>
      </c>
      <c r="P14" s="93">
        <f t="shared" si="6"/>
        <v>0</v>
      </c>
      <c r="Q14" s="99">
        <f t="shared" si="1"/>
        <v>0</v>
      </c>
      <c r="R14" s="100">
        <f t="shared" si="7"/>
        <v>0</v>
      </c>
      <c r="S14" s="225">
        <f t="shared" si="8"/>
        <v>0</v>
      </c>
      <c r="U14" s="209" t="str">
        <f>B96</f>
        <v>Bathroom #6</v>
      </c>
      <c r="V14" s="210">
        <f>S108</f>
        <v>0</v>
      </c>
      <c r="X14" s="353" t="s">
        <v>712</v>
      </c>
      <c r="BP14" s="81"/>
      <c r="BQ14" s="81"/>
    </row>
    <row r="15" spans="2:69" x14ac:dyDescent="0.3">
      <c r="B15" s="224" t="s">
        <v>148</v>
      </c>
      <c r="C15" s="91" t="s">
        <v>20</v>
      </c>
      <c r="D15" s="91"/>
      <c r="E15" s="91"/>
      <c r="F15" s="94"/>
      <c r="G15" s="91"/>
      <c r="H15" s="91"/>
      <c r="I15" s="91"/>
      <c r="J15" s="91"/>
      <c r="K15" s="127"/>
      <c r="L15" s="359"/>
      <c r="M15" s="187">
        <f t="shared" si="5"/>
        <v>0</v>
      </c>
      <c r="N15" s="188" t="s">
        <v>18</v>
      </c>
      <c r="O15" s="92" t="str">
        <f>IF(AND($C15&lt;&gt;"",$D15&lt;&gt;"",$E15&lt;&gt;""),IF(COUNTIFS(TileTable[Section],$C15,TileTable[Level],$D15,TileTable[Item_Name],$E15)&gt;0,SUMIFS(TileTable[Olsen_Cost],TileTable[Section],$C15,TileTable[Level],$D15,TileTable[Item_Name],$E15),""),"0")</f>
        <v>0</v>
      </c>
      <c r="P15" s="93">
        <f t="shared" si="6"/>
        <v>0</v>
      </c>
      <c r="Q15" s="99">
        <f t="shared" si="1"/>
        <v>0</v>
      </c>
      <c r="R15" s="100">
        <f t="shared" si="7"/>
        <v>0</v>
      </c>
      <c r="S15" s="225">
        <f t="shared" si="8"/>
        <v>0</v>
      </c>
      <c r="U15" s="211" t="str">
        <f>B109</f>
        <v>Backsplash</v>
      </c>
      <c r="V15" s="212">
        <f>S121</f>
        <v>0</v>
      </c>
      <c r="X15" s="109" t="s">
        <v>714</v>
      </c>
      <c r="BP15" s="81"/>
      <c r="BQ15" s="81"/>
    </row>
    <row r="16" spans="2:69" x14ac:dyDescent="0.3">
      <c r="B16" s="224" t="s">
        <v>654</v>
      </c>
      <c r="C16" s="91" t="s">
        <v>20</v>
      </c>
      <c r="D16" s="91"/>
      <c r="E16" s="91"/>
      <c r="F16" s="94"/>
      <c r="G16" s="91"/>
      <c r="H16" s="91"/>
      <c r="I16" s="91"/>
      <c r="J16" s="91"/>
      <c r="K16" s="127"/>
      <c r="L16" s="359"/>
      <c r="M16" s="187">
        <f t="shared" si="5"/>
        <v>0</v>
      </c>
      <c r="N16" s="188" t="s">
        <v>18</v>
      </c>
      <c r="O16" s="92" t="str">
        <f>IF(AND($C16&lt;&gt;"",$D16&lt;&gt;"",$E16&lt;&gt;""),IF(COUNTIFS(TileTable[Section],$C16,TileTable[Level],$D16,TileTable[Item_Name],$E16)&gt;0,SUMIFS(TileTable[Olsen_Cost],TileTable[Section],$C16,TileTable[Level],$D16,TileTable[Item_Name],$E16),""),"0")</f>
        <v>0</v>
      </c>
      <c r="P16" s="93">
        <f t="shared" si="6"/>
        <v>0</v>
      </c>
      <c r="Q16" s="99">
        <f t="shared" si="1"/>
        <v>0</v>
      </c>
      <c r="R16" s="100">
        <f t="shared" si="7"/>
        <v>0</v>
      </c>
      <c r="S16" s="225">
        <f t="shared" si="8"/>
        <v>0</v>
      </c>
      <c r="U16" s="213" t="str">
        <f>B122</f>
        <v>Fireplace</v>
      </c>
      <c r="V16" s="214">
        <f>S134</f>
        <v>0</v>
      </c>
      <c r="X16" s="109" t="s">
        <v>715</v>
      </c>
      <c r="BP16" s="81"/>
      <c r="BQ16" s="81"/>
    </row>
    <row r="17" spans="2:69" x14ac:dyDescent="0.3">
      <c r="B17" s="224" t="s">
        <v>152</v>
      </c>
      <c r="C17" s="91" t="s">
        <v>20</v>
      </c>
      <c r="D17" s="91"/>
      <c r="E17" s="91"/>
      <c r="F17" s="94"/>
      <c r="G17" s="91"/>
      <c r="H17" s="91"/>
      <c r="I17" s="91"/>
      <c r="J17" s="91"/>
      <c r="K17" s="127"/>
      <c r="L17" s="359"/>
      <c r="M17" s="187">
        <f t="shared" si="5"/>
        <v>0</v>
      </c>
      <c r="N17" s="188" t="s">
        <v>18</v>
      </c>
      <c r="O17" s="92" t="str">
        <f>IF(AND($C17&lt;&gt;"",$D17&lt;&gt;"",$E17&lt;&gt;""),IF(COUNTIFS(TileTable[Section],$C17,TileTable[Level],$D17,TileTable[Item_Name],$E17)&gt;0,SUMIFS(TileTable[Olsen_Cost],TileTable[Section],$C17,TileTable[Level],$D17,TileTable[Item_Name],$E17),""),"0")</f>
        <v>0</v>
      </c>
      <c r="P17" s="93">
        <f t="shared" si="6"/>
        <v>0</v>
      </c>
      <c r="Q17" s="99">
        <f t="shared" si="1"/>
        <v>0</v>
      </c>
      <c r="R17" s="100">
        <f t="shared" si="7"/>
        <v>0</v>
      </c>
      <c r="S17" s="225">
        <f t="shared" si="8"/>
        <v>0</v>
      </c>
      <c r="U17" s="334" t="s">
        <v>693</v>
      </c>
      <c r="V17" s="335">
        <f>SUM(V8:V16)</f>
        <v>-16898.559999999994</v>
      </c>
      <c r="X17" s="109"/>
      <c r="BP17" s="81"/>
      <c r="BQ17" s="81"/>
    </row>
    <row r="18" spans="2:69" x14ac:dyDescent="0.3">
      <c r="B18" s="224" t="s">
        <v>158</v>
      </c>
      <c r="C18" s="91" t="s">
        <v>20</v>
      </c>
      <c r="D18" s="91"/>
      <c r="E18" s="91"/>
      <c r="F18" s="94"/>
      <c r="G18" s="91"/>
      <c r="H18" s="91"/>
      <c r="I18" s="91"/>
      <c r="J18" s="91"/>
      <c r="K18" s="127"/>
      <c r="L18" s="359"/>
      <c r="M18" s="187">
        <f t="shared" si="5"/>
        <v>0</v>
      </c>
      <c r="N18" s="188" t="s">
        <v>18</v>
      </c>
      <c r="O18" s="92" t="str">
        <f>IF(AND($C18&lt;&gt;"",$D18&lt;&gt;"",$E18&lt;&gt;""),IF(COUNTIFS(TileTable[Section],$C18,TileTable[Level],$D18,TileTable[Item_Name],$E18)&gt;0,SUMIFS(TileTable[Olsen_Cost],TileTable[Section],$C18,TileTable[Level],$D18,TileTable[Item_Name],$E18),""),"0")</f>
        <v>0</v>
      </c>
      <c r="P18" s="93">
        <f t="shared" si="6"/>
        <v>0</v>
      </c>
      <c r="Q18" s="99">
        <f t="shared" si="1"/>
        <v>0</v>
      </c>
      <c r="R18" s="100">
        <f t="shared" si="7"/>
        <v>0</v>
      </c>
      <c r="S18" s="225">
        <f t="shared" si="8"/>
        <v>0</v>
      </c>
      <c r="U18" s="377" t="s">
        <v>698</v>
      </c>
      <c r="V18" s="378"/>
      <c r="X18" s="353" t="s">
        <v>706</v>
      </c>
      <c r="BP18" s="81"/>
      <c r="BQ18" s="81"/>
    </row>
    <row r="19" spans="2:69" x14ac:dyDescent="0.3">
      <c r="B19" s="224" t="s">
        <v>162</v>
      </c>
      <c r="C19" s="91" t="s">
        <v>20</v>
      </c>
      <c r="D19" s="91"/>
      <c r="E19" s="91"/>
      <c r="F19" s="94"/>
      <c r="G19" s="91"/>
      <c r="H19" s="91"/>
      <c r="I19" s="91"/>
      <c r="J19" s="91"/>
      <c r="K19" s="127"/>
      <c r="L19" s="359"/>
      <c r="M19" s="187">
        <f t="shared" si="5"/>
        <v>0</v>
      </c>
      <c r="N19" s="188" t="s">
        <v>18</v>
      </c>
      <c r="O19" s="92" t="str">
        <f>IF(AND($C19&lt;&gt;"",$D19&lt;&gt;"",$E19&lt;&gt;""),IF(COUNTIFS(TileTable[Section],$C19,TileTable[Level],$D19,TileTable[Item_Name],$E19)&gt;0,SUMIFS(TileTable[Olsen_Cost],TileTable[Section],$C19,TileTable[Level],$D19,TileTable[Item_Name],$E19),""),"0")</f>
        <v>0</v>
      </c>
      <c r="P19" s="93">
        <f t="shared" si="6"/>
        <v>0</v>
      </c>
      <c r="Q19" s="99">
        <f t="shared" si="1"/>
        <v>0</v>
      </c>
      <c r="R19" s="100">
        <f t="shared" si="7"/>
        <v>0</v>
      </c>
      <c r="S19" s="225">
        <f t="shared" si="8"/>
        <v>0</v>
      </c>
      <c r="U19" s="377"/>
      <c r="V19" s="378"/>
      <c r="X19" s="109" t="s">
        <v>684</v>
      </c>
      <c r="BP19" s="81"/>
      <c r="BQ19" s="81"/>
    </row>
    <row r="20" spans="2:69" ht="18" thickBot="1" x14ac:dyDescent="0.35">
      <c r="B20" s="224" t="s">
        <v>167</v>
      </c>
      <c r="C20" s="91" t="s">
        <v>20</v>
      </c>
      <c r="D20" s="91"/>
      <c r="E20" s="91"/>
      <c r="F20" s="94"/>
      <c r="G20" s="91"/>
      <c r="H20" s="91"/>
      <c r="I20" s="91"/>
      <c r="J20" s="91"/>
      <c r="K20" s="127"/>
      <c r="L20" s="359"/>
      <c r="M20" s="187">
        <f t="shared" si="5"/>
        <v>0</v>
      </c>
      <c r="N20" s="188" t="s">
        <v>18</v>
      </c>
      <c r="O20" s="92" t="str">
        <f>IF(AND($C20&lt;&gt;"",$D20&lt;&gt;"",$E20&lt;&gt;""),IF(COUNTIFS(TileTable[Section],$C20,TileTable[Level],$D20,TileTable[Item_Name],$E20)&gt;0,SUMIFS(TileTable[Olsen_Cost],TileTable[Section],$C20,TileTable[Level],$D20,TileTable[Item_Name],$E20),""),"0")</f>
        <v>0</v>
      </c>
      <c r="P20" s="93">
        <f t="shared" si="6"/>
        <v>0</v>
      </c>
      <c r="Q20" s="99">
        <f t="shared" si="1"/>
        <v>0</v>
      </c>
      <c r="R20" s="100">
        <f t="shared" si="7"/>
        <v>0</v>
      </c>
      <c r="S20" s="225">
        <f t="shared" si="8"/>
        <v>0</v>
      </c>
      <c r="U20" s="379"/>
      <c r="V20" s="380"/>
      <c r="X20" s="109" t="s">
        <v>685</v>
      </c>
      <c r="BP20" s="81"/>
      <c r="BQ20" s="81"/>
    </row>
    <row r="21" spans="2:69" x14ac:dyDescent="0.3">
      <c r="B21" s="224" t="s">
        <v>171</v>
      </c>
      <c r="C21" s="91" t="s">
        <v>20</v>
      </c>
      <c r="D21" s="91"/>
      <c r="E21" s="91"/>
      <c r="F21" s="94"/>
      <c r="G21" s="91"/>
      <c r="H21" s="91"/>
      <c r="I21" s="91"/>
      <c r="J21" s="91"/>
      <c r="K21" s="127"/>
      <c r="L21" s="359"/>
      <c r="M21" s="187">
        <f t="shared" si="5"/>
        <v>0</v>
      </c>
      <c r="N21" s="188" t="s">
        <v>18</v>
      </c>
      <c r="O21" s="92" t="str">
        <f>IF(AND($C21&lt;&gt;"",$D21&lt;&gt;"",$E21&lt;&gt;""),IF(COUNTIFS(TileTable[Section],$C21,TileTable[Level],$D21,TileTable[Item_Name],$E21)&gt;0,SUMIFS(TileTable[Olsen_Cost],TileTable[Section],$C21,TileTable[Level],$D21,TileTable[Item_Name],$E21),""),"0")</f>
        <v>0</v>
      </c>
      <c r="P21" s="93">
        <f t="shared" si="6"/>
        <v>0</v>
      </c>
      <c r="Q21" s="99">
        <f t="shared" si="1"/>
        <v>0</v>
      </c>
      <c r="R21" s="100">
        <f t="shared" si="7"/>
        <v>0</v>
      </c>
      <c r="S21" s="225">
        <f t="shared" si="8"/>
        <v>0</v>
      </c>
      <c r="U21" s="68"/>
      <c r="X21" s="109" t="s">
        <v>686</v>
      </c>
      <c r="BP21" s="81"/>
      <c r="BQ21" s="81"/>
    </row>
    <row r="22" spans="2:69" x14ac:dyDescent="0.3">
      <c r="B22" s="224" t="s">
        <v>185</v>
      </c>
      <c r="C22" s="91" t="s">
        <v>20</v>
      </c>
      <c r="D22" s="91"/>
      <c r="E22" s="91"/>
      <c r="F22" s="94"/>
      <c r="G22" s="91"/>
      <c r="H22" s="91"/>
      <c r="I22" s="91"/>
      <c r="J22" s="91"/>
      <c r="K22" s="127"/>
      <c r="L22" s="359"/>
      <c r="M22" s="187">
        <f t="shared" si="5"/>
        <v>0</v>
      </c>
      <c r="N22" s="188" t="s">
        <v>18</v>
      </c>
      <c r="O22" s="92" t="str">
        <f>IF(AND($C22&lt;&gt;"",$D22&lt;&gt;"",$E22&lt;&gt;""),IF(COUNTIFS(TileTable[Section],$C22,TileTable[Level],$D22,TileTable[Item_Name],$E22)&gt;0,SUMIFS(TileTable[Olsen_Cost],TileTable[Section],$C22,TileTable[Level],$D22,TileTable[Item_Name],$E22),""),"0")</f>
        <v>0</v>
      </c>
      <c r="P22" s="93">
        <f t="shared" si="6"/>
        <v>0</v>
      </c>
      <c r="Q22" s="99">
        <f t="shared" si="1"/>
        <v>0</v>
      </c>
      <c r="R22" s="100">
        <f t="shared" si="7"/>
        <v>0</v>
      </c>
      <c r="S22" s="225">
        <f t="shared" si="8"/>
        <v>0</v>
      </c>
      <c r="U22" s="68"/>
      <c r="X22" s="109" t="s">
        <v>687</v>
      </c>
      <c r="BP22" s="81"/>
      <c r="BQ22" s="81"/>
    </row>
    <row r="23" spans="2:69" x14ac:dyDescent="0.3">
      <c r="B23" s="224" t="s">
        <v>189</v>
      </c>
      <c r="C23" s="91" t="s">
        <v>20</v>
      </c>
      <c r="D23" s="91"/>
      <c r="E23" s="91"/>
      <c r="F23" s="94"/>
      <c r="G23" s="91"/>
      <c r="H23" s="91"/>
      <c r="I23" s="91"/>
      <c r="J23" s="91"/>
      <c r="K23" s="127"/>
      <c r="L23" s="359"/>
      <c r="M23" s="187">
        <f t="shared" si="5"/>
        <v>0</v>
      </c>
      <c r="N23" s="188" t="s">
        <v>18</v>
      </c>
      <c r="O23" s="92" t="str">
        <f>IF(AND($C23&lt;&gt;"",$D23&lt;&gt;"",$E23&lt;&gt;""),IF(COUNTIFS(TileTable[Section],$C23,TileTable[Level],$D23,TileTable[Item_Name],$E23)&gt;0,SUMIFS(TileTable[Olsen_Cost],TileTable[Section],$C23,TileTable[Level],$D23,TileTable[Item_Name],$E23),""),"0")</f>
        <v>0</v>
      </c>
      <c r="P23" s="93">
        <f t="shared" si="6"/>
        <v>0</v>
      </c>
      <c r="Q23" s="99">
        <f t="shared" si="1"/>
        <v>0</v>
      </c>
      <c r="R23" s="100">
        <f t="shared" si="7"/>
        <v>0</v>
      </c>
      <c r="S23" s="225">
        <f t="shared" si="8"/>
        <v>0</v>
      </c>
      <c r="U23" s="68"/>
      <c r="X23" s="109" t="s">
        <v>688</v>
      </c>
      <c r="BP23" s="81"/>
      <c r="BQ23" s="81"/>
    </row>
    <row r="24" spans="2:69" x14ac:dyDescent="0.3">
      <c r="B24" s="224" t="s">
        <v>192</v>
      </c>
      <c r="C24" s="91" t="s">
        <v>20</v>
      </c>
      <c r="D24" s="91"/>
      <c r="E24" s="91"/>
      <c r="F24" s="94"/>
      <c r="G24" s="91"/>
      <c r="H24" s="91"/>
      <c r="I24" s="91"/>
      <c r="J24" s="91"/>
      <c r="K24" s="127"/>
      <c r="L24" s="359"/>
      <c r="M24" s="187">
        <f t="shared" si="5"/>
        <v>0</v>
      </c>
      <c r="N24" s="188" t="s">
        <v>18</v>
      </c>
      <c r="O24" s="92" t="str">
        <f>IF(AND($C24&lt;&gt;"",$D24&lt;&gt;"",$E24&lt;&gt;""),IF(COUNTIFS(TileTable[Section],$C24,TileTable[Level],$D24,TileTable[Item_Name],$E24)&gt;0,SUMIFS(TileTable[Olsen_Cost],TileTable[Section],$C24,TileTable[Level],$D24,TileTable[Item_Name],$E24),""),"0")</f>
        <v>0</v>
      </c>
      <c r="P24" s="93">
        <f t="shared" si="6"/>
        <v>0</v>
      </c>
      <c r="Q24" s="99">
        <f t="shared" si="1"/>
        <v>0</v>
      </c>
      <c r="R24" s="100">
        <f t="shared" si="7"/>
        <v>0</v>
      </c>
      <c r="S24" s="225">
        <f t="shared" si="8"/>
        <v>0</v>
      </c>
      <c r="U24" s="68"/>
      <c r="X24" s="109" t="s">
        <v>709</v>
      </c>
      <c r="BP24" s="81"/>
      <c r="BQ24" s="81"/>
    </row>
    <row r="25" spans="2:69" x14ac:dyDescent="0.3">
      <c r="B25" s="224" t="s">
        <v>195</v>
      </c>
      <c r="C25" s="91" t="s">
        <v>20</v>
      </c>
      <c r="D25" s="91"/>
      <c r="E25" s="91"/>
      <c r="F25" s="94"/>
      <c r="G25" s="91"/>
      <c r="H25" s="91"/>
      <c r="I25" s="91"/>
      <c r="J25" s="91"/>
      <c r="K25" s="127"/>
      <c r="L25" s="359"/>
      <c r="M25" s="187">
        <f t="shared" si="5"/>
        <v>0</v>
      </c>
      <c r="N25" s="188" t="s">
        <v>18</v>
      </c>
      <c r="O25" s="92" t="str">
        <f>IF(AND($C25&lt;&gt;"",$D25&lt;&gt;"",$E25&lt;&gt;""),IF(COUNTIFS(TileTable[Section],$C25,TileTable[Level],$D25,TileTable[Item_Name],$E25)&gt;0,SUMIFS(TileTable[Olsen_Cost],TileTable[Section],$C25,TileTable[Level],$D25,TileTable[Item_Name],$E25),""),"0")</f>
        <v>0</v>
      </c>
      <c r="P25" s="93">
        <f t="shared" si="6"/>
        <v>0</v>
      </c>
      <c r="Q25" s="99">
        <f t="shared" si="1"/>
        <v>0</v>
      </c>
      <c r="R25" s="100">
        <f t="shared" si="7"/>
        <v>0</v>
      </c>
      <c r="S25" s="225">
        <f t="shared" si="8"/>
        <v>0</v>
      </c>
      <c r="U25" s="68"/>
      <c r="X25" s="109" t="s">
        <v>710</v>
      </c>
      <c r="BP25" s="81"/>
      <c r="BQ25" s="81"/>
    </row>
    <row r="26" spans="2:69" x14ac:dyDescent="0.3">
      <c r="B26" s="224" t="s">
        <v>198</v>
      </c>
      <c r="C26" s="91" t="s">
        <v>20</v>
      </c>
      <c r="D26" s="91"/>
      <c r="E26" s="91"/>
      <c r="F26" s="94"/>
      <c r="G26" s="91"/>
      <c r="H26" s="91"/>
      <c r="I26" s="91"/>
      <c r="J26" s="91"/>
      <c r="K26" s="127"/>
      <c r="L26" s="359"/>
      <c r="M26" s="187">
        <f t="shared" si="5"/>
        <v>0</v>
      </c>
      <c r="N26" s="188" t="s">
        <v>18</v>
      </c>
      <c r="O26" s="92" t="str">
        <f>IF(AND($C26&lt;&gt;"",$D26&lt;&gt;"",$E26&lt;&gt;""),IF(COUNTIFS(TileTable[Section],$C26,TileTable[Level],$D26,TileTable[Item_Name],$E26)&gt;0,SUMIFS(TileTable[Olsen_Cost],TileTable[Section],$C26,TileTable[Level],$D26,TileTable[Item_Name],$E26),""),"0")</f>
        <v>0</v>
      </c>
      <c r="P26" s="93">
        <f t="shared" si="6"/>
        <v>0</v>
      </c>
      <c r="Q26" s="99">
        <f t="shared" si="1"/>
        <v>0</v>
      </c>
      <c r="R26" s="100">
        <f t="shared" si="7"/>
        <v>0</v>
      </c>
      <c r="S26" s="225">
        <f t="shared" si="8"/>
        <v>0</v>
      </c>
      <c r="U26" s="68"/>
      <c r="X26" s="109" t="s">
        <v>718</v>
      </c>
      <c r="BP26" s="81"/>
      <c r="BQ26" s="81"/>
    </row>
    <row r="27" spans="2:69" x14ac:dyDescent="0.3">
      <c r="B27" s="224"/>
      <c r="C27" s="91"/>
      <c r="D27" s="91"/>
      <c r="E27" s="91"/>
      <c r="F27" s="94"/>
      <c r="G27" s="91"/>
      <c r="H27" s="91"/>
      <c r="I27" s="91"/>
      <c r="J27" s="91"/>
      <c r="K27" s="127"/>
      <c r="L27" s="359"/>
      <c r="M27" s="187">
        <f t="shared" ref="M27:M28" si="9">L27*(1+$M$6)</f>
        <v>0</v>
      </c>
      <c r="N27" s="188" t="s">
        <v>18</v>
      </c>
      <c r="O27" s="92" t="str">
        <f>IF(AND($C27&lt;&gt;"",$D27&lt;&gt;"",$E27&lt;&gt;""),IF(COUNTIFS(TileTable[Section],$C27,TileTable[Level],$D27,TileTable[Item_Name],$E27)&gt;0,SUMIFS(TileTable[Olsen_Cost],TileTable[Section],$C27,TileTable[Level],$D27,TileTable[Item_Name],$E27),""),"0")</f>
        <v>0</v>
      </c>
      <c r="P27" s="93">
        <f t="shared" ref="P27:P28" si="10">O27*M27</f>
        <v>0</v>
      </c>
      <c r="Q27" s="99">
        <f t="shared" ref="Q27:Q28" si="11">(M27/SUM($M$8:$M$30,$M$32:$M$43,$M$45:$M$56,$M$58:$M$69,$M$71:$M$82,$M$84:$M$95,$M$97:$M$108,$M$110:$M$121,$M$123:$M$134))*$V$5</f>
        <v>0</v>
      </c>
      <c r="R27" s="100">
        <f t="shared" ref="R27:R28" si="12">P27-Q27</f>
        <v>0</v>
      </c>
      <c r="S27" s="225">
        <f t="shared" ref="S27:S28" si="13">IF(R27&gt;0,R27/$S$6,R27)</f>
        <v>0</v>
      </c>
      <c r="U27" s="68"/>
      <c r="X27" s="109" t="s">
        <v>719</v>
      </c>
      <c r="BP27" s="81"/>
      <c r="BQ27" s="81"/>
    </row>
    <row r="28" spans="2:69" x14ac:dyDescent="0.3">
      <c r="B28" s="224"/>
      <c r="C28" s="91"/>
      <c r="D28" s="91"/>
      <c r="E28" s="91"/>
      <c r="F28" s="94"/>
      <c r="G28" s="91"/>
      <c r="H28" s="91"/>
      <c r="I28" s="91"/>
      <c r="J28" s="91"/>
      <c r="K28" s="127"/>
      <c r="L28" s="359"/>
      <c r="M28" s="187">
        <f t="shared" si="9"/>
        <v>0</v>
      </c>
      <c r="N28" s="188" t="s">
        <v>18</v>
      </c>
      <c r="O28" s="92" t="str">
        <f>IF(AND($C28&lt;&gt;"",$D28&lt;&gt;"",$E28&lt;&gt;""),IF(COUNTIFS(TileTable[Section],$C28,TileTable[Level],$D28,TileTable[Item_Name],$E28)&gt;0,SUMIFS(TileTable[Olsen_Cost],TileTable[Section],$C28,TileTable[Level],$D28,TileTable[Item_Name],$E28),""),"0")</f>
        <v>0</v>
      </c>
      <c r="P28" s="93">
        <f t="shared" si="10"/>
        <v>0</v>
      </c>
      <c r="Q28" s="99">
        <f t="shared" si="11"/>
        <v>0</v>
      </c>
      <c r="R28" s="100">
        <f t="shared" si="12"/>
        <v>0</v>
      </c>
      <c r="S28" s="225">
        <f t="shared" si="13"/>
        <v>0</v>
      </c>
      <c r="U28" s="68"/>
      <c r="X28" s="109" t="s">
        <v>720</v>
      </c>
      <c r="BP28" s="81"/>
      <c r="BQ28" s="81"/>
    </row>
    <row r="29" spans="2:69" x14ac:dyDescent="0.3">
      <c r="B29" s="224"/>
      <c r="C29" s="91"/>
      <c r="D29" s="91"/>
      <c r="E29" s="91"/>
      <c r="F29" s="94"/>
      <c r="G29" s="91"/>
      <c r="H29" s="91"/>
      <c r="I29" s="91"/>
      <c r="J29" s="91"/>
      <c r="K29" s="127"/>
      <c r="L29" s="359"/>
      <c r="M29" s="187">
        <f t="shared" si="2"/>
        <v>0</v>
      </c>
      <c r="N29" s="188" t="s">
        <v>18</v>
      </c>
      <c r="O29" s="92" t="str">
        <f>IF(AND($C29&lt;&gt;"",$D29&lt;&gt;"",$E29&lt;&gt;""),IF(COUNTIFS(TileTable[Section],$C29,TileTable[Level],$D29,TileTable[Item_Name],$E29)&gt;0,SUMIFS(TileTable[Olsen_Cost],TileTable[Section],$C29,TileTable[Level],$D29,TileTable[Item_Name],$E29),""),"0")</f>
        <v>0</v>
      </c>
      <c r="P29" s="93">
        <f t="shared" si="0"/>
        <v>0</v>
      </c>
      <c r="Q29" s="99">
        <f>(M29/SUM($M$8:$M$30,$M$32:$M$43,$M$45:$M$56,$M$58:$M$69,$M$71:$M$82,$M$84:$M$95,$M$97:$M$108,$M$110:$M$121,$M$123:$M$134))*$V$5</f>
        <v>0</v>
      </c>
      <c r="R29" s="100">
        <f t="shared" si="3"/>
        <v>0</v>
      </c>
      <c r="S29" s="225">
        <f t="shared" si="4"/>
        <v>0</v>
      </c>
      <c r="U29" s="68"/>
      <c r="BP29" s="81"/>
      <c r="BQ29" s="81"/>
    </row>
    <row r="30" spans="2:69" x14ac:dyDescent="0.3">
      <c r="B30" s="224"/>
      <c r="C30" s="91"/>
      <c r="D30" s="91"/>
      <c r="E30" s="91"/>
      <c r="F30" s="94"/>
      <c r="G30" s="91"/>
      <c r="H30" s="91"/>
      <c r="I30" s="91"/>
      <c r="J30" s="91"/>
      <c r="K30" s="127"/>
      <c r="L30" s="359"/>
      <c r="M30" s="187"/>
      <c r="N30" s="188"/>
      <c r="O30" s="92"/>
      <c r="P30" s="97" t="s">
        <v>696</v>
      </c>
      <c r="Q30" s="226"/>
      <c r="R30" s="98"/>
      <c r="S30" s="227">
        <f>SUM(S8:S29)</f>
        <v>-16849.351599141799</v>
      </c>
      <c r="U30" s="68"/>
      <c r="BP30" s="81"/>
      <c r="BQ30" s="81"/>
    </row>
    <row r="31" spans="2:69" ht="21" x14ac:dyDescent="0.35">
      <c r="B31" s="389" t="s">
        <v>654</v>
      </c>
      <c r="C31" s="390"/>
      <c r="D31" s="390"/>
      <c r="E31" s="390"/>
      <c r="F31" s="390"/>
      <c r="G31" s="390"/>
      <c r="H31" s="390"/>
      <c r="I31" s="390"/>
      <c r="J31" s="390"/>
      <c r="K31" s="390"/>
      <c r="L31" s="390"/>
      <c r="M31" s="390"/>
      <c r="N31" s="390"/>
      <c r="O31" s="390"/>
      <c r="P31" s="390"/>
      <c r="Q31" s="390"/>
      <c r="R31" s="390"/>
      <c r="S31" s="391"/>
      <c r="T31" s="101"/>
      <c r="U31" s="68"/>
      <c r="BP31" s="81"/>
      <c r="BQ31" s="81"/>
    </row>
    <row r="32" spans="2:69" x14ac:dyDescent="0.3">
      <c r="B32" s="228" t="s">
        <v>655</v>
      </c>
      <c r="C32" s="102" t="s">
        <v>78</v>
      </c>
      <c r="D32" s="102"/>
      <c r="E32" s="102"/>
      <c r="F32" s="102"/>
      <c r="G32" s="102"/>
      <c r="H32" s="102"/>
      <c r="I32" s="102"/>
      <c r="J32" s="128"/>
      <c r="K32" s="102"/>
      <c r="L32" s="360"/>
      <c r="M32" s="177">
        <f t="shared" si="2"/>
        <v>0</v>
      </c>
      <c r="N32" s="186" t="s">
        <v>18</v>
      </c>
      <c r="O32" s="104" t="str">
        <f>IF(AND($C32&lt;&gt;"",$D32&lt;&gt;"",$E32&lt;&gt;""),IF(COUNTIFS(TileTable[Section],$C32,TileTable[Level],$D32,TileTable[Item_Name],$E32)&gt;0,SUMIFS(TileTable[Olsen_Cost],TileTable[Section],$C32,TileTable[Level],$D32,TileTable[Item_Name],$E32),""),"0")</f>
        <v>0</v>
      </c>
      <c r="P32" s="105">
        <f>O32*M32</f>
        <v>0</v>
      </c>
      <c r="Q32" s="99">
        <f t="shared" ref="Q32:Q41" si="14">(M32/SUM($M$8:$M$30,$M$32:$M$43,$M$45:$M$56,$M$58:$M$69,$M$71:$M$82,$M$84:$M$95,$M$97:$M$108,$M$110:$M$121,$M$123:$M$134))*$V$5</f>
        <v>0</v>
      </c>
      <c r="R32" s="100">
        <f t="shared" ref="R32" si="15">P32-Q32</f>
        <v>0</v>
      </c>
      <c r="S32" s="229">
        <f t="shared" ref="S32:S41" si="16">IF(R32&gt;0,R32/$S$6,R32)</f>
        <v>0</v>
      </c>
      <c r="U32" s="68"/>
      <c r="BP32" s="81"/>
      <c r="BQ32" s="81"/>
    </row>
    <row r="33" spans="2:69" x14ac:dyDescent="0.3">
      <c r="B33" s="228" t="s">
        <v>656</v>
      </c>
      <c r="C33" s="102" t="s">
        <v>87</v>
      </c>
      <c r="D33" s="102"/>
      <c r="E33" s="102"/>
      <c r="F33" s="102"/>
      <c r="G33" s="102"/>
      <c r="H33" s="102"/>
      <c r="I33" s="102"/>
      <c r="J33" s="128"/>
      <c r="K33" s="102"/>
      <c r="L33" s="360"/>
      <c r="M33" s="177">
        <f t="shared" si="2"/>
        <v>0</v>
      </c>
      <c r="N33" s="186" t="s">
        <v>18</v>
      </c>
      <c r="O33" s="104" t="str">
        <f>IF(AND($C33&lt;&gt;"",$D33&lt;&gt;"",$E33&lt;&gt;""),IF(COUNTIFS(TileTable[Section],$C33,TileTable[Level],$D33,TileTable[Item_Name],$E33)&gt;0,SUMIFS(TileTable[Olsen_Cost],TileTable[Section],$C33,TileTable[Level],$D33,TileTable[Item_Name],$E33),""),"0")</f>
        <v>0</v>
      </c>
      <c r="P33" s="105">
        <f>O33*M33</f>
        <v>0</v>
      </c>
      <c r="Q33" s="99">
        <f t="shared" si="14"/>
        <v>0</v>
      </c>
      <c r="R33" s="100">
        <f t="shared" ref="R33:R40" si="17">P33-Q33</f>
        <v>0</v>
      </c>
      <c r="S33" s="229">
        <f t="shared" si="16"/>
        <v>0</v>
      </c>
      <c r="U33" s="68"/>
      <c r="X33" s="352" t="s">
        <v>707</v>
      </c>
      <c r="BP33" s="81"/>
      <c r="BQ33" s="81"/>
    </row>
    <row r="34" spans="2:69" x14ac:dyDescent="0.3">
      <c r="B34" s="230" t="s">
        <v>657</v>
      </c>
      <c r="C34" s="102" t="s">
        <v>87</v>
      </c>
      <c r="D34" s="102"/>
      <c r="E34" s="102"/>
      <c r="F34" s="102"/>
      <c r="G34" s="102"/>
      <c r="H34" s="102"/>
      <c r="I34" s="102"/>
      <c r="J34" s="128"/>
      <c r="K34" s="102"/>
      <c r="L34" s="360"/>
      <c r="M34" s="177">
        <f t="shared" si="2"/>
        <v>0</v>
      </c>
      <c r="N34" s="186" t="s">
        <v>18</v>
      </c>
      <c r="O34" s="104" t="str">
        <f>IF(AND($C34&lt;&gt;"",$D34&lt;&gt;"",$E34&lt;&gt;""),IF(COUNTIFS(TileTable[Section],$C34,TileTable[Level],$D34,TileTable[Item_Name],$E34)&gt;0,SUMIFS(TileTable[Olsen_Cost],TileTable[Section],$C34,TileTable[Level],$D34,TileTable[Item_Name],$E34),""),"0")</f>
        <v>0</v>
      </c>
      <c r="P34" s="105">
        <f>O34*M34</f>
        <v>0</v>
      </c>
      <c r="Q34" s="99">
        <f t="shared" si="14"/>
        <v>0</v>
      </c>
      <c r="R34" s="100">
        <f t="shared" si="17"/>
        <v>0</v>
      </c>
      <c r="S34" s="229">
        <f t="shared" si="16"/>
        <v>0</v>
      </c>
      <c r="U34" s="68"/>
      <c r="X34" s="113" t="s">
        <v>711</v>
      </c>
      <c r="BP34" s="81"/>
      <c r="BQ34" s="81"/>
    </row>
    <row r="35" spans="2:69" x14ac:dyDescent="0.3">
      <c r="B35" s="231" t="s">
        <v>90</v>
      </c>
      <c r="C35" s="102" t="s">
        <v>78</v>
      </c>
      <c r="D35" s="102"/>
      <c r="E35" s="102"/>
      <c r="F35" s="102"/>
      <c r="G35" s="102"/>
      <c r="H35" s="102"/>
      <c r="I35" s="102"/>
      <c r="J35" s="128"/>
      <c r="K35" s="102"/>
      <c r="L35" s="359">
        <f>G43</f>
        <v>2.7777777777777777</v>
      </c>
      <c r="M35" s="178">
        <f t="shared" si="2"/>
        <v>3.0555555555555558</v>
      </c>
      <c r="N35" s="186" t="s">
        <v>18</v>
      </c>
      <c r="O35" s="104" t="str">
        <f>IF(AND($C35&lt;&gt;"",$D35&lt;&gt;"",$E35&lt;&gt;""),IF(COUNTIFS(TileTable[Section],$C35,TileTable[Level],$D35,TileTable[Item_Name],$E35)&gt;0,SUMIFS(TileTable[Olsen_Cost],TileTable[Section],$C35,TileTable[Level],$D35,TileTable[Item_Name],$E35),""),"0")</f>
        <v>0</v>
      </c>
      <c r="P35" s="105">
        <f>O35*M35</f>
        <v>0</v>
      </c>
      <c r="Q35" s="99">
        <f t="shared" si="14"/>
        <v>49.208400858194508</v>
      </c>
      <c r="R35" s="100">
        <f t="shared" si="17"/>
        <v>-49.208400858194508</v>
      </c>
      <c r="S35" s="229">
        <f t="shared" si="16"/>
        <v>-49.208400858194508</v>
      </c>
      <c r="U35" s="68"/>
      <c r="X35" s="113" t="s">
        <v>681</v>
      </c>
      <c r="BP35" s="81"/>
      <c r="BQ35" s="81"/>
    </row>
    <row r="36" spans="2:69" x14ac:dyDescent="0.3">
      <c r="B36" s="228" t="s">
        <v>659</v>
      </c>
      <c r="C36" s="102"/>
      <c r="D36" s="102"/>
      <c r="E36" s="102"/>
      <c r="F36" s="102"/>
      <c r="G36" s="102"/>
      <c r="H36" s="102"/>
      <c r="I36" s="102"/>
      <c r="J36" s="128"/>
      <c r="K36" s="102"/>
      <c r="L36" s="360"/>
      <c r="M36" s="177">
        <f t="shared" si="2"/>
        <v>0</v>
      </c>
      <c r="N36" s="186" t="s">
        <v>18</v>
      </c>
      <c r="O36" s="104" t="str">
        <f>IF(AND($C36&lt;&gt;"",$D36&lt;&gt;"",$E36&lt;&gt;""),IF(COUNTIFS(TileTable[Section],$C36,TileTable[Level],$D36,TileTable[Item_Name],$E36)&gt;0,SUMIFS(TileTable[Olsen_Cost],TileTable[Section],$C36,TileTable[Level],$D36,TileTable[Item_Name],$E36),""),"0")</f>
        <v>0</v>
      </c>
      <c r="P36" s="105">
        <f t="shared" ref="P36:P41" si="18">O36*M36</f>
        <v>0</v>
      </c>
      <c r="Q36" s="99">
        <f t="shared" si="14"/>
        <v>0</v>
      </c>
      <c r="R36" s="100">
        <f t="shared" si="17"/>
        <v>0</v>
      </c>
      <c r="S36" s="229">
        <f t="shared" si="16"/>
        <v>0</v>
      </c>
      <c r="U36" s="68"/>
      <c r="X36" s="113" t="s">
        <v>682</v>
      </c>
      <c r="BP36" s="81"/>
      <c r="BQ36" s="81"/>
    </row>
    <row r="37" spans="2:69" x14ac:dyDescent="0.3">
      <c r="B37" s="228" t="s">
        <v>658</v>
      </c>
      <c r="C37" s="102"/>
      <c r="D37" s="102"/>
      <c r="E37" s="102"/>
      <c r="F37" s="102"/>
      <c r="G37" s="102"/>
      <c r="H37" s="102"/>
      <c r="I37" s="102"/>
      <c r="J37" s="128"/>
      <c r="K37" s="102"/>
      <c r="L37" s="360"/>
      <c r="M37" s="177">
        <f t="shared" si="2"/>
        <v>0</v>
      </c>
      <c r="N37" s="186" t="s">
        <v>18</v>
      </c>
      <c r="O37" s="104" t="str">
        <f>IF(AND($C37&lt;&gt;"",$D37&lt;&gt;"",$E37&lt;&gt;""),IF(COUNTIFS(TileTable[Section],$C37,TileTable[Level],$D37,TileTable[Item_Name],$E37)&gt;0,SUMIFS(TileTable[Olsen_Cost],TileTable[Section],$C37,TileTable[Level],$D37,TileTable[Item_Name],$E37),""),"0")</f>
        <v>0</v>
      </c>
      <c r="P37" s="105">
        <f t="shared" si="18"/>
        <v>0</v>
      </c>
      <c r="Q37" s="99">
        <f t="shared" si="14"/>
        <v>0</v>
      </c>
      <c r="R37" s="100">
        <f t="shared" si="17"/>
        <v>0</v>
      </c>
      <c r="S37" s="229">
        <f t="shared" si="16"/>
        <v>0</v>
      </c>
      <c r="U37" s="68"/>
      <c r="BP37" s="81"/>
      <c r="BQ37" s="81"/>
    </row>
    <row r="38" spans="2:69" x14ac:dyDescent="0.3">
      <c r="B38" s="228" t="s">
        <v>661</v>
      </c>
      <c r="C38" s="102" t="s">
        <v>661</v>
      </c>
      <c r="D38" s="102" t="s">
        <v>153</v>
      </c>
      <c r="E38" s="102"/>
      <c r="F38" s="102"/>
      <c r="G38" s="102"/>
      <c r="H38" s="102"/>
      <c r="I38" s="102"/>
      <c r="J38" s="128"/>
      <c r="K38" s="102"/>
      <c r="L38" s="360"/>
      <c r="M38" s="177">
        <f t="shared" si="2"/>
        <v>0</v>
      </c>
      <c r="N38" s="186" t="s">
        <v>18</v>
      </c>
      <c r="O38" s="104" t="str">
        <f>IF(AND($C38&lt;&gt;"",$D38&lt;&gt;"",$E38&lt;&gt;""),IF(COUNTIFS(TileTable[Section],$C38,TileTable[Level],$D38,TileTable[Item_Name],$E38)&gt;0,SUMIFS(TileTable[Olsen_Cost],TileTable[Section],$C38,TileTable[Level],$D38,TileTable[Item_Name],$E38),""),"0")</f>
        <v>0</v>
      </c>
      <c r="P38" s="105">
        <f t="shared" si="18"/>
        <v>0</v>
      </c>
      <c r="Q38" s="99">
        <f t="shared" si="14"/>
        <v>0</v>
      </c>
      <c r="R38" s="100">
        <f t="shared" si="17"/>
        <v>0</v>
      </c>
      <c r="S38" s="229">
        <f t="shared" si="16"/>
        <v>0</v>
      </c>
      <c r="U38" s="68"/>
      <c r="BP38" s="81"/>
      <c r="BQ38" s="81"/>
    </row>
    <row r="39" spans="2:69" x14ac:dyDescent="0.3">
      <c r="B39" s="228" t="s">
        <v>46</v>
      </c>
      <c r="C39" s="102" t="s">
        <v>46</v>
      </c>
      <c r="D39" s="102" t="s">
        <v>153</v>
      </c>
      <c r="E39" s="102"/>
      <c r="F39" s="102"/>
      <c r="G39" s="102"/>
      <c r="H39" s="102"/>
      <c r="I39" s="102"/>
      <c r="J39" s="128"/>
      <c r="K39" s="102"/>
      <c r="L39" s="360"/>
      <c r="M39" s="177">
        <f t="shared" si="2"/>
        <v>0</v>
      </c>
      <c r="N39" s="186" t="s">
        <v>18</v>
      </c>
      <c r="O39" s="104" t="str">
        <f>IF(AND($C39&lt;&gt;"",$D39&lt;&gt;"",$E39&lt;&gt;""),IF(COUNTIFS(TileTable[Section],$C39,TileTable[Level],$D39,TileTable[Item_Name],$E39)&gt;0,SUMIFS(TileTable[Olsen_Cost],TileTable[Section],$C39,TileTable[Level],$D39,TileTable[Item_Name],$E39),""),"0")</f>
        <v>0</v>
      </c>
      <c r="P39" s="105">
        <f t="shared" si="18"/>
        <v>0</v>
      </c>
      <c r="Q39" s="99">
        <f t="shared" si="14"/>
        <v>0</v>
      </c>
      <c r="R39" s="100">
        <f t="shared" si="17"/>
        <v>0</v>
      </c>
      <c r="S39" s="229">
        <f t="shared" si="16"/>
        <v>0</v>
      </c>
      <c r="U39" s="68"/>
      <c r="BP39" s="81"/>
      <c r="BQ39" s="81"/>
    </row>
    <row r="40" spans="2:69" x14ac:dyDescent="0.3">
      <c r="B40" s="228" t="s">
        <v>72</v>
      </c>
      <c r="C40" s="102" t="s">
        <v>72</v>
      </c>
      <c r="D40" s="102" t="s">
        <v>153</v>
      </c>
      <c r="E40" s="102"/>
      <c r="F40" s="102"/>
      <c r="G40" s="102"/>
      <c r="H40" s="102"/>
      <c r="I40" s="102"/>
      <c r="J40" s="128"/>
      <c r="K40" s="102"/>
      <c r="L40" s="360"/>
      <c r="M40" s="177">
        <f t="shared" si="2"/>
        <v>0</v>
      </c>
      <c r="N40" s="186" t="s">
        <v>18</v>
      </c>
      <c r="O40" s="104" t="str">
        <f>IF(AND($C40&lt;&gt;"",$D40&lt;&gt;"",$E40&lt;&gt;""),IF(COUNTIFS(TileTable[Section],$C40,TileTable[Level],$D40,TileTable[Item_Name],$E40)&gt;0,SUMIFS(TileTable[Olsen_Cost],TileTable[Section],$C40,TileTable[Level],$D40,TileTable[Item_Name],$E40),""),"0")</f>
        <v>0</v>
      </c>
      <c r="P40" s="105">
        <f t="shared" si="18"/>
        <v>0</v>
      </c>
      <c r="Q40" s="99">
        <f t="shared" si="14"/>
        <v>0</v>
      </c>
      <c r="R40" s="100">
        <f t="shared" si="17"/>
        <v>0</v>
      </c>
      <c r="S40" s="229">
        <f t="shared" si="16"/>
        <v>0</v>
      </c>
      <c r="U40" s="68"/>
      <c r="BP40" s="81"/>
      <c r="BQ40" s="81"/>
    </row>
    <row r="41" spans="2:69" x14ac:dyDescent="0.3">
      <c r="B41" s="228"/>
      <c r="C41" s="102"/>
      <c r="D41" s="102"/>
      <c r="E41" s="102"/>
      <c r="F41" s="102"/>
      <c r="G41" s="102"/>
      <c r="H41" s="102"/>
      <c r="I41" s="102"/>
      <c r="J41" s="128"/>
      <c r="K41" s="102"/>
      <c r="L41" s="360"/>
      <c r="M41" s="177">
        <f t="shared" si="2"/>
        <v>0</v>
      </c>
      <c r="N41" s="186" t="s">
        <v>18</v>
      </c>
      <c r="O41" s="104" t="str">
        <f>IF(AND($C41&lt;&gt;"",$D41&lt;&gt;"",$E41&lt;&gt;""),IF(COUNTIFS(TileTable[Section],$C41,TileTable[Level],$D41,TileTable[Item_Name],$E41)&gt;0,SUMIFS(TileTable[Olsen_Cost],TileTable[Section],$C41,TileTable[Level],$D41,TileTable[Item_Name],$E41),""),"0")</f>
        <v>0</v>
      </c>
      <c r="P41" s="105">
        <f t="shared" si="18"/>
        <v>0</v>
      </c>
      <c r="Q41" s="99">
        <f t="shared" si="14"/>
        <v>0</v>
      </c>
      <c r="R41" s="100">
        <f t="shared" ref="R41" si="19">P41-Q41</f>
        <v>0</v>
      </c>
      <c r="S41" s="229">
        <f t="shared" si="16"/>
        <v>0</v>
      </c>
      <c r="U41" s="68"/>
      <c r="BP41" s="81"/>
      <c r="BQ41" s="81"/>
    </row>
    <row r="42" spans="2:69" x14ac:dyDescent="0.3">
      <c r="B42" s="232" t="s">
        <v>660</v>
      </c>
      <c r="C42" s="399"/>
      <c r="D42" s="400"/>
      <c r="E42" s="400"/>
      <c r="F42" s="400"/>
      <c r="G42" s="400"/>
      <c r="H42" s="400"/>
      <c r="I42" s="401"/>
      <c r="J42" s="233"/>
      <c r="K42" s="234"/>
      <c r="L42" s="342"/>
      <c r="M42" s="235"/>
      <c r="N42" s="236" t="str">
        <f>IF(AND($C42&lt;&gt;"",$D42&lt;&gt;"",$E42&lt;&gt;""),IF(COUNTIFS(TileTable[Section],$C42,TileTable[Level],$D42,TileTable[Item_Name],$E42)&gt;0,SUMIFS(TileTable[Olsen_Cost],TileTable[Section],$C42,TileTable[Level],$D42,TileTable[Item_Name],$E42),""),"")</f>
        <v/>
      </c>
      <c r="O42" s="237"/>
      <c r="P42" s="238"/>
      <c r="Q42" s="237"/>
      <c r="R42" s="237"/>
      <c r="S42" s="239"/>
      <c r="U42" s="68"/>
      <c r="AB42" s="81"/>
      <c r="AC42" s="81"/>
      <c r="AD42" s="81"/>
      <c r="AE42" s="81"/>
      <c r="AF42" s="81"/>
      <c r="AG42" s="81"/>
      <c r="AH42" s="81"/>
      <c r="AI42" s="81"/>
      <c r="AJ42" s="81"/>
      <c r="AK42" s="81"/>
      <c r="AL42" s="81"/>
      <c r="AM42" s="81"/>
      <c r="AN42" s="81"/>
      <c r="AO42" s="81"/>
      <c r="AP42" s="81"/>
      <c r="AQ42" s="81"/>
      <c r="AR42" s="81"/>
      <c r="AS42" s="81"/>
      <c r="AT42" s="81"/>
      <c r="AU42" s="81"/>
      <c r="AV42" s="81"/>
      <c r="AW42" s="81"/>
      <c r="AX42" s="81"/>
      <c r="AY42" s="81"/>
      <c r="AZ42" s="81"/>
      <c r="BA42" s="81"/>
      <c r="BB42" s="81"/>
      <c r="BC42" s="81"/>
      <c r="BD42" s="81"/>
      <c r="BE42" s="81"/>
      <c r="BF42" s="81"/>
      <c r="BG42" s="81"/>
      <c r="BH42" s="81"/>
      <c r="BI42" s="81"/>
      <c r="BJ42" s="81"/>
      <c r="BK42" s="81"/>
      <c r="BL42" s="81"/>
      <c r="BM42" s="81"/>
      <c r="BN42" s="81"/>
      <c r="BO42" s="81"/>
      <c r="BP42" s="81"/>
      <c r="BQ42" s="81"/>
    </row>
    <row r="43" spans="2:69" x14ac:dyDescent="0.3">
      <c r="B43" s="240" t="s">
        <v>674</v>
      </c>
      <c r="C43" s="150">
        <v>12</v>
      </c>
      <c r="D43" s="151" t="s">
        <v>675</v>
      </c>
      <c r="E43" s="152">
        <v>12</v>
      </c>
      <c r="F43" s="153" t="s">
        <v>676</v>
      </c>
      <c r="G43" s="165">
        <f>IF(C43=0,0,((C43+8)*(E43+8))/144)</f>
        <v>2.7777777777777777</v>
      </c>
      <c r="H43" s="153" t="s">
        <v>18</v>
      </c>
      <c r="I43" s="154"/>
      <c r="J43" s="233"/>
      <c r="K43" s="234"/>
      <c r="L43" s="342"/>
      <c r="M43" s="235"/>
      <c r="N43" s="236" t="str">
        <f>IF(AND($C43&lt;&gt;"",$D43&lt;&gt;"",$E43&lt;&gt;""),IF(COUNTIFS(TileTable[Section],$C43,TileTable[Level],$D43,TileTable[Item_Name],$E43)&gt;0,SUMIFS(TileTable[Olsen_Cost],TileTable[Section],$C43,TileTable[Level],$D43,TileTable[Item_Name],$E43),""),"")</f>
        <v/>
      </c>
      <c r="O43" s="237"/>
      <c r="P43" s="241" t="s">
        <v>696</v>
      </c>
      <c r="Q43" s="242"/>
      <c r="R43" s="242"/>
      <c r="S43" s="243">
        <f>SUM(S32:S42)</f>
        <v>-49.208400858194508</v>
      </c>
      <c r="U43" s="68"/>
    </row>
    <row r="44" spans="2:69" ht="21" x14ac:dyDescent="0.35">
      <c r="B44" s="389" t="s">
        <v>185</v>
      </c>
      <c r="C44" s="390"/>
      <c r="D44" s="390"/>
      <c r="E44" s="390"/>
      <c r="F44" s="390"/>
      <c r="G44" s="390"/>
      <c r="H44" s="390"/>
      <c r="I44" s="390"/>
      <c r="J44" s="390"/>
      <c r="K44" s="390"/>
      <c r="L44" s="390"/>
      <c r="M44" s="390"/>
      <c r="N44" s="390"/>
      <c r="O44" s="390"/>
      <c r="P44" s="390"/>
      <c r="Q44" s="390"/>
      <c r="R44" s="390"/>
      <c r="S44" s="391"/>
      <c r="T44" s="101"/>
      <c r="U44" s="68"/>
    </row>
    <row r="45" spans="2:69" x14ac:dyDescent="0.3">
      <c r="B45" s="244" t="s">
        <v>655</v>
      </c>
      <c r="C45" s="106" t="s">
        <v>78</v>
      </c>
      <c r="D45" s="106"/>
      <c r="E45" s="106"/>
      <c r="F45" s="106"/>
      <c r="G45" s="106"/>
      <c r="H45" s="106"/>
      <c r="I45" s="106"/>
      <c r="J45" s="129"/>
      <c r="K45" s="106"/>
      <c r="L45" s="360"/>
      <c r="M45" s="183">
        <f t="shared" ref="M45:M54" si="20">L45*(1+$M$6)</f>
        <v>0</v>
      </c>
      <c r="N45" s="184" t="s">
        <v>18</v>
      </c>
      <c r="O45" s="107" t="str">
        <f>IF(AND($C45&lt;&gt;"",$D45&lt;&gt;"",$E45&lt;&gt;""),IF(COUNTIFS(TileTable[Section],$C45,TileTable[Level],$D45,TileTable[Item_Name],$E45)&gt;0,SUMIFS(TileTable[Olsen_Cost],TileTable[Section],$C45,TileTable[Level],$D45,TileTable[Item_Name],$E45),""),"0")</f>
        <v>0</v>
      </c>
      <c r="P45" s="108">
        <f t="shared" ref="P45:P54" si="21">O45*M45</f>
        <v>0</v>
      </c>
      <c r="Q45" s="99">
        <f t="shared" ref="Q45:Q54" si="22">(M45/SUM($M$8:$M$30,$M$32:$M$43,$M$45:$M$56,$M$58:$M$69,$M$71:$M$82,$M$84:$M$95,$M$97:$M$108,$M$110:$M$121,$M$123:$M$134))*$V$5</f>
        <v>0</v>
      </c>
      <c r="R45" s="100">
        <f t="shared" ref="R45:R54" si="23">P45-Q45</f>
        <v>0</v>
      </c>
      <c r="S45" s="245">
        <f t="shared" ref="S45:S54" si="24">IF(R45&gt;0,R45/$S$6,R45)</f>
        <v>0</v>
      </c>
      <c r="U45" s="68"/>
    </row>
    <row r="46" spans="2:69" x14ac:dyDescent="0.3">
      <c r="B46" s="244" t="s">
        <v>656</v>
      </c>
      <c r="C46" s="106"/>
      <c r="D46" s="106"/>
      <c r="E46" s="106"/>
      <c r="F46" s="106"/>
      <c r="G46" s="106"/>
      <c r="H46" s="106"/>
      <c r="I46" s="106"/>
      <c r="J46" s="129"/>
      <c r="K46" s="106"/>
      <c r="L46" s="360"/>
      <c r="M46" s="183">
        <f t="shared" si="20"/>
        <v>0</v>
      </c>
      <c r="N46" s="184" t="s">
        <v>18</v>
      </c>
      <c r="O46" s="107" t="str">
        <f>IF(AND($C46&lt;&gt;"",$D46&lt;&gt;"",$E46&lt;&gt;""),IF(COUNTIFS(TileTable[Section],$C46,TileTable[Level],$D46,TileTable[Item_Name],$E46)&gt;0,SUMIFS(TileTable[Olsen_Cost],TileTable[Section],$C46,TileTable[Level],$D46,TileTable[Item_Name],$E46),""),"0")</f>
        <v>0</v>
      </c>
      <c r="P46" s="108">
        <f t="shared" si="21"/>
        <v>0</v>
      </c>
      <c r="Q46" s="99">
        <f t="shared" si="22"/>
        <v>0</v>
      </c>
      <c r="R46" s="100">
        <f t="shared" si="23"/>
        <v>0</v>
      </c>
      <c r="S46" s="245">
        <f t="shared" si="24"/>
        <v>0</v>
      </c>
      <c r="U46" s="68"/>
    </row>
    <row r="47" spans="2:69" x14ac:dyDescent="0.3">
      <c r="B47" s="246" t="s">
        <v>657</v>
      </c>
      <c r="C47" s="106"/>
      <c r="D47" s="106"/>
      <c r="E47" s="106"/>
      <c r="F47" s="106"/>
      <c r="G47" s="106"/>
      <c r="H47" s="106"/>
      <c r="I47" s="106"/>
      <c r="J47" s="129"/>
      <c r="K47" s="106"/>
      <c r="L47" s="360"/>
      <c r="M47" s="183">
        <f t="shared" si="20"/>
        <v>0</v>
      </c>
      <c r="N47" s="184" t="s">
        <v>18</v>
      </c>
      <c r="O47" s="107" t="str">
        <f>IF(AND($C47&lt;&gt;"",$D47&lt;&gt;"",$E47&lt;&gt;""),IF(COUNTIFS(TileTable[Section],$C47,TileTable[Level],$D47,TileTable[Item_Name],$E47)&gt;0,SUMIFS(TileTable[Olsen_Cost],TileTable[Section],$C47,TileTable[Level],$D47,TileTable[Item_Name],$E47),""),"0")</f>
        <v>0</v>
      </c>
      <c r="P47" s="108">
        <f t="shared" si="21"/>
        <v>0</v>
      </c>
      <c r="Q47" s="99">
        <f t="shared" si="22"/>
        <v>0</v>
      </c>
      <c r="R47" s="100">
        <f t="shared" si="23"/>
        <v>0</v>
      </c>
      <c r="S47" s="245">
        <f t="shared" si="24"/>
        <v>0</v>
      </c>
      <c r="U47" s="68"/>
    </row>
    <row r="48" spans="2:69" x14ac:dyDescent="0.3">
      <c r="B48" s="247" t="s">
        <v>90</v>
      </c>
      <c r="C48" s="106"/>
      <c r="D48" s="106"/>
      <c r="E48" s="106"/>
      <c r="F48" s="106"/>
      <c r="G48" s="106"/>
      <c r="H48" s="106"/>
      <c r="I48" s="106"/>
      <c r="J48" s="129"/>
      <c r="K48" s="106"/>
      <c r="L48" s="359">
        <f>G56</f>
        <v>0</v>
      </c>
      <c r="M48" s="185">
        <f t="shared" si="20"/>
        <v>0</v>
      </c>
      <c r="N48" s="184" t="s">
        <v>18</v>
      </c>
      <c r="O48" s="107" t="str">
        <f>IF(AND($C48&lt;&gt;"",$D48&lt;&gt;"",$E48&lt;&gt;""),IF(COUNTIFS(TileTable[Section],$C48,TileTable[Level],$D48,TileTable[Item_Name],$E48)&gt;0,SUMIFS(TileTable[Olsen_Cost],TileTable[Section],$C48,TileTable[Level],$D48,TileTable[Item_Name],$E48),""),"0")</f>
        <v>0</v>
      </c>
      <c r="P48" s="108">
        <f t="shared" si="21"/>
        <v>0</v>
      </c>
      <c r="Q48" s="99">
        <f t="shared" si="22"/>
        <v>0</v>
      </c>
      <c r="R48" s="100">
        <f t="shared" si="23"/>
        <v>0</v>
      </c>
      <c r="S48" s="245">
        <f t="shared" si="24"/>
        <v>0</v>
      </c>
      <c r="U48" s="68"/>
    </row>
    <row r="49" spans="2:21" x14ac:dyDescent="0.3">
      <c r="B49" s="244" t="s">
        <v>659</v>
      </c>
      <c r="C49" s="106"/>
      <c r="D49" s="106"/>
      <c r="E49" s="106"/>
      <c r="F49" s="106"/>
      <c r="G49" s="106"/>
      <c r="H49" s="106"/>
      <c r="I49" s="106"/>
      <c r="J49" s="129"/>
      <c r="K49" s="106"/>
      <c r="L49" s="360"/>
      <c r="M49" s="183">
        <f t="shared" si="20"/>
        <v>0</v>
      </c>
      <c r="N49" s="184" t="s">
        <v>18</v>
      </c>
      <c r="O49" s="107" t="str">
        <f>IF(AND($C49&lt;&gt;"",$D49&lt;&gt;"",$E49&lt;&gt;""),IF(COUNTIFS(TileTable[Section],$C49,TileTable[Level],$D49,TileTable[Item_Name],$E49)&gt;0,SUMIFS(TileTable[Olsen_Cost],TileTable[Section],$C49,TileTable[Level],$D49,TileTable[Item_Name],$E49),""),"0")</f>
        <v>0</v>
      </c>
      <c r="P49" s="108">
        <f t="shared" si="21"/>
        <v>0</v>
      </c>
      <c r="Q49" s="99">
        <f t="shared" si="22"/>
        <v>0</v>
      </c>
      <c r="R49" s="100">
        <f t="shared" si="23"/>
        <v>0</v>
      </c>
      <c r="S49" s="245">
        <f t="shared" si="24"/>
        <v>0</v>
      </c>
      <c r="U49" s="68"/>
    </row>
    <row r="50" spans="2:21" x14ac:dyDescent="0.3">
      <c r="B50" s="244" t="s">
        <v>658</v>
      </c>
      <c r="C50" s="106"/>
      <c r="D50" s="106"/>
      <c r="E50" s="106"/>
      <c r="F50" s="106"/>
      <c r="G50" s="106"/>
      <c r="H50" s="106"/>
      <c r="I50" s="106"/>
      <c r="J50" s="129"/>
      <c r="K50" s="106"/>
      <c r="L50" s="360"/>
      <c r="M50" s="183">
        <f t="shared" si="20"/>
        <v>0</v>
      </c>
      <c r="N50" s="184" t="s">
        <v>18</v>
      </c>
      <c r="O50" s="107" t="str">
        <f>IF(AND($C50&lt;&gt;"",$D50&lt;&gt;"",$E50&lt;&gt;""),IF(COUNTIFS(TileTable[Section],$C50,TileTable[Level],$D50,TileTable[Item_Name],$E50)&gt;0,SUMIFS(TileTable[Olsen_Cost],TileTable[Section],$C50,TileTable[Level],$D50,TileTable[Item_Name],$E50),""),"0")</f>
        <v>0</v>
      </c>
      <c r="P50" s="108">
        <f t="shared" si="21"/>
        <v>0</v>
      </c>
      <c r="Q50" s="99">
        <f t="shared" si="22"/>
        <v>0</v>
      </c>
      <c r="R50" s="100">
        <f t="shared" si="23"/>
        <v>0</v>
      </c>
      <c r="S50" s="245">
        <f t="shared" si="24"/>
        <v>0</v>
      </c>
      <c r="U50" s="68"/>
    </row>
    <row r="51" spans="2:21" x14ac:dyDescent="0.3">
      <c r="B51" s="244" t="s">
        <v>661</v>
      </c>
      <c r="C51" s="106" t="s">
        <v>661</v>
      </c>
      <c r="D51" s="106" t="s">
        <v>153</v>
      </c>
      <c r="E51" s="106"/>
      <c r="F51" s="106"/>
      <c r="G51" s="106"/>
      <c r="H51" s="106"/>
      <c r="I51" s="106"/>
      <c r="J51" s="129"/>
      <c r="K51" s="106"/>
      <c r="L51" s="360"/>
      <c r="M51" s="183">
        <f t="shared" si="20"/>
        <v>0</v>
      </c>
      <c r="N51" s="184" t="s">
        <v>18</v>
      </c>
      <c r="O51" s="107" t="str">
        <f>IF(AND($C51&lt;&gt;"",$D51&lt;&gt;"",$E51&lt;&gt;""),IF(COUNTIFS(TileTable[Section],$C51,TileTable[Level],$D51,TileTable[Item_Name],$E51)&gt;0,SUMIFS(TileTable[Olsen_Cost],TileTable[Section],$C51,TileTable[Level],$D51,TileTable[Item_Name],$E51),""),"0")</f>
        <v>0</v>
      </c>
      <c r="P51" s="108">
        <f t="shared" si="21"/>
        <v>0</v>
      </c>
      <c r="Q51" s="99">
        <f t="shared" si="22"/>
        <v>0</v>
      </c>
      <c r="R51" s="100">
        <f t="shared" si="23"/>
        <v>0</v>
      </c>
      <c r="S51" s="245">
        <f t="shared" si="24"/>
        <v>0</v>
      </c>
      <c r="U51" s="68"/>
    </row>
    <row r="52" spans="2:21" x14ac:dyDescent="0.3">
      <c r="B52" s="244" t="s">
        <v>46</v>
      </c>
      <c r="C52" s="106" t="s">
        <v>46</v>
      </c>
      <c r="D52" s="106" t="s">
        <v>153</v>
      </c>
      <c r="E52" s="106"/>
      <c r="F52" s="106"/>
      <c r="G52" s="106"/>
      <c r="H52" s="106"/>
      <c r="I52" s="106"/>
      <c r="J52" s="129"/>
      <c r="K52" s="106"/>
      <c r="L52" s="360"/>
      <c r="M52" s="183">
        <f t="shared" si="20"/>
        <v>0</v>
      </c>
      <c r="N52" s="184" t="s">
        <v>18</v>
      </c>
      <c r="O52" s="107" t="str">
        <f>IF(AND($C52&lt;&gt;"",$D52&lt;&gt;"",$E52&lt;&gt;""),IF(COUNTIFS(TileTable[Section],$C52,TileTable[Level],$D52,TileTable[Item_Name],$E52)&gt;0,SUMIFS(TileTable[Olsen_Cost],TileTable[Section],$C52,TileTable[Level],$D52,TileTable[Item_Name],$E52),""),"0")</f>
        <v>0</v>
      </c>
      <c r="P52" s="108">
        <f t="shared" si="21"/>
        <v>0</v>
      </c>
      <c r="Q52" s="99">
        <f t="shared" si="22"/>
        <v>0</v>
      </c>
      <c r="R52" s="100">
        <f t="shared" si="23"/>
        <v>0</v>
      </c>
      <c r="S52" s="245">
        <f t="shared" si="24"/>
        <v>0</v>
      </c>
      <c r="U52" s="68"/>
    </row>
    <row r="53" spans="2:21" x14ac:dyDescent="0.3">
      <c r="B53" s="244" t="s">
        <v>72</v>
      </c>
      <c r="C53" s="106" t="s">
        <v>72</v>
      </c>
      <c r="D53" s="106" t="s">
        <v>153</v>
      </c>
      <c r="E53" s="106"/>
      <c r="F53" s="106"/>
      <c r="G53" s="106"/>
      <c r="H53" s="106"/>
      <c r="I53" s="106"/>
      <c r="J53" s="129"/>
      <c r="K53" s="106"/>
      <c r="L53" s="360"/>
      <c r="M53" s="183">
        <f t="shared" si="20"/>
        <v>0</v>
      </c>
      <c r="N53" s="184" t="s">
        <v>18</v>
      </c>
      <c r="O53" s="107" t="str">
        <f>IF(AND($C53&lt;&gt;"",$D53&lt;&gt;"",$E53&lt;&gt;""),IF(COUNTIFS(TileTable[Section],$C53,TileTable[Level],$D53,TileTable[Item_Name],$E53)&gt;0,SUMIFS(TileTable[Olsen_Cost],TileTable[Section],$C53,TileTable[Level],$D53,TileTable[Item_Name],$E53),""),"0")</f>
        <v>0</v>
      </c>
      <c r="P53" s="108">
        <f t="shared" si="21"/>
        <v>0</v>
      </c>
      <c r="Q53" s="99">
        <f t="shared" si="22"/>
        <v>0</v>
      </c>
      <c r="R53" s="100">
        <f t="shared" si="23"/>
        <v>0</v>
      </c>
      <c r="S53" s="245">
        <f t="shared" si="24"/>
        <v>0</v>
      </c>
      <c r="U53" s="68"/>
    </row>
    <row r="54" spans="2:21" x14ac:dyDescent="0.3">
      <c r="B54" s="244"/>
      <c r="C54" s="106"/>
      <c r="D54" s="106"/>
      <c r="E54" s="106"/>
      <c r="F54" s="106"/>
      <c r="G54" s="106"/>
      <c r="H54" s="106"/>
      <c r="I54" s="106"/>
      <c r="J54" s="129"/>
      <c r="K54" s="106"/>
      <c r="L54" s="360"/>
      <c r="M54" s="183">
        <f t="shared" si="20"/>
        <v>0</v>
      </c>
      <c r="N54" s="184" t="s">
        <v>18</v>
      </c>
      <c r="O54" s="107" t="str">
        <f>IF(AND($C54&lt;&gt;"",$D54&lt;&gt;"",$E54&lt;&gt;""),IF(COUNTIFS(TileTable[Section],$C54,TileTable[Level],$D54,TileTable[Item_Name],$E54)&gt;0,SUMIFS(TileTable[Olsen_Cost],TileTable[Section],$C54,TileTable[Level],$D54,TileTable[Item_Name],$E54),""),"0")</f>
        <v>0</v>
      </c>
      <c r="P54" s="108">
        <f t="shared" si="21"/>
        <v>0</v>
      </c>
      <c r="Q54" s="99">
        <f t="shared" si="22"/>
        <v>0</v>
      </c>
      <c r="R54" s="100">
        <f t="shared" si="23"/>
        <v>0</v>
      </c>
      <c r="S54" s="245">
        <f t="shared" si="24"/>
        <v>0</v>
      </c>
      <c r="U54" s="68"/>
    </row>
    <row r="55" spans="2:21" x14ac:dyDescent="0.3">
      <c r="B55" s="248" t="s">
        <v>660</v>
      </c>
      <c r="C55" s="406"/>
      <c r="D55" s="407"/>
      <c r="E55" s="407"/>
      <c r="F55" s="407"/>
      <c r="G55" s="407"/>
      <c r="H55" s="407"/>
      <c r="I55" s="408"/>
      <c r="J55" s="109"/>
      <c r="K55" s="249"/>
      <c r="L55" s="343"/>
      <c r="M55" s="250"/>
      <c r="N55" s="251" t="str">
        <f>IF(AND($B55&lt;&gt;"",$D55&lt;&gt;"",$E55&lt;&gt;""),IF(COUNTIFS(TileTable[Section],$B55,TileTable[Level],$D55,TileTable[Item_Name],$E55)&gt;0,SUMIFS(TileTable[Olsen_Cost],TileTable[Section],$B55,TileTable[Level],$D55,TileTable[Item_Name],$E55),""),"")</f>
        <v/>
      </c>
      <c r="O55" s="252"/>
      <c r="P55" s="253"/>
      <c r="Q55" s="252"/>
      <c r="R55" s="252"/>
      <c r="S55" s="254"/>
      <c r="U55" s="68"/>
    </row>
    <row r="56" spans="2:21" x14ac:dyDescent="0.3">
      <c r="B56" s="255" t="s">
        <v>674</v>
      </c>
      <c r="C56" s="138">
        <v>0</v>
      </c>
      <c r="D56" s="137" t="s">
        <v>675</v>
      </c>
      <c r="E56" s="139">
        <v>0</v>
      </c>
      <c r="F56" s="135" t="s">
        <v>676</v>
      </c>
      <c r="G56" s="166">
        <f>IF(C56=0,0,((C56+8)*(E56+8))/144)</f>
        <v>0</v>
      </c>
      <c r="H56" s="135" t="s">
        <v>18</v>
      </c>
      <c r="I56" s="136"/>
      <c r="J56" s="109"/>
      <c r="K56" s="249"/>
      <c r="L56" s="343"/>
      <c r="M56" s="250"/>
      <c r="N56" s="251" t="str">
        <f>IF(AND($C56&lt;&gt;"",$D56&lt;&gt;"",$E56&lt;&gt;""),IF(COUNTIFS(TileTable[Section],$C56,TileTable[Level],$D56,TileTable[Item_Name],$E56)&gt;0,SUMIFS(TileTable[Olsen_Cost],TileTable[Section],$C56,TileTable[Level],$D56,TileTable[Item_Name],$E56),""),"")</f>
        <v/>
      </c>
      <c r="O56" s="252"/>
      <c r="P56" s="241" t="s">
        <v>696</v>
      </c>
      <c r="Q56" s="242"/>
      <c r="R56" s="242"/>
      <c r="S56" s="243">
        <f>SUM(S45:S55)</f>
        <v>0</v>
      </c>
      <c r="U56" s="68"/>
    </row>
    <row r="57" spans="2:21" ht="21" x14ac:dyDescent="0.35">
      <c r="B57" s="389" t="s">
        <v>189</v>
      </c>
      <c r="C57" s="390"/>
      <c r="D57" s="390"/>
      <c r="E57" s="390"/>
      <c r="F57" s="390"/>
      <c r="G57" s="390"/>
      <c r="H57" s="390"/>
      <c r="I57" s="390"/>
      <c r="J57" s="390"/>
      <c r="K57" s="390"/>
      <c r="L57" s="390"/>
      <c r="M57" s="390"/>
      <c r="N57" s="390"/>
      <c r="O57" s="390"/>
      <c r="P57" s="390"/>
      <c r="Q57" s="390"/>
      <c r="R57" s="390"/>
      <c r="S57" s="391"/>
      <c r="T57" s="101"/>
      <c r="U57" s="68"/>
    </row>
    <row r="58" spans="2:21" x14ac:dyDescent="0.3">
      <c r="B58" s="256" t="s">
        <v>655</v>
      </c>
      <c r="C58" s="110" t="s">
        <v>20</v>
      </c>
      <c r="D58" s="110"/>
      <c r="E58" s="110"/>
      <c r="F58" s="110"/>
      <c r="G58" s="110"/>
      <c r="H58" s="110"/>
      <c r="I58" s="110"/>
      <c r="J58" s="130"/>
      <c r="K58" s="110"/>
      <c r="L58" s="360"/>
      <c r="M58" s="181">
        <f t="shared" ref="M58:M67" si="25">L58*(1+$M$6)</f>
        <v>0</v>
      </c>
      <c r="N58" s="182" t="s">
        <v>18</v>
      </c>
      <c r="O58" s="111" t="str">
        <f>IF(AND($C58&lt;&gt;"",$D58&lt;&gt;"",$E58&lt;&gt;""),IF(COUNTIFS(TileTable[Section],$C58,TileTable[Level],$D58,TileTable[Item_Name],$E58)&gt;0,SUMIFS(TileTable[Olsen_Cost],TileTable[Section],$C58,TileTable[Level],$D58,TileTable[Item_Name],$E58),""),"0")</f>
        <v>0</v>
      </c>
      <c r="P58" s="112">
        <f t="shared" ref="P58:P67" si="26">O58*M58</f>
        <v>0</v>
      </c>
      <c r="Q58" s="99">
        <f t="shared" ref="Q58:Q67" si="27">(M58/SUM($M$8:$M$30,$M$32:$M$43,$M$45:$M$56,$M$58:$M$69,$M$71:$M$82,$M$84:$M$95,$M$97:$M$108,$M$110:$M$121,$M$123:$M$134))*$V$5</f>
        <v>0</v>
      </c>
      <c r="R58" s="100">
        <f t="shared" ref="R58:R67" si="28">P58-Q58</f>
        <v>0</v>
      </c>
      <c r="S58" s="257">
        <f t="shared" ref="S58:S67" si="29">IF(R58&gt;0,R58/$S$6,R58)</f>
        <v>0</v>
      </c>
      <c r="U58" s="68"/>
    </row>
    <row r="59" spans="2:21" x14ac:dyDescent="0.3">
      <c r="B59" s="256" t="s">
        <v>656</v>
      </c>
      <c r="C59" s="110"/>
      <c r="D59" s="110"/>
      <c r="E59" s="110"/>
      <c r="F59" s="110"/>
      <c r="G59" s="110"/>
      <c r="H59" s="110"/>
      <c r="I59" s="110"/>
      <c r="J59" s="130"/>
      <c r="K59" s="110"/>
      <c r="L59" s="360"/>
      <c r="M59" s="181">
        <f t="shared" si="25"/>
        <v>0</v>
      </c>
      <c r="N59" s="182" t="s">
        <v>18</v>
      </c>
      <c r="O59" s="111" t="str">
        <f>IF(AND($C59&lt;&gt;"",$D59&lt;&gt;"",$E59&lt;&gt;""),IF(COUNTIFS(TileTable[Section],$C59,TileTable[Level],$D59,TileTable[Item_Name],$E59)&gt;0,SUMIFS(TileTable[Olsen_Cost],TileTable[Section],$C59,TileTable[Level],$D59,TileTable[Item_Name],$E59),""),"0")</f>
        <v>0</v>
      </c>
      <c r="P59" s="112">
        <f t="shared" si="26"/>
        <v>0</v>
      </c>
      <c r="Q59" s="99">
        <f t="shared" si="27"/>
        <v>0</v>
      </c>
      <c r="R59" s="100">
        <f t="shared" si="28"/>
        <v>0</v>
      </c>
      <c r="S59" s="257">
        <f t="shared" si="29"/>
        <v>0</v>
      </c>
      <c r="U59" s="68"/>
    </row>
    <row r="60" spans="2:21" x14ac:dyDescent="0.3">
      <c r="B60" s="258" t="s">
        <v>657</v>
      </c>
      <c r="C60" s="110"/>
      <c r="D60" s="110"/>
      <c r="E60" s="110"/>
      <c r="F60" s="110"/>
      <c r="G60" s="110"/>
      <c r="H60" s="110"/>
      <c r="I60" s="110"/>
      <c r="J60" s="130"/>
      <c r="K60" s="110"/>
      <c r="L60" s="360"/>
      <c r="M60" s="181">
        <f t="shared" si="25"/>
        <v>0</v>
      </c>
      <c r="N60" s="182" t="s">
        <v>18</v>
      </c>
      <c r="O60" s="111" t="str">
        <f>IF(AND($C60&lt;&gt;"",$D60&lt;&gt;"",$E60&lt;&gt;""),IF(COUNTIFS(TileTable[Section],$C60,TileTable[Level],$D60,TileTable[Item_Name],$E60)&gt;0,SUMIFS(TileTable[Olsen_Cost],TileTable[Section],$C60,TileTable[Level],$D60,TileTable[Item_Name],$E60),""),"0")</f>
        <v>0</v>
      </c>
      <c r="P60" s="112">
        <f t="shared" si="26"/>
        <v>0</v>
      </c>
      <c r="Q60" s="99">
        <f t="shared" si="27"/>
        <v>0</v>
      </c>
      <c r="R60" s="100">
        <f t="shared" si="28"/>
        <v>0</v>
      </c>
      <c r="S60" s="257">
        <f t="shared" si="29"/>
        <v>0</v>
      </c>
      <c r="U60" s="68"/>
    </row>
    <row r="61" spans="2:21" x14ac:dyDescent="0.3">
      <c r="B61" s="259" t="s">
        <v>90</v>
      </c>
      <c r="C61" s="110"/>
      <c r="D61" s="110"/>
      <c r="E61" s="110"/>
      <c r="F61" s="110"/>
      <c r="G61" s="110"/>
      <c r="H61" s="110"/>
      <c r="I61" s="110"/>
      <c r="J61" s="130"/>
      <c r="K61" s="110"/>
      <c r="L61" s="359">
        <f>G69</f>
        <v>0</v>
      </c>
      <c r="M61" s="189">
        <f t="shared" si="25"/>
        <v>0</v>
      </c>
      <c r="N61" s="182" t="s">
        <v>18</v>
      </c>
      <c r="O61" s="111" t="str">
        <f>IF(AND($C61&lt;&gt;"",$D61&lt;&gt;"",$E61&lt;&gt;""),IF(COUNTIFS(TileTable[Section],$C61,TileTable[Level],$D61,TileTable[Item_Name],$E61)&gt;0,SUMIFS(TileTable[Olsen_Cost],TileTable[Section],$C61,TileTable[Level],$D61,TileTable[Item_Name],$E61),""),"0")</f>
        <v>0</v>
      </c>
      <c r="P61" s="112">
        <f t="shared" si="26"/>
        <v>0</v>
      </c>
      <c r="Q61" s="99">
        <f t="shared" si="27"/>
        <v>0</v>
      </c>
      <c r="R61" s="100">
        <f t="shared" si="28"/>
        <v>0</v>
      </c>
      <c r="S61" s="257">
        <f t="shared" si="29"/>
        <v>0</v>
      </c>
      <c r="U61" s="68"/>
    </row>
    <row r="62" spans="2:21" x14ac:dyDescent="0.3">
      <c r="B62" s="256" t="s">
        <v>659</v>
      </c>
      <c r="C62" s="110"/>
      <c r="D62" s="110"/>
      <c r="E62" s="110"/>
      <c r="F62" s="110"/>
      <c r="G62" s="110"/>
      <c r="H62" s="110"/>
      <c r="I62" s="110"/>
      <c r="J62" s="130"/>
      <c r="K62" s="110"/>
      <c r="L62" s="360"/>
      <c r="M62" s="181">
        <f t="shared" si="25"/>
        <v>0</v>
      </c>
      <c r="N62" s="182" t="s">
        <v>18</v>
      </c>
      <c r="O62" s="111" t="str">
        <f>IF(AND($C62&lt;&gt;"",$D62&lt;&gt;"",$E62&lt;&gt;""),IF(COUNTIFS(TileTable[Section],$C62,TileTable[Level],$D62,TileTable[Item_Name],$E62)&gt;0,SUMIFS(TileTable[Olsen_Cost],TileTable[Section],$C62,TileTable[Level],$D62,TileTable[Item_Name],$E62),""),"0")</f>
        <v>0</v>
      </c>
      <c r="P62" s="112">
        <f t="shared" si="26"/>
        <v>0</v>
      </c>
      <c r="Q62" s="99">
        <f t="shared" si="27"/>
        <v>0</v>
      </c>
      <c r="R62" s="100">
        <f t="shared" si="28"/>
        <v>0</v>
      </c>
      <c r="S62" s="257">
        <f t="shared" si="29"/>
        <v>0</v>
      </c>
      <c r="U62" s="68"/>
    </row>
    <row r="63" spans="2:21" x14ac:dyDescent="0.3">
      <c r="B63" s="256" t="s">
        <v>658</v>
      </c>
      <c r="C63" s="110"/>
      <c r="D63" s="110"/>
      <c r="E63" s="110"/>
      <c r="F63" s="110"/>
      <c r="G63" s="110"/>
      <c r="H63" s="110"/>
      <c r="I63" s="110"/>
      <c r="J63" s="130"/>
      <c r="K63" s="110"/>
      <c r="L63" s="360"/>
      <c r="M63" s="181">
        <f t="shared" si="25"/>
        <v>0</v>
      </c>
      <c r="N63" s="182" t="s">
        <v>18</v>
      </c>
      <c r="O63" s="111" t="str">
        <f>IF(AND($C63&lt;&gt;"",$D63&lt;&gt;"",$E63&lt;&gt;""),IF(COUNTIFS(TileTable[Section],$C63,TileTable[Level],$D63,TileTable[Item_Name],$E63)&gt;0,SUMIFS(TileTable[Olsen_Cost],TileTable[Section],$C63,TileTable[Level],$D63,TileTable[Item_Name],$E63),""),"0")</f>
        <v>0</v>
      </c>
      <c r="P63" s="112">
        <f t="shared" si="26"/>
        <v>0</v>
      </c>
      <c r="Q63" s="99">
        <f t="shared" si="27"/>
        <v>0</v>
      </c>
      <c r="R63" s="100">
        <f t="shared" si="28"/>
        <v>0</v>
      </c>
      <c r="S63" s="257">
        <f t="shared" si="29"/>
        <v>0</v>
      </c>
      <c r="U63" s="68"/>
    </row>
    <row r="64" spans="2:21" x14ac:dyDescent="0.3">
      <c r="B64" s="256" t="s">
        <v>661</v>
      </c>
      <c r="C64" s="110" t="s">
        <v>661</v>
      </c>
      <c r="D64" s="110" t="s">
        <v>153</v>
      </c>
      <c r="E64" s="110"/>
      <c r="F64" s="110"/>
      <c r="G64" s="110"/>
      <c r="H64" s="110"/>
      <c r="I64" s="110"/>
      <c r="J64" s="130"/>
      <c r="K64" s="110"/>
      <c r="L64" s="360"/>
      <c r="M64" s="181">
        <f t="shared" si="25"/>
        <v>0</v>
      </c>
      <c r="N64" s="182" t="s">
        <v>18</v>
      </c>
      <c r="O64" s="111" t="str">
        <f>IF(AND($C64&lt;&gt;"",$D64&lt;&gt;"",$E64&lt;&gt;""),IF(COUNTIFS(TileTable[Section],$C64,TileTable[Level],$D64,TileTable[Item_Name],$E64)&gt;0,SUMIFS(TileTable[Olsen_Cost],TileTable[Section],$C64,TileTable[Level],$D64,TileTable[Item_Name],$E64),""),"0")</f>
        <v>0</v>
      </c>
      <c r="P64" s="112">
        <f t="shared" si="26"/>
        <v>0</v>
      </c>
      <c r="Q64" s="99">
        <f t="shared" si="27"/>
        <v>0</v>
      </c>
      <c r="R64" s="100">
        <f t="shared" si="28"/>
        <v>0</v>
      </c>
      <c r="S64" s="257">
        <f t="shared" si="29"/>
        <v>0</v>
      </c>
      <c r="U64" s="68"/>
    </row>
    <row r="65" spans="2:21" x14ac:dyDescent="0.3">
      <c r="B65" s="256" t="s">
        <v>46</v>
      </c>
      <c r="C65" s="110" t="s">
        <v>46</v>
      </c>
      <c r="D65" s="110" t="s">
        <v>153</v>
      </c>
      <c r="E65" s="110"/>
      <c r="F65" s="110"/>
      <c r="G65" s="110"/>
      <c r="H65" s="110"/>
      <c r="I65" s="110"/>
      <c r="J65" s="130"/>
      <c r="K65" s="110"/>
      <c r="L65" s="360"/>
      <c r="M65" s="181">
        <f t="shared" si="25"/>
        <v>0</v>
      </c>
      <c r="N65" s="182" t="s">
        <v>18</v>
      </c>
      <c r="O65" s="111" t="str">
        <f>IF(AND($C65&lt;&gt;"",$D65&lt;&gt;"",$E65&lt;&gt;""),IF(COUNTIFS(TileTable[Section],$C65,TileTable[Level],$D65,TileTable[Item_Name],$E65)&gt;0,SUMIFS(TileTable[Olsen_Cost],TileTable[Section],$C65,TileTable[Level],$D65,TileTable[Item_Name],$E65),""),"0")</f>
        <v>0</v>
      </c>
      <c r="P65" s="112">
        <f t="shared" si="26"/>
        <v>0</v>
      </c>
      <c r="Q65" s="99">
        <f t="shared" si="27"/>
        <v>0</v>
      </c>
      <c r="R65" s="100">
        <f t="shared" si="28"/>
        <v>0</v>
      </c>
      <c r="S65" s="257">
        <f t="shared" si="29"/>
        <v>0</v>
      </c>
      <c r="U65" s="68"/>
    </row>
    <row r="66" spans="2:21" x14ac:dyDescent="0.3">
      <c r="B66" s="256" t="s">
        <v>72</v>
      </c>
      <c r="C66" s="110" t="s">
        <v>72</v>
      </c>
      <c r="D66" s="110" t="s">
        <v>153</v>
      </c>
      <c r="E66" s="110"/>
      <c r="F66" s="110"/>
      <c r="G66" s="110"/>
      <c r="H66" s="110"/>
      <c r="I66" s="110"/>
      <c r="J66" s="130"/>
      <c r="K66" s="110"/>
      <c r="L66" s="360"/>
      <c r="M66" s="181">
        <f t="shared" si="25"/>
        <v>0</v>
      </c>
      <c r="N66" s="182" t="s">
        <v>18</v>
      </c>
      <c r="O66" s="111" t="str">
        <f>IF(AND($C66&lt;&gt;"",$D66&lt;&gt;"",$E66&lt;&gt;""),IF(COUNTIFS(TileTable[Section],$C66,TileTable[Level],$D66,TileTable[Item_Name],$E66)&gt;0,SUMIFS(TileTable[Olsen_Cost],TileTable[Section],$C66,TileTable[Level],$D66,TileTable[Item_Name],$E66),""),"0")</f>
        <v>0</v>
      </c>
      <c r="P66" s="112">
        <f t="shared" si="26"/>
        <v>0</v>
      </c>
      <c r="Q66" s="99">
        <f t="shared" si="27"/>
        <v>0</v>
      </c>
      <c r="R66" s="100">
        <f t="shared" si="28"/>
        <v>0</v>
      </c>
      <c r="S66" s="257">
        <f t="shared" si="29"/>
        <v>0</v>
      </c>
      <c r="U66" s="68"/>
    </row>
    <row r="67" spans="2:21" x14ac:dyDescent="0.3">
      <c r="B67" s="256"/>
      <c r="C67" s="110"/>
      <c r="D67" s="110"/>
      <c r="E67" s="110"/>
      <c r="F67" s="110"/>
      <c r="G67" s="110"/>
      <c r="H67" s="110"/>
      <c r="I67" s="110"/>
      <c r="J67" s="130"/>
      <c r="K67" s="110"/>
      <c r="L67" s="360"/>
      <c r="M67" s="181">
        <f t="shared" si="25"/>
        <v>0</v>
      </c>
      <c r="N67" s="182" t="s">
        <v>18</v>
      </c>
      <c r="O67" s="111" t="str">
        <f>IF(AND($C67&lt;&gt;"",$D67&lt;&gt;"",$E67&lt;&gt;""),IF(COUNTIFS(TileTable[Section],$C67,TileTable[Level],$D67,TileTable[Item_Name],$E67)&gt;0,SUMIFS(TileTable[Olsen_Cost],TileTable[Section],$C67,TileTable[Level],$D67,TileTable[Item_Name],$E67),""),"0")</f>
        <v>0</v>
      </c>
      <c r="P67" s="112">
        <f t="shared" si="26"/>
        <v>0</v>
      </c>
      <c r="Q67" s="99">
        <f t="shared" si="27"/>
        <v>0</v>
      </c>
      <c r="R67" s="100">
        <f t="shared" si="28"/>
        <v>0</v>
      </c>
      <c r="S67" s="257">
        <f t="shared" si="29"/>
        <v>0</v>
      </c>
      <c r="U67" s="68"/>
    </row>
    <row r="68" spans="2:21" x14ac:dyDescent="0.3">
      <c r="B68" s="260" t="s">
        <v>660</v>
      </c>
      <c r="C68" s="409"/>
      <c r="D68" s="410"/>
      <c r="E68" s="410"/>
      <c r="F68" s="410"/>
      <c r="G68" s="410"/>
      <c r="H68" s="410"/>
      <c r="I68" s="411"/>
      <c r="J68" s="113"/>
      <c r="K68" s="261"/>
      <c r="L68" s="344"/>
      <c r="M68" s="262"/>
      <c r="N68" s="263" t="str">
        <f>IF(AND($C68&lt;&gt;"",$D68&lt;&gt;"",$E68&lt;&gt;""),IF(COUNTIFS(TileTable[Section],$C68,TileTable[Level],$D68,TileTable[Item_Name],$E68)&gt;0,SUMIFS(TileTable[Olsen_Cost],TileTable[Section],$C68,TileTable[Level],$D68,TileTable[Item_Name],$E68),""),"")</f>
        <v/>
      </c>
      <c r="O68" s="264"/>
      <c r="P68" s="265"/>
      <c r="Q68" s="264"/>
      <c r="R68" s="264"/>
      <c r="S68" s="266"/>
      <c r="U68" s="68"/>
    </row>
    <row r="69" spans="2:21" x14ac:dyDescent="0.3">
      <c r="B69" s="267" t="s">
        <v>674</v>
      </c>
      <c r="C69" s="160">
        <v>0</v>
      </c>
      <c r="D69" s="161" t="s">
        <v>675</v>
      </c>
      <c r="E69" s="162">
        <v>0</v>
      </c>
      <c r="F69" s="163" t="s">
        <v>676</v>
      </c>
      <c r="G69" s="167">
        <f>IF(C69=0,0,((C69+8)*(E69+8))/144)</f>
        <v>0</v>
      </c>
      <c r="H69" s="163" t="s">
        <v>18</v>
      </c>
      <c r="I69" s="164"/>
      <c r="J69" s="113"/>
      <c r="K69" s="261"/>
      <c r="L69" s="344"/>
      <c r="M69" s="262"/>
      <c r="N69" s="263" t="str">
        <f>IF(AND($C69&lt;&gt;"",$D69&lt;&gt;"",$E69&lt;&gt;""),IF(COUNTIFS(TileTable[Section],$C69,TileTable[Level],$D69,TileTable[Item_Name],$E69)&gt;0,SUMIFS(TileTable[Olsen_Cost],TileTable[Section],$C69,TileTable[Level],$D69,TileTable[Item_Name],$E69),""),"")</f>
        <v/>
      </c>
      <c r="O69" s="264"/>
      <c r="P69" s="241" t="s">
        <v>696</v>
      </c>
      <c r="Q69" s="242"/>
      <c r="R69" s="242"/>
      <c r="S69" s="243">
        <f>SUM(S58:S68)</f>
        <v>0</v>
      </c>
      <c r="U69" s="68"/>
    </row>
    <row r="70" spans="2:21" ht="21" x14ac:dyDescent="0.35">
      <c r="B70" s="389" t="s">
        <v>192</v>
      </c>
      <c r="C70" s="390"/>
      <c r="D70" s="390"/>
      <c r="E70" s="390"/>
      <c r="F70" s="390"/>
      <c r="G70" s="390"/>
      <c r="H70" s="390"/>
      <c r="I70" s="390"/>
      <c r="J70" s="390"/>
      <c r="K70" s="390"/>
      <c r="L70" s="390"/>
      <c r="M70" s="390"/>
      <c r="N70" s="390"/>
      <c r="O70" s="390"/>
      <c r="P70" s="390"/>
      <c r="Q70" s="390"/>
      <c r="R70" s="390"/>
      <c r="S70" s="391"/>
      <c r="T70" s="101"/>
      <c r="U70" s="68"/>
    </row>
    <row r="71" spans="2:21" x14ac:dyDescent="0.3">
      <c r="B71" s="268" t="s">
        <v>655</v>
      </c>
      <c r="C71" s="114" t="s">
        <v>20</v>
      </c>
      <c r="D71" s="114"/>
      <c r="E71" s="114"/>
      <c r="F71" s="114"/>
      <c r="G71" s="114"/>
      <c r="H71" s="114"/>
      <c r="I71" s="114"/>
      <c r="J71" s="131"/>
      <c r="K71" s="114"/>
      <c r="L71" s="360"/>
      <c r="M71" s="179">
        <f t="shared" ref="M71:M80" si="30">L71*(1+$M$6)</f>
        <v>0</v>
      </c>
      <c r="N71" s="115" t="s">
        <v>18</v>
      </c>
      <c r="O71" s="116" t="str">
        <f>IF(AND($C71&lt;&gt;"",$D71&lt;&gt;"",$E71&lt;&gt;""),IF(COUNTIFS(TileTable[Section],$C71,TileTable[Level],$D71,TileTable[Item_Name],$E71)&gt;0,SUMIFS(TileTable[Olsen_Cost],TileTable[Section],$C71,TileTable[Level],$D71,TileTable[Item_Name],$E71),""),"0")</f>
        <v>0</v>
      </c>
      <c r="P71" s="117">
        <f t="shared" ref="P71:P80" si="31">O71*M71</f>
        <v>0</v>
      </c>
      <c r="Q71" s="99">
        <f t="shared" ref="Q71:Q80" si="32">(M71/SUM($M$8:$M$30,$M$32:$M$43,$M$45:$M$56,$M$58:$M$69,$M$71:$M$82,$M$84:$M$95,$M$97:$M$108,$M$110:$M$121,$M$123:$M$134))*$V$5</f>
        <v>0</v>
      </c>
      <c r="R71" s="100">
        <f t="shared" ref="R71:R80" si="33">P71-Q71</f>
        <v>0</v>
      </c>
      <c r="S71" s="269">
        <f t="shared" ref="S71:S80" si="34">IF(R71&gt;0,R71/$S$6,R71)</f>
        <v>0</v>
      </c>
      <c r="U71" s="68"/>
    </row>
    <row r="72" spans="2:21" x14ac:dyDescent="0.3">
      <c r="B72" s="268" t="s">
        <v>656</v>
      </c>
      <c r="C72" s="114"/>
      <c r="D72" s="114"/>
      <c r="E72" s="114"/>
      <c r="F72" s="114"/>
      <c r="G72" s="114"/>
      <c r="H72" s="114"/>
      <c r="I72" s="114"/>
      <c r="J72" s="131"/>
      <c r="K72" s="114"/>
      <c r="L72" s="360"/>
      <c r="M72" s="179">
        <f t="shared" si="30"/>
        <v>0</v>
      </c>
      <c r="N72" s="115" t="s">
        <v>18</v>
      </c>
      <c r="O72" s="116" t="str">
        <f>IF(AND($C72&lt;&gt;"",$D72&lt;&gt;"",$E72&lt;&gt;""),IF(COUNTIFS(TileTable[Section],$C72,TileTable[Level],$D72,TileTable[Item_Name],$E72)&gt;0,SUMIFS(TileTable[Olsen_Cost],TileTable[Section],$C72,TileTable[Level],$D72,TileTable[Item_Name],$E72),""),"0")</f>
        <v>0</v>
      </c>
      <c r="P72" s="117">
        <f t="shared" si="31"/>
        <v>0</v>
      </c>
      <c r="Q72" s="99">
        <f t="shared" si="32"/>
        <v>0</v>
      </c>
      <c r="R72" s="100">
        <f t="shared" si="33"/>
        <v>0</v>
      </c>
      <c r="S72" s="269">
        <f t="shared" si="34"/>
        <v>0</v>
      </c>
      <c r="U72" s="68"/>
    </row>
    <row r="73" spans="2:21" x14ac:dyDescent="0.3">
      <c r="B73" s="270" t="s">
        <v>657</v>
      </c>
      <c r="C73" s="114"/>
      <c r="D73" s="114"/>
      <c r="E73" s="114"/>
      <c r="F73" s="114"/>
      <c r="G73" s="114"/>
      <c r="H73" s="114"/>
      <c r="I73" s="114"/>
      <c r="J73" s="131"/>
      <c r="K73" s="114"/>
      <c r="L73" s="360"/>
      <c r="M73" s="179">
        <f t="shared" si="30"/>
        <v>0</v>
      </c>
      <c r="N73" s="115" t="s">
        <v>18</v>
      </c>
      <c r="O73" s="116" t="str">
        <f>IF(AND($C73&lt;&gt;"",$D73&lt;&gt;"",$E73&lt;&gt;""),IF(COUNTIFS(TileTable[Section],$C73,TileTable[Level],$D73,TileTable[Item_Name],$E73)&gt;0,SUMIFS(TileTable[Olsen_Cost],TileTable[Section],$C73,TileTable[Level],$D73,TileTable[Item_Name],$E73),""),"0")</f>
        <v>0</v>
      </c>
      <c r="P73" s="117">
        <f t="shared" si="31"/>
        <v>0</v>
      </c>
      <c r="Q73" s="99">
        <f t="shared" si="32"/>
        <v>0</v>
      </c>
      <c r="R73" s="100">
        <f t="shared" si="33"/>
        <v>0</v>
      </c>
      <c r="S73" s="269">
        <f t="shared" si="34"/>
        <v>0</v>
      </c>
      <c r="U73" s="68"/>
    </row>
    <row r="74" spans="2:21" x14ac:dyDescent="0.3">
      <c r="B74" s="271" t="s">
        <v>90</v>
      </c>
      <c r="C74" s="114"/>
      <c r="D74" s="114"/>
      <c r="E74" s="114"/>
      <c r="F74" s="114"/>
      <c r="G74" s="114"/>
      <c r="H74" s="114"/>
      <c r="I74" s="114"/>
      <c r="J74" s="131"/>
      <c r="K74" s="114"/>
      <c r="L74" s="359">
        <f>G82</f>
        <v>0</v>
      </c>
      <c r="M74" s="180">
        <f t="shared" si="30"/>
        <v>0</v>
      </c>
      <c r="N74" s="115" t="s">
        <v>18</v>
      </c>
      <c r="O74" s="116" t="str">
        <f>IF(AND($C74&lt;&gt;"",$D74&lt;&gt;"",$E74&lt;&gt;""),IF(COUNTIFS(TileTable[Section],$C74,TileTable[Level],$D74,TileTable[Item_Name],$E74)&gt;0,SUMIFS(TileTable[Olsen_Cost],TileTable[Section],$C74,TileTable[Level],$D74,TileTable[Item_Name],$E74),""),"0")</f>
        <v>0</v>
      </c>
      <c r="P74" s="117">
        <f t="shared" si="31"/>
        <v>0</v>
      </c>
      <c r="Q74" s="99">
        <f t="shared" si="32"/>
        <v>0</v>
      </c>
      <c r="R74" s="100">
        <f t="shared" si="33"/>
        <v>0</v>
      </c>
      <c r="S74" s="269">
        <f t="shared" si="34"/>
        <v>0</v>
      </c>
      <c r="U74" s="68"/>
    </row>
    <row r="75" spans="2:21" x14ac:dyDescent="0.3">
      <c r="B75" s="268" t="s">
        <v>659</v>
      </c>
      <c r="C75" s="114"/>
      <c r="D75" s="114"/>
      <c r="E75" s="114"/>
      <c r="F75" s="114"/>
      <c r="G75" s="114"/>
      <c r="H75" s="114"/>
      <c r="I75" s="114"/>
      <c r="J75" s="131"/>
      <c r="K75" s="114"/>
      <c r="L75" s="360"/>
      <c r="M75" s="179">
        <f t="shared" si="30"/>
        <v>0</v>
      </c>
      <c r="N75" s="115" t="s">
        <v>18</v>
      </c>
      <c r="O75" s="116" t="str">
        <f>IF(AND($C75&lt;&gt;"",$D75&lt;&gt;"",$E75&lt;&gt;""),IF(COUNTIFS(TileTable[Section],$C75,TileTable[Level],$D75,TileTable[Item_Name],$E75)&gt;0,SUMIFS(TileTable[Olsen_Cost],TileTable[Section],$C75,TileTable[Level],$D75,TileTable[Item_Name],$E75),""),"0")</f>
        <v>0</v>
      </c>
      <c r="P75" s="117">
        <f t="shared" si="31"/>
        <v>0</v>
      </c>
      <c r="Q75" s="99">
        <f t="shared" si="32"/>
        <v>0</v>
      </c>
      <c r="R75" s="100">
        <f t="shared" si="33"/>
        <v>0</v>
      </c>
      <c r="S75" s="269">
        <f t="shared" si="34"/>
        <v>0</v>
      </c>
      <c r="U75" s="68"/>
    </row>
    <row r="76" spans="2:21" x14ac:dyDescent="0.3">
      <c r="B76" s="268" t="s">
        <v>658</v>
      </c>
      <c r="C76" s="114"/>
      <c r="D76" s="114"/>
      <c r="E76" s="114"/>
      <c r="F76" s="114"/>
      <c r="G76" s="114"/>
      <c r="H76" s="114"/>
      <c r="I76" s="114"/>
      <c r="J76" s="131"/>
      <c r="K76" s="114"/>
      <c r="L76" s="360"/>
      <c r="M76" s="179">
        <f t="shared" si="30"/>
        <v>0</v>
      </c>
      <c r="N76" s="115" t="s">
        <v>18</v>
      </c>
      <c r="O76" s="116" t="str">
        <f>IF(AND($C76&lt;&gt;"",$D76&lt;&gt;"",$E76&lt;&gt;""),IF(COUNTIFS(TileTable[Section],$C76,TileTable[Level],$D76,TileTable[Item_Name],$E76)&gt;0,SUMIFS(TileTable[Olsen_Cost],TileTable[Section],$C76,TileTable[Level],$D76,TileTable[Item_Name],$E76),""),"0")</f>
        <v>0</v>
      </c>
      <c r="P76" s="117">
        <f t="shared" si="31"/>
        <v>0</v>
      </c>
      <c r="Q76" s="99">
        <f t="shared" si="32"/>
        <v>0</v>
      </c>
      <c r="R76" s="100">
        <f t="shared" si="33"/>
        <v>0</v>
      </c>
      <c r="S76" s="269">
        <f t="shared" si="34"/>
        <v>0</v>
      </c>
      <c r="U76" s="68"/>
    </row>
    <row r="77" spans="2:21" x14ac:dyDescent="0.3">
      <c r="B77" s="268" t="s">
        <v>661</v>
      </c>
      <c r="C77" s="114" t="s">
        <v>661</v>
      </c>
      <c r="D77" s="114" t="s">
        <v>153</v>
      </c>
      <c r="E77" s="114"/>
      <c r="F77" s="114"/>
      <c r="G77" s="114"/>
      <c r="H77" s="114"/>
      <c r="I77" s="114"/>
      <c r="J77" s="131"/>
      <c r="K77" s="114"/>
      <c r="L77" s="360"/>
      <c r="M77" s="179">
        <f t="shared" si="30"/>
        <v>0</v>
      </c>
      <c r="N77" s="115" t="s">
        <v>18</v>
      </c>
      <c r="O77" s="116" t="str">
        <f>IF(AND($C77&lt;&gt;"",$D77&lt;&gt;"",$E77&lt;&gt;""),IF(COUNTIFS(TileTable[Section],$C77,TileTable[Level],$D77,TileTable[Item_Name],$E77)&gt;0,SUMIFS(TileTable[Olsen_Cost],TileTable[Section],$C77,TileTable[Level],$D77,TileTable[Item_Name],$E77),""),"0")</f>
        <v>0</v>
      </c>
      <c r="P77" s="117">
        <f t="shared" si="31"/>
        <v>0</v>
      </c>
      <c r="Q77" s="99">
        <f t="shared" si="32"/>
        <v>0</v>
      </c>
      <c r="R77" s="100">
        <f t="shared" si="33"/>
        <v>0</v>
      </c>
      <c r="S77" s="269">
        <f t="shared" si="34"/>
        <v>0</v>
      </c>
      <c r="U77" s="68"/>
    </row>
    <row r="78" spans="2:21" x14ac:dyDescent="0.3">
      <c r="B78" s="268" t="s">
        <v>46</v>
      </c>
      <c r="C78" s="114" t="s">
        <v>46</v>
      </c>
      <c r="D78" s="114" t="s">
        <v>153</v>
      </c>
      <c r="E78" s="114"/>
      <c r="F78" s="114"/>
      <c r="G78" s="114"/>
      <c r="H78" s="114"/>
      <c r="I78" s="114"/>
      <c r="J78" s="131"/>
      <c r="K78" s="114"/>
      <c r="L78" s="360"/>
      <c r="M78" s="179">
        <f t="shared" si="30"/>
        <v>0</v>
      </c>
      <c r="N78" s="115" t="s">
        <v>18</v>
      </c>
      <c r="O78" s="116" t="str">
        <f>IF(AND($C78&lt;&gt;"",$D78&lt;&gt;"",$E78&lt;&gt;""),IF(COUNTIFS(TileTable[Section],$C78,TileTable[Level],$D78,TileTable[Item_Name],$E78)&gt;0,SUMIFS(TileTable[Olsen_Cost],TileTable[Section],$C78,TileTable[Level],$D78,TileTable[Item_Name],$E78),""),"0")</f>
        <v>0</v>
      </c>
      <c r="P78" s="117">
        <f t="shared" si="31"/>
        <v>0</v>
      </c>
      <c r="Q78" s="99">
        <f t="shared" si="32"/>
        <v>0</v>
      </c>
      <c r="R78" s="100">
        <f t="shared" si="33"/>
        <v>0</v>
      </c>
      <c r="S78" s="269">
        <f t="shared" si="34"/>
        <v>0</v>
      </c>
      <c r="U78" s="68"/>
    </row>
    <row r="79" spans="2:21" x14ac:dyDescent="0.3">
      <c r="B79" s="268" t="s">
        <v>72</v>
      </c>
      <c r="C79" s="114" t="s">
        <v>72</v>
      </c>
      <c r="D79" s="114" t="s">
        <v>153</v>
      </c>
      <c r="E79" s="114"/>
      <c r="F79" s="114"/>
      <c r="G79" s="114"/>
      <c r="H79" s="114"/>
      <c r="I79" s="114"/>
      <c r="J79" s="131"/>
      <c r="K79" s="114"/>
      <c r="L79" s="360"/>
      <c r="M79" s="179">
        <f t="shared" si="30"/>
        <v>0</v>
      </c>
      <c r="N79" s="115" t="s">
        <v>18</v>
      </c>
      <c r="O79" s="116" t="str">
        <f>IF(AND($C79&lt;&gt;"",$D79&lt;&gt;"",$E79&lt;&gt;""),IF(COUNTIFS(TileTable[Section],$C79,TileTable[Level],$D79,TileTable[Item_Name],$E79)&gt;0,SUMIFS(TileTable[Olsen_Cost],TileTable[Section],$C79,TileTable[Level],$D79,TileTable[Item_Name],$E79),""),"0")</f>
        <v>0</v>
      </c>
      <c r="P79" s="117">
        <f t="shared" si="31"/>
        <v>0</v>
      </c>
      <c r="Q79" s="99">
        <f t="shared" si="32"/>
        <v>0</v>
      </c>
      <c r="R79" s="100">
        <f t="shared" si="33"/>
        <v>0</v>
      </c>
      <c r="S79" s="269">
        <f t="shared" si="34"/>
        <v>0</v>
      </c>
      <c r="U79" s="68"/>
    </row>
    <row r="80" spans="2:21" x14ac:dyDescent="0.3">
      <c r="B80" s="268"/>
      <c r="C80" s="114"/>
      <c r="D80" s="114"/>
      <c r="E80" s="114"/>
      <c r="F80" s="114"/>
      <c r="G80" s="114"/>
      <c r="H80" s="114"/>
      <c r="I80" s="114"/>
      <c r="J80" s="131"/>
      <c r="K80" s="114"/>
      <c r="L80" s="360"/>
      <c r="M80" s="179">
        <f t="shared" si="30"/>
        <v>0</v>
      </c>
      <c r="N80" s="115" t="s">
        <v>18</v>
      </c>
      <c r="O80" s="116" t="str">
        <f>IF(AND($C80&lt;&gt;"",$D80&lt;&gt;"",$E80&lt;&gt;""),IF(COUNTIFS(TileTable[Section],$C80,TileTable[Level],$D80,TileTable[Item_Name],$E80)&gt;0,SUMIFS(TileTable[Olsen_Cost],TileTable[Section],$C80,TileTable[Level],$D80,TileTable[Item_Name],$E80),""),"0")</f>
        <v>0</v>
      </c>
      <c r="P80" s="117">
        <f t="shared" si="31"/>
        <v>0</v>
      </c>
      <c r="Q80" s="99">
        <f t="shared" si="32"/>
        <v>0</v>
      </c>
      <c r="R80" s="100">
        <f t="shared" si="33"/>
        <v>0</v>
      </c>
      <c r="S80" s="269">
        <f t="shared" si="34"/>
        <v>0</v>
      </c>
      <c r="U80" s="68"/>
    </row>
    <row r="81" spans="2:21" x14ac:dyDescent="0.3">
      <c r="B81" s="272" t="s">
        <v>660</v>
      </c>
      <c r="C81" s="412"/>
      <c r="D81" s="413"/>
      <c r="E81" s="413"/>
      <c r="F81" s="413"/>
      <c r="G81" s="413"/>
      <c r="H81" s="413"/>
      <c r="I81" s="414"/>
      <c r="J81" s="273"/>
      <c r="K81" s="274"/>
      <c r="L81" s="345"/>
      <c r="M81" s="275"/>
      <c r="N81" s="276" t="str">
        <f>IF(AND($C81&lt;&gt;"",$D81&lt;&gt;"",$E81&lt;&gt;""),IF(COUNTIFS(TileTable[Section],$C81,TileTable[Level],$D81,TileTable[Item_Name],$E81)&gt;0,SUMIFS(TileTable[Olsen_Cost],TileTable[Section],$C81,TileTable[Level],$D81,TileTable[Item_Name],$E81),""),"")</f>
        <v/>
      </c>
      <c r="O81" s="277"/>
      <c r="P81" s="278"/>
      <c r="Q81" s="277"/>
      <c r="R81" s="277"/>
      <c r="S81" s="279"/>
      <c r="U81" s="68"/>
    </row>
    <row r="82" spans="2:21" x14ac:dyDescent="0.3">
      <c r="B82" s="280" t="s">
        <v>674</v>
      </c>
      <c r="C82" s="155">
        <v>0</v>
      </c>
      <c r="D82" s="156" t="s">
        <v>675</v>
      </c>
      <c r="E82" s="157">
        <v>0</v>
      </c>
      <c r="F82" s="158" t="s">
        <v>676</v>
      </c>
      <c r="G82" s="168">
        <f>IF(C82=0,0,((C82+8)*(E82+8))/144)</f>
        <v>0</v>
      </c>
      <c r="H82" s="158" t="s">
        <v>18</v>
      </c>
      <c r="I82" s="159"/>
      <c r="J82" s="273"/>
      <c r="K82" s="274"/>
      <c r="L82" s="345"/>
      <c r="M82" s="275"/>
      <c r="N82" s="276" t="str">
        <f>IF(AND($C82&lt;&gt;"",$D82&lt;&gt;"",$E82&lt;&gt;""),IF(COUNTIFS(TileTable[Section],$C82,TileTable[Level],$D82,TileTable[Item_Name],$E82)&gt;0,SUMIFS(TileTable[Olsen_Cost],TileTable[Section],$C82,TileTable[Level],$D82,TileTable[Item_Name],$E82),""),"")</f>
        <v/>
      </c>
      <c r="O82" s="277"/>
      <c r="P82" s="241" t="s">
        <v>696</v>
      </c>
      <c r="Q82" s="242"/>
      <c r="R82" s="242"/>
      <c r="S82" s="243">
        <f>SUM(S71:S81)</f>
        <v>0</v>
      </c>
      <c r="U82" s="68"/>
    </row>
    <row r="83" spans="2:21" ht="18" customHeight="1" x14ac:dyDescent="0.35">
      <c r="B83" s="389" t="s">
        <v>195</v>
      </c>
      <c r="C83" s="390"/>
      <c r="D83" s="390"/>
      <c r="E83" s="390"/>
      <c r="F83" s="390"/>
      <c r="G83" s="390"/>
      <c r="H83" s="390"/>
      <c r="I83" s="390"/>
      <c r="J83" s="390"/>
      <c r="K83" s="390"/>
      <c r="L83" s="390"/>
      <c r="M83" s="390"/>
      <c r="N83" s="390"/>
      <c r="O83" s="390"/>
      <c r="P83" s="390"/>
      <c r="Q83" s="390"/>
      <c r="R83" s="390"/>
      <c r="S83" s="391"/>
      <c r="U83" s="68"/>
    </row>
    <row r="84" spans="2:21" ht="18" customHeight="1" x14ac:dyDescent="0.3">
      <c r="B84" s="228" t="s">
        <v>655</v>
      </c>
      <c r="C84" s="102" t="s">
        <v>20</v>
      </c>
      <c r="D84" s="102"/>
      <c r="E84" s="102"/>
      <c r="F84" s="102"/>
      <c r="G84" s="102"/>
      <c r="H84" s="102"/>
      <c r="I84" s="102"/>
      <c r="J84" s="128"/>
      <c r="K84" s="102"/>
      <c r="L84" s="360"/>
      <c r="M84" s="177">
        <f t="shared" ref="M84:M93" si="35">L84*(1+$M$6)</f>
        <v>0</v>
      </c>
      <c r="N84" s="103" t="s">
        <v>18</v>
      </c>
      <c r="O84" s="104" t="str">
        <f>IF(AND($C84&lt;&gt;"",$D84&lt;&gt;"",$E84&lt;&gt;""),IF(COUNTIFS(TileTable[Section],$C84,TileTable[Level],$D84,TileTable[Item_Name],$E84)&gt;0,SUMIFS(TileTable[Olsen_Cost],TileTable[Section],$C84,TileTable[Level],$D84,TileTable[Item_Name],$E84),""),"0")</f>
        <v>0</v>
      </c>
      <c r="P84" s="105">
        <f t="shared" ref="P84:P93" si="36">O84*M84</f>
        <v>0</v>
      </c>
      <c r="Q84" s="99">
        <f t="shared" ref="Q84:Q93" si="37">(M84/SUM($M$8:$M$30,$M$32:$M$43,$M$45:$M$56,$M$58:$M$69,$M$71:$M$82,$M$84:$M$95,$M$97:$M$108,$M$110:$M$121,$M$123:$M$134))*$V$5</f>
        <v>0</v>
      </c>
      <c r="R84" s="100">
        <f t="shared" ref="R84:R93" si="38">P84-Q84</f>
        <v>0</v>
      </c>
      <c r="S84" s="229">
        <f t="shared" ref="S84:S93" si="39">IF(R84&gt;0,R84/$S$6,R84)</f>
        <v>0</v>
      </c>
      <c r="U84" s="68"/>
    </row>
    <row r="85" spans="2:21" ht="18" customHeight="1" x14ac:dyDescent="0.3">
      <c r="B85" s="228" t="s">
        <v>656</v>
      </c>
      <c r="C85" s="102"/>
      <c r="D85" s="102"/>
      <c r="E85" s="102"/>
      <c r="F85" s="102"/>
      <c r="G85" s="102"/>
      <c r="H85" s="102"/>
      <c r="I85" s="102"/>
      <c r="J85" s="128"/>
      <c r="K85" s="102"/>
      <c r="L85" s="360"/>
      <c r="M85" s="177">
        <f t="shared" si="35"/>
        <v>0</v>
      </c>
      <c r="N85" s="103" t="s">
        <v>18</v>
      </c>
      <c r="O85" s="104" t="str">
        <f>IF(AND($C85&lt;&gt;"",$D85&lt;&gt;"",$E85&lt;&gt;""),IF(COUNTIFS(TileTable[Section],$C85,TileTable[Level],$D85,TileTable[Item_Name],$E85)&gt;0,SUMIFS(TileTable[Olsen_Cost],TileTable[Section],$C85,TileTable[Level],$D85,TileTable[Item_Name],$E85),""),"0")</f>
        <v>0</v>
      </c>
      <c r="P85" s="105">
        <f t="shared" si="36"/>
        <v>0</v>
      </c>
      <c r="Q85" s="99">
        <f t="shared" si="37"/>
        <v>0</v>
      </c>
      <c r="R85" s="100">
        <f t="shared" si="38"/>
        <v>0</v>
      </c>
      <c r="S85" s="229">
        <f t="shared" si="39"/>
        <v>0</v>
      </c>
      <c r="U85" s="68"/>
    </row>
    <row r="86" spans="2:21" ht="18" customHeight="1" x14ac:dyDescent="0.3">
      <c r="B86" s="230" t="s">
        <v>657</v>
      </c>
      <c r="C86" s="102"/>
      <c r="D86" s="102"/>
      <c r="E86" s="102"/>
      <c r="F86" s="102"/>
      <c r="G86" s="102"/>
      <c r="H86" s="102"/>
      <c r="I86" s="102"/>
      <c r="J86" s="128"/>
      <c r="K86" s="102"/>
      <c r="L86" s="360"/>
      <c r="M86" s="177">
        <f t="shared" si="35"/>
        <v>0</v>
      </c>
      <c r="N86" s="103" t="s">
        <v>18</v>
      </c>
      <c r="O86" s="104" t="str">
        <f>IF(AND($C86&lt;&gt;"",$D86&lt;&gt;"",$E86&lt;&gt;""),IF(COUNTIFS(TileTable[Section],$C86,TileTable[Level],$D86,TileTable[Item_Name],$E86)&gt;0,SUMIFS(TileTable[Olsen_Cost],TileTable[Section],$C86,TileTable[Level],$D86,TileTable[Item_Name],$E86),""),"0")</f>
        <v>0</v>
      </c>
      <c r="P86" s="105">
        <f t="shared" si="36"/>
        <v>0</v>
      </c>
      <c r="Q86" s="99">
        <f t="shared" si="37"/>
        <v>0</v>
      </c>
      <c r="R86" s="100">
        <f t="shared" si="38"/>
        <v>0</v>
      </c>
      <c r="S86" s="229">
        <f t="shared" si="39"/>
        <v>0</v>
      </c>
      <c r="T86" s="122"/>
      <c r="U86" s="68"/>
    </row>
    <row r="87" spans="2:21" ht="18" customHeight="1" x14ac:dyDescent="0.3">
      <c r="B87" s="231" t="s">
        <v>90</v>
      </c>
      <c r="C87" s="102"/>
      <c r="D87" s="102"/>
      <c r="E87" s="102"/>
      <c r="F87" s="102"/>
      <c r="G87" s="102"/>
      <c r="H87" s="102"/>
      <c r="I87" s="102"/>
      <c r="J87" s="128"/>
      <c r="K87" s="102"/>
      <c r="L87" s="359">
        <f>G95</f>
        <v>0</v>
      </c>
      <c r="M87" s="178">
        <f t="shared" si="35"/>
        <v>0</v>
      </c>
      <c r="N87" s="103" t="s">
        <v>18</v>
      </c>
      <c r="O87" s="104" t="str">
        <f>IF(AND($C87&lt;&gt;"",$D87&lt;&gt;"",$E87&lt;&gt;""),IF(COUNTIFS(TileTable[Section],$C87,TileTable[Level],$D87,TileTable[Item_Name],$E87)&gt;0,SUMIFS(TileTable[Olsen_Cost],TileTable[Section],$C87,TileTable[Level],$D87,TileTable[Item_Name],$E87),""),"0")</f>
        <v>0</v>
      </c>
      <c r="P87" s="105">
        <f t="shared" si="36"/>
        <v>0</v>
      </c>
      <c r="Q87" s="99">
        <f t="shared" si="37"/>
        <v>0</v>
      </c>
      <c r="R87" s="100">
        <f t="shared" si="38"/>
        <v>0</v>
      </c>
      <c r="S87" s="229">
        <f t="shared" si="39"/>
        <v>0</v>
      </c>
      <c r="T87" s="122"/>
      <c r="U87" s="68"/>
    </row>
    <row r="88" spans="2:21" ht="18" customHeight="1" x14ac:dyDescent="0.3">
      <c r="B88" s="228" t="s">
        <v>659</v>
      </c>
      <c r="C88" s="102"/>
      <c r="D88" s="102"/>
      <c r="E88" s="102"/>
      <c r="F88" s="102"/>
      <c r="G88" s="102"/>
      <c r="H88" s="102"/>
      <c r="I88" s="102"/>
      <c r="J88" s="128"/>
      <c r="K88" s="102"/>
      <c r="L88" s="360"/>
      <c r="M88" s="177">
        <f t="shared" si="35"/>
        <v>0</v>
      </c>
      <c r="N88" s="103" t="s">
        <v>18</v>
      </c>
      <c r="O88" s="104" t="str">
        <f>IF(AND($C88&lt;&gt;"",$D88&lt;&gt;"",$E88&lt;&gt;""),IF(COUNTIFS(TileTable[Section],$C88,TileTable[Level],$D88,TileTable[Item_Name],$E88)&gt;0,SUMIFS(TileTable[Olsen_Cost],TileTable[Section],$C88,TileTable[Level],$D88,TileTable[Item_Name],$E88),""),"0")</f>
        <v>0</v>
      </c>
      <c r="P88" s="105">
        <f t="shared" si="36"/>
        <v>0</v>
      </c>
      <c r="Q88" s="99">
        <f t="shared" si="37"/>
        <v>0</v>
      </c>
      <c r="R88" s="100">
        <f t="shared" si="38"/>
        <v>0</v>
      </c>
      <c r="S88" s="229">
        <f t="shared" si="39"/>
        <v>0</v>
      </c>
      <c r="T88" s="122"/>
      <c r="U88" s="68"/>
    </row>
    <row r="89" spans="2:21" ht="18" customHeight="1" x14ac:dyDescent="0.3">
      <c r="B89" s="228" t="s">
        <v>658</v>
      </c>
      <c r="C89" s="102"/>
      <c r="D89" s="102"/>
      <c r="E89" s="102"/>
      <c r="F89" s="102"/>
      <c r="G89" s="102"/>
      <c r="H89" s="102"/>
      <c r="I89" s="102"/>
      <c r="J89" s="128"/>
      <c r="K89" s="102"/>
      <c r="L89" s="360"/>
      <c r="M89" s="177">
        <f t="shared" si="35"/>
        <v>0</v>
      </c>
      <c r="N89" s="103" t="s">
        <v>18</v>
      </c>
      <c r="O89" s="104" t="str">
        <f>IF(AND($C89&lt;&gt;"",$D89&lt;&gt;"",$E89&lt;&gt;""),IF(COUNTIFS(TileTable[Section],$C89,TileTable[Level],$D89,TileTable[Item_Name],$E89)&gt;0,SUMIFS(TileTable[Olsen_Cost],TileTable[Section],$C89,TileTable[Level],$D89,TileTable[Item_Name],$E89),""),"0")</f>
        <v>0</v>
      </c>
      <c r="P89" s="105">
        <f t="shared" si="36"/>
        <v>0</v>
      </c>
      <c r="Q89" s="99">
        <f t="shared" si="37"/>
        <v>0</v>
      </c>
      <c r="R89" s="100">
        <f t="shared" si="38"/>
        <v>0</v>
      </c>
      <c r="S89" s="229">
        <f t="shared" si="39"/>
        <v>0</v>
      </c>
      <c r="T89" s="122"/>
      <c r="U89" s="68"/>
    </row>
    <row r="90" spans="2:21" ht="18" customHeight="1" x14ac:dyDescent="0.3">
      <c r="B90" s="228" t="s">
        <v>661</v>
      </c>
      <c r="C90" s="102" t="s">
        <v>661</v>
      </c>
      <c r="D90" s="102" t="s">
        <v>153</v>
      </c>
      <c r="E90" s="102"/>
      <c r="F90" s="102"/>
      <c r="G90" s="102"/>
      <c r="H90" s="102"/>
      <c r="I90" s="102"/>
      <c r="J90" s="128"/>
      <c r="K90" s="102"/>
      <c r="L90" s="360"/>
      <c r="M90" s="177">
        <f t="shared" si="35"/>
        <v>0</v>
      </c>
      <c r="N90" s="103" t="s">
        <v>18</v>
      </c>
      <c r="O90" s="104" t="str">
        <f>IF(AND($C90&lt;&gt;"",$D90&lt;&gt;"",$E90&lt;&gt;""),IF(COUNTIFS(TileTable[Section],$C90,TileTable[Level],$D90,TileTable[Item_Name],$E90)&gt;0,SUMIFS(TileTable[Olsen_Cost],TileTable[Section],$C90,TileTable[Level],$D90,TileTable[Item_Name],$E90),""),"0")</f>
        <v>0</v>
      </c>
      <c r="P90" s="105">
        <f t="shared" si="36"/>
        <v>0</v>
      </c>
      <c r="Q90" s="99">
        <f t="shared" si="37"/>
        <v>0</v>
      </c>
      <c r="R90" s="100">
        <f t="shared" si="38"/>
        <v>0</v>
      </c>
      <c r="S90" s="229">
        <f t="shared" si="39"/>
        <v>0</v>
      </c>
      <c r="T90" s="122"/>
      <c r="U90" s="68"/>
    </row>
    <row r="91" spans="2:21" ht="18" customHeight="1" x14ac:dyDescent="0.3">
      <c r="B91" s="228" t="s">
        <v>46</v>
      </c>
      <c r="C91" s="102" t="s">
        <v>46</v>
      </c>
      <c r="D91" s="102" t="s">
        <v>153</v>
      </c>
      <c r="E91" s="102"/>
      <c r="F91" s="102"/>
      <c r="G91" s="102"/>
      <c r="H91" s="102"/>
      <c r="I91" s="102"/>
      <c r="J91" s="128"/>
      <c r="K91" s="102"/>
      <c r="L91" s="360"/>
      <c r="M91" s="177">
        <f t="shared" si="35"/>
        <v>0</v>
      </c>
      <c r="N91" s="103" t="s">
        <v>18</v>
      </c>
      <c r="O91" s="104" t="str">
        <f>IF(AND($C91&lt;&gt;"",$D91&lt;&gt;"",$E91&lt;&gt;""),IF(COUNTIFS(TileTable[Section],$C91,TileTable[Level],$D91,TileTable[Item_Name],$E91)&gt;0,SUMIFS(TileTable[Olsen_Cost],TileTable[Section],$C91,TileTable[Level],$D91,TileTable[Item_Name],$E91),""),"0")</f>
        <v>0</v>
      </c>
      <c r="P91" s="105">
        <f t="shared" si="36"/>
        <v>0</v>
      </c>
      <c r="Q91" s="99">
        <f t="shared" si="37"/>
        <v>0</v>
      </c>
      <c r="R91" s="100">
        <f t="shared" si="38"/>
        <v>0</v>
      </c>
      <c r="S91" s="229">
        <f t="shared" si="39"/>
        <v>0</v>
      </c>
      <c r="T91" s="122"/>
      <c r="U91" s="68"/>
    </row>
    <row r="92" spans="2:21" ht="18" customHeight="1" x14ac:dyDescent="0.3">
      <c r="B92" s="228" t="s">
        <v>72</v>
      </c>
      <c r="C92" s="102" t="s">
        <v>72</v>
      </c>
      <c r="D92" s="102" t="s">
        <v>153</v>
      </c>
      <c r="E92" s="102"/>
      <c r="F92" s="102"/>
      <c r="G92" s="102"/>
      <c r="H92" s="102"/>
      <c r="I92" s="102"/>
      <c r="J92" s="128"/>
      <c r="K92" s="102"/>
      <c r="L92" s="360"/>
      <c r="M92" s="177">
        <f t="shared" si="35"/>
        <v>0</v>
      </c>
      <c r="N92" s="103" t="s">
        <v>18</v>
      </c>
      <c r="O92" s="104" t="str">
        <f>IF(AND($C92&lt;&gt;"",$D92&lt;&gt;"",$E92&lt;&gt;""),IF(COUNTIFS(TileTable[Section],$C92,TileTable[Level],$D92,TileTable[Item_Name],$E92)&gt;0,SUMIFS(TileTable[Olsen_Cost],TileTable[Section],$C92,TileTable[Level],$D92,TileTable[Item_Name],$E92),""),"0")</f>
        <v>0</v>
      </c>
      <c r="P92" s="105">
        <f t="shared" si="36"/>
        <v>0</v>
      </c>
      <c r="Q92" s="99">
        <f t="shared" si="37"/>
        <v>0</v>
      </c>
      <c r="R92" s="100">
        <f t="shared" si="38"/>
        <v>0</v>
      </c>
      <c r="S92" s="229">
        <f t="shared" si="39"/>
        <v>0</v>
      </c>
      <c r="T92" s="122"/>
      <c r="U92" s="68"/>
    </row>
    <row r="93" spans="2:21" ht="18" customHeight="1" x14ac:dyDescent="0.3">
      <c r="B93" s="228"/>
      <c r="C93" s="102"/>
      <c r="D93" s="102"/>
      <c r="E93" s="102"/>
      <c r="F93" s="102"/>
      <c r="G93" s="102"/>
      <c r="H93" s="102"/>
      <c r="I93" s="102"/>
      <c r="J93" s="128"/>
      <c r="K93" s="102"/>
      <c r="L93" s="360"/>
      <c r="M93" s="177">
        <f t="shared" si="35"/>
        <v>0</v>
      </c>
      <c r="N93" s="103" t="s">
        <v>18</v>
      </c>
      <c r="O93" s="104" t="str">
        <f>IF(AND($C93&lt;&gt;"",$D93&lt;&gt;"",$E93&lt;&gt;""),IF(COUNTIFS(TileTable[Section],$C93,TileTable[Level],$D93,TileTable[Item_Name],$E93)&gt;0,SUMIFS(TileTable[Olsen_Cost],TileTable[Section],$C93,TileTable[Level],$D93,TileTable[Item_Name],$E93),""),"0")</f>
        <v>0</v>
      </c>
      <c r="P93" s="105">
        <f t="shared" si="36"/>
        <v>0</v>
      </c>
      <c r="Q93" s="99">
        <f t="shared" si="37"/>
        <v>0</v>
      </c>
      <c r="R93" s="100">
        <f t="shared" si="38"/>
        <v>0</v>
      </c>
      <c r="S93" s="229">
        <f t="shared" si="39"/>
        <v>0</v>
      </c>
      <c r="T93" s="122"/>
      <c r="U93" s="68"/>
    </row>
    <row r="94" spans="2:21" ht="18" customHeight="1" x14ac:dyDescent="0.3">
      <c r="B94" s="232" t="s">
        <v>660</v>
      </c>
      <c r="C94" s="399"/>
      <c r="D94" s="400"/>
      <c r="E94" s="400"/>
      <c r="F94" s="400"/>
      <c r="G94" s="400"/>
      <c r="H94" s="400"/>
      <c r="I94" s="401"/>
      <c r="J94" s="233"/>
      <c r="K94" s="234"/>
      <c r="L94" s="342"/>
      <c r="M94" s="235"/>
      <c r="N94" s="236" t="str">
        <f>IF(AND($C94&lt;&gt;"",$D94&lt;&gt;"",$E94&lt;&gt;""),IF(COUNTIFS(TileTable[Section],$C94,TileTable[Level],$D94,TileTable[Item_Name],$E94)&gt;0,SUMIFS(TileTable[Olsen_Cost],TileTable[Section],$C94,TileTable[Level],$D94,TileTable[Item_Name],$E94),""),"")</f>
        <v/>
      </c>
      <c r="O94" s="237"/>
      <c r="P94" s="238"/>
      <c r="Q94" s="237"/>
      <c r="R94" s="237"/>
      <c r="S94" s="239"/>
      <c r="T94" s="122"/>
      <c r="U94" s="68"/>
    </row>
    <row r="95" spans="2:21" ht="18" customHeight="1" x14ac:dyDescent="0.3">
      <c r="B95" s="240" t="s">
        <v>674</v>
      </c>
      <c r="C95" s="150">
        <v>0</v>
      </c>
      <c r="D95" s="151" t="s">
        <v>675</v>
      </c>
      <c r="E95" s="152">
        <v>0</v>
      </c>
      <c r="F95" s="153" t="s">
        <v>676</v>
      </c>
      <c r="G95" s="165">
        <f>IF(C95=0,0,((C95+8)*(E95+8))/144)</f>
        <v>0</v>
      </c>
      <c r="H95" s="153" t="s">
        <v>18</v>
      </c>
      <c r="I95" s="154"/>
      <c r="J95" s="233"/>
      <c r="K95" s="234"/>
      <c r="L95" s="342"/>
      <c r="M95" s="235"/>
      <c r="N95" s="236" t="str">
        <f>IF(AND($C95&lt;&gt;"",$D95&lt;&gt;"",$E95&lt;&gt;""),IF(COUNTIFS(TileTable[Section],$C95,TileTable[Level],$D95,TileTable[Item_Name],$E95)&gt;0,SUMIFS(TileTable[Olsen_Cost],TileTable[Section],$C95,TileTable[Level],$D95,TileTable[Item_Name],$E95),""),"")</f>
        <v/>
      </c>
      <c r="O95" s="237"/>
      <c r="P95" s="241" t="s">
        <v>696</v>
      </c>
      <c r="Q95" s="242"/>
      <c r="R95" s="242"/>
      <c r="S95" s="243">
        <f>SUM(S84:S94)</f>
        <v>0</v>
      </c>
      <c r="T95" s="122"/>
      <c r="U95" s="68"/>
    </row>
    <row r="96" spans="2:21" ht="18" customHeight="1" x14ac:dyDescent="0.35">
      <c r="B96" s="389" t="s">
        <v>198</v>
      </c>
      <c r="C96" s="390"/>
      <c r="D96" s="390"/>
      <c r="E96" s="390"/>
      <c r="F96" s="390"/>
      <c r="G96" s="390"/>
      <c r="H96" s="390"/>
      <c r="I96" s="390"/>
      <c r="J96" s="390"/>
      <c r="K96" s="390"/>
      <c r="L96" s="390"/>
      <c r="M96" s="390"/>
      <c r="N96" s="390"/>
      <c r="O96" s="390"/>
      <c r="P96" s="390"/>
      <c r="Q96" s="390"/>
      <c r="R96" s="390"/>
      <c r="S96" s="391"/>
      <c r="T96" s="122"/>
      <c r="U96" s="68"/>
    </row>
    <row r="97" spans="2:21" ht="18" customHeight="1" x14ac:dyDescent="0.3">
      <c r="B97" s="281" t="s">
        <v>655</v>
      </c>
      <c r="C97" s="69" t="s">
        <v>20</v>
      </c>
      <c r="D97" s="69"/>
      <c r="E97" s="69"/>
      <c r="F97" s="69"/>
      <c r="G97" s="69"/>
      <c r="H97" s="69"/>
      <c r="I97" s="69"/>
      <c r="J97" s="132"/>
      <c r="K97" s="69"/>
      <c r="L97" s="360"/>
      <c r="M97" s="175">
        <f t="shared" ref="M97:M106" si="40">L97*(1+$M$6)</f>
        <v>0</v>
      </c>
      <c r="N97" s="70" t="s">
        <v>18</v>
      </c>
      <c r="O97" s="86" t="str">
        <f>IF(AND($C97&lt;&gt;"",$D97&lt;&gt;"",$E97&lt;&gt;""),IF(COUNTIFS(TileTable[Section],$C97,TileTable[Level],$D97,TileTable[Item_Name],$E97)&gt;0,SUMIFS(TileTable[Olsen_Cost],TileTable[Section],$C97,TileTable[Level],$D97,TileTable[Item_Name],$E97),""),"0")</f>
        <v>0</v>
      </c>
      <c r="P97" s="71">
        <f t="shared" ref="P97:P106" si="41">O97*M97</f>
        <v>0</v>
      </c>
      <c r="Q97" s="99">
        <f t="shared" ref="Q97:Q106" si="42">(M97/SUM($M$8:$M$30,$M$32:$M$43,$M$45:$M$56,$M$58:$M$69,$M$71:$M$82,$M$84:$M$95,$M$97:$M$108,$M$110:$M$121,$M$123:$M$134))*$V$5</f>
        <v>0</v>
      </c>
      <c r="R97" s="100">
        <f t="shared" ref="R97:R106" si="43">P97-Q97</f>
        <v>0</v>
      </c>
      <c r="S97" s="282">
        <f t="shared" ref="S97:S106" si="44">IF(R97&gt;0,R97/$S$6,R97)</f>
        <v>0</v>
      </c>
      <c r="T97" s="122"/>
      <c r="U97" s="68"/>
    </row>
    <row r="98" spans="2:21" ht="18" customHeight="1" x14ac:dyDescent="0.3">
      <c r="B98" s="281" t="s">
        <v>656</v>
      </c>
      <c r="C98" s="69"/>
      <c r="D98" s="69"/>
      <c r="E98" s="69"/>
      <c r="F98" s="69"/>
      <c r="G98" s="69"/>
      <c r="H98" s="69"/>
      <c r="I98" s="69"/>
      <c r="J98" s="132"/>
      <c r="K98" s="69"/>
      <c r="L98" s="360"/>
      <c r="M98" s="175">
        <f t="shared" si="40"/>
        <v>0</v>
      </c>
      <c r="N98" s="70" t="s">
        <v>18</v>
      </c>
      <c r="O98" s="86" t="str">
        <f>IF(AND($C98&lt;&gt;"",$D98&lt;&gt;"",$E98&lt;&gt;""),IF(COUNTIFS(TileTable[Section],$C98,TileTable[Level],$D98,TileTable[Item_Name],$E98)&gt;0,SUMIFS(TileTable[Olsen_Cost],TileTable[Section],$C98,TileTable[Level],$D98,TileTable[Item_Name],$E98),""),"0")</f>
        <v>0</v>
      </c>
      <c r="P98" s="71">
        <f t="shared" si="41"/>
        <v>0</v>
      </c>
      <c r="Q98" s="99">
        <f t="shared" si="42"/>
        <v>0</v>
      </c>
      <c r="R98" s="100">
        <f t="shared" si="43"/>
        <v>0</v>
      </c>
      <c r="S98" s="282">
        <f t="shared" si="44"/>
        <v>0</v>
      </c>
      <c r="T98" s="122"/>
      <c r="U98" s="68"/>
    </row>
    <row r="99" spans="2:21" ht="18" customHeight="1" x14ac:dyDescent="0.3">
      <c r="B99" s="283" t="s">
        <v>657</v>
      </c>
      <c r="C99" s="69"/>
      <c r="D99" s="69"/>
      <c r="E99" s="69"/>
      <c r="F99" s="69"/>
      <c r="G99" s="69"/>
      <c r="H99" s="69"/>
      <c r="I99" s="69"/>
      <c r="J99" s="132"/>
      <c r="K99" s="69"/>
      <c r="L99" s="360"/>
      <c r="M99" s="175">
        <f t="shared" si="40"/>
        <v>0</v>
      </c>
      <c r="N99" s="70" t="s">
        <v>18</v>
      </c>
      <c r="O99" s="86" t="str">
        <f>IF(AND($C99&lt;&gt;"",$D99&lt;&gt;"",$E99&lt;&gt;""),IF(COUNTIFS(TileTable[Section],$C99,TileTable[Level],$D99,TileTable[Item_Name],$E99)&gt;0,SUMIFS(TileTable[Olsen_Cost],TileTable[Section],$C99,TileTable[Level],$D99,TileTable[Item_Name],$E99),""),"0")</f>
        <v>0</v>
      </c>
      <c r="P99" s="71">
        <f t="shared" si="41"/>
        <v>0</v>
      </c>
      <c r="Q99" s="99">
        <f t="shared" si="42"/>
        <v>0</v>
      </c>
      <c r="R99" s="100">
        <f t="shared" si="43"/>
        <v>0</v>
      </c>
      <c r="S99" s="282">
        <f t="shared" si="44"/>
        <v>0</v>
      </c>
      <c r="T99" s="122"/>
      <c r="U99" s="68"/>
    </row>
    <row r="100" spans="2:21" ht="18" customHeight="1" x14ac:dyDescent="0.3">
      <c r="B100" s="284" t="s">
        <v>90</v>
      </c>
      <c r="C100" s="69"/>
      <c r="D100" s="69"/>
      <c r="E100" s="69"/>
      <c r="F100" s="69"/>
      <c r="G100" s="69"/>
      <c r="H100" s="69"/>
      <c r="I100" s="69"/>
      <c r="J100" s="132"/>
      <c r="K100" s="69"/>
      <c r="L100" s="359">
        <f>G108</f>
        <v>0</v>
      </c>
      <c r="M100" s="176">
        <f t="shared" si="40"/>
        <v>0</v>
      </c>
      <c r="N100" s="70" t="s">
        <v>18</v>
      </c>
      <c r="O100" s="86" t="str">
        <f>IF(AND($C100&lt;&gt;"",$D100&lt;&gt;"",$E100&lt;&gt;""),IF(COUNTIFS(TileTable[Section],$C100,TileTable[Level],$D100,TileTable[Item_Name],$E100)&gt;0,SUMIFS(TileTable[Olsen_Cost],TileTable[Section],$C100,TileTable[Level],$D100,TileTable[Item_Name],$E100),""),"0")</f>
        <v>0</v>
      </c>
      <c r="P100" s="71">
        <f t="shared" si="41"/>
        <v>0</v>
      </c>
      <c r="Q100" s="99">
        <f t="shared" si="42"/>
        <v>0</v>
      </c>
      <c r="R100" s="100">
        <f t="shared" si="43"/>
        <v>0</v>
      </c>
      <c r="S100" s="282">
        <f t="shared" si="44"/>
        <v>0</v>
      </c>
      <c r="T100" s="122"/>
      <c r="U100" s="68"/>
    </row>
    <row r="101" spans="2:21" ht="18" customHeight="1" x14ac:dyDescent="0.3">
      <c r="B101" s="281" t="s">
        <v>659</v>
      </c>
      <c r="C101" s="69"/>
      <c r="D101" s="69"/>
      <c r="E101" s="69"/>
      <c r="F101" s="69"/>
      <c r="G101" s="69"/>
      <c r="H101" s="69"/>
      <c r="I101" s="69"/>
      <c r="J101" s="132"/>
      <c r="K101" s="69"/>
      <c r="L101" s="360"/>
      <c r="M101" s="175">
        <f t="shared" si="40"/>
        <v>0</v>
      </c>
      <c r="N101" s="70" t="s">
        <v>18</v>
      </c>
      <c r="O101" s="86" t="str">
        <f>IF(AND($C101&lt;&gt;"",$D101&lt;&gt;"",$E101&lt;&gt;""),IF(COUNTIFS(TileTable[Section],$C101,TileTable[Level],$D101,TileTable[Item_Name],$E101)&gt;0,SUMIFS(TileTable[Olsen_Cost],TileTable[Section],$C101,TileTable[Level],$D101,TileTable[Item_Name],$E101),""),"0")</f>
        <v>0</v>
      </c>
      <c r="P101" s="71">
        <f t="shared" si="41"/>
        <v>0</v>
      </c>
      <c r="Q101" s="99">
        <f t="shared" si="42"/>
        <v>0</v>
      </c>
      <c r="R101" s="100">
        <f t="shared" si="43"/>
        <v>0</v>
      </c>
      <c r="S101" s="282">
        <f t="shared" si="44"/>
        <v>0</v>
      </c>
      <c r="T101" s="122"/>
      <c r="U101" s="68"/>
    </row>
    <row r="102" spans="2:21" ht="18" customHeight="1" x14ac:dyDescent="0.3">
      <c r="B102" s="281" t="s">
        <v>658</v>
      </c>
      <c r="C102" s="69"/>
      <c r="D102" s="69"/>
      <c r="E102" s="69"/>
      <c r="F102" s="69"/>
      <c r="G102" s="69"/>
      <c r="H102" s="69"/>
      <c r="I102" s="69"/>
      <c r="J102" s="132"/>
      <c r="K102" s="69"/>
      <c r="L102" s="360"/>
      <c r="M102" s="175">
        <f t="shared" si="40"/>
        <v>0</v>
      </c>
      <c r="N102" s="70" t="s">
        <v>18</v>
      </c>
      <c r="O102" s="86" t="str">
        <f>IF(AND($C102&lt;&gt;"",$D102&lt;&gt;"",$E102&lt;&gt;""),IF(COUNTIFS(TileTable[Section],$C102,TileTable[Level],$D102,TileTable[Item_Name],$E102)&gt;0,SUMIFS(TileTable[Olsen_Cost],TileTable[Section],$C102,TileTable[Level],$D102,TileTable[Item_Name],$E102),""),"0")</f>
        <v>0</v>
      </c>
      <c r="P102" s="71">
        <f t="shared" si="41"/>
        <v>0</v>
      </c>
      <c r="Q102" s="99">
        <f t="shared" si="42"/>
        <v>0</v>
      </c>
      <c r="R102" s="100">
        <f t="shared" si="43"/>
        <v>0</v>
      </c>
      <c r="S102" s="282">
        <f t="shared" si="44"/>
        <v>0</v>
      </c>
      <c r="T102" s="122"/>
      <c r="U102" s="68"/>
    </row>
    <row r="103" spans="2:21" ht="18" customHeight="1" x14ac:dyDescent="0.3">
      <c r="B103" s="281" t="s">
        <v>661</v>
      </c>
      <c r="C103" s="69" t="s">
        <v>661</v>
      </c>
      <c r="D103" s="69" t="s">
        <v>153</v>
      </c>
      <c r="E103" s="69"/>
      <c r="F103" s="69"/>
      <c r="G103" s="69"/>
      <c r="H103" s="69"/>
      <c r="I103" s="69"/>
      <c r="J103" s="132"/>
      <c r="K103" s="69"/>
      <c r="L103" s="360"/>
      <c r="M103" s="175">
        <f t="shared" si="40"/>
        <v>0</v>
      </c>
      <c r="N103" s="70" t="s">
        <v>18</v>
      </c>
      <c r="O103" s="86" t="str">
        <f>IF(AND($C103&lt;&gt;"",$D103&lt;&gt;"",$E103&lt;&gt;""),IF(COUNTIFS(TileTable[Section],$C103,TileTable[Level],$D103,TileTable[Item_Name],$E103)&gt;0,SUMIFS(TileTable[Olsen_Cost],TileTable[Section],$C103,TileTable[Level],$D103,TileTable[Item_Name],$E103),""),"0")</f>
        <v>0</v>
      </c>
      <c r="P103" s="71">
        <f t="shared" si="41"/>
        <v>0</v>
      </c>
      <c r="Q103" s="99">
        <f t="shared" si="42"/>
        <v>0</v>
      </c>
      <c r="R103" s="100">
        <f t="shared" si="43"/>
        <v>0</v>
      </c>
      <c r="S103" s="282">
        <f t="shared" si="44"/>
        <v>0</v>
      </c>
      <c r="T103" s="122"/>
      <c r="U103" s="68"/>
    </row>
    <row r="104" spans="2:21" ht="18" customHeight="1" x14ac:dyDescent="0.3">
      <c r="B104" s="281" t="s">
        <v>46</v>
      </c>
      <c r="C104" s="69" t="s">
        <v>46</v>
      </c>
      <c r="D104" s="69" t="s">
        <v>153</v>
      </c>
      <c r="E104" s="69"/>
      <c r="F104" s="69"/>
      <c r="G104" s="69"/>
      <c r="H104" s="69"/>
      <c r="I104" s="69"/>
      <c r="J104" s="132"/>
      <c r="K104" s="69"/>
      <c r="L104" s="360"/>
      <c r="M104" s="175">
        <f t="shared" si="40"/>
        <v>0</v>
      </c>
      <c r="N104" s="70" t="s">
        <v>18</v>
      </c>
      <c r="O104" s="86" t="str">
        <f>IF(AND($C104&lt;&gt;"",$D104&lt;&gt;"",$E104&lt;&gt;""),IF(COUNTIFS(TileTable[Section],$C104,TileTable[Level],$D104,TileTable[Item_Name],$E104)&gt;0,SUMIFS(TileTable[Olsen_Cost],TileTable[Section],$C104,TileTable[Level],$D104,TileTable[Item_Name],$E104),""),"0")</f>
        <v>0</v>
      </c>
      <c r="P104" s="71">
        <f t="shared" si="41"/>
        <v>0</v>
      </c>
      <c r="Q104" s="99">
        <f t="shared" si="42"/>
        <v>0</v>
      </c>
      <c r="R104" s="100">
        <f t="shared" si="43"/>
        <v>0</v>
      </c>
      <c r="S104" s="282">
        <f t="shared" si="44"/>
        <v>0</v>
      </c>
      <c r="T104" s="122"/>
      <c r="U104" s="68"/>
    </row>
    <row r="105" spans="2:21" ht="18" customHeight="1" x14ac:dyDescent="0.3">
      <c r="B105" s="281" t="s">
        <v>72</v>
      </c>
      <c r="C105" s="69" t="s">
        <v>72</v>
      </c>
      <c r="D105" s="69" t="s">
        <v>153</v>
      </c>
      <c r="E105" s="69"/>
      <c r="F105" s="69"/>
      <c r="G105" s="69"/>
      <c r="H105" s="69"/>
      <c r="I105" s="69"/>
      <c r="J105" s="132"/>
      <c r="K105" s="69"/>
      <c r="L105" s="360"/>
      <c r="M105" s="175">
        <f t="shared" si="40"/>
        <v>0</v>
      </c>
      <c r="N105" s="70" t="s">
        <v>18</v>
      </c>
      <c r="O105" s="86" t="str">
        <f>IF(AND($C105&lt;&gt;"",$D105&lt;&gt;"",$E105&lt;&gt;""),IF(COUNTIFS(TileTable[Section],$C105,TileTable[Level],$D105,TileTable[Item_Name],$E105)&gt;0,SUMIFS(TileTable[Olsen_Cost],TileTable[Section],$C105,TileTable[Level],$D105,TileTable[Item_Name],$E105),""),"0")</f>
        <v>0</v>
      </c>
      <c r="P105" s="71">
        <f t="shared" si="41"/>
        <v>0</v>
      </c>
      <c r="Q105" s="99">
        <f t="shared" si="42"/>
        <v>0</v>
      </c>
      <c r="R105" s="100">
        <f t="shared" si="43"/>
        <v>0</v>
      </c>
      <c r="S105" s="282">
        <f t="shared" si="44"/>
        <v>0</v>
      </c>
      <c r="T105" s="122"/>
      <c r="U105" s="68"/>
    </row>
    <row r="106" spans="2:21" ht="18" customHeight="1" x14ac:dyDescent="0.3">
      <c r="B106" s="281"/>
      <c r="C106" s="69"/>
      <c r="D106" s="69"/>
      <c r="E106" s="69"/>
      <c r="F106" s="69"/>
      <c r="G106" s="69"/>
      <c r="H106" s="69"/>
      <c r="I106" s="69"/>
      <c r="J106" s="132"/>
      <c r="K106" s="69"/>
      <c r="L106" s="360"/>
      <c r="M106" s="175">
        <f t="shared" si="40"/>
        <v>0</v>
      </c>
      <c r="N106" s="70" t="s">
        <v>18</v>
      </c>
      <c r="O106" s="86" t="str">
        <f>IF(AND($C106&lt;&gt;"",$D106&lt;&gt;"",$E106&lt;&gt;""),IF(COUNTIFS(TileTable[Section],$C106,TileTable[Level],$D106,TileTable[Item_Name],$E106)&gt;0,SUMIFS(TileTable[Olsen_Cost],TileTable[Section],$C106,TileTable[Level],$D106,TileTable[Item_Name],$E106),""),"0")</f>
        <v>0</v>
      </c>
      <c r="P106" s="71">
        <f t="shared" si="41"/>
        <v>0</v>
      </c>
      <c r="Q106" s="99">
        <f t="shared" si="42"/>
        <v>0</v>
      </c>
      <c r="R106" s="100">
        <f t="shared" si="43"/>
        <v>0</v>
      </c>
      <c r="S106" s="282">
        <f t="shared" si="44"/>
        <v>0</v>
      </c>
      <c r="T106" s="122"/>
      <c r="U106" s="68"/>
    </row>
    <row r="107" spans="2:21" ht="18" customHeight="1" x14ac:dyDescent="0.3">
      <c r="B107" s="285" t="s">
        <v>660</v>
      </c>
      <c r="C107" s="415"/>
      <c r="D107" s="416"/>
      <c r="E107" s="416"/>
      <c r="F107" s="416"/>
      <c r="G107" s="416"/>
      <c r="H107" s="416"/>
      <c r="I107" s="417"/>
      <c r="J107" s="286"/>
      <c r="K107" s="287"/>
      <c r="L107" s="346"/>
      <c r="M107" s="288"/>
      <c r="N107" s="289" t="str">
        <f>IF(AND($C107&lt;&gt;"",$D107&lt;&gt;"",$E107&lt;&gt;""),IF(COUNTIFS(TileTable[Section],$C107,TileTable[Level],$D107,TileTable[Item_Name],$E107)&gt;0,SUMIFS(TileTable[Olsen_Cost],TileTable[Section],$C107,TileTable[Level],$D107,TileTable[Item_Name],$E107),""),"")</f>
        <v/>
      </c>
      <c r="O107" s="290"/>
      <c r="P107" s="291"/>
      <c r="Q107" s="290"/>
      <c r="R107" s="290"/>
      <c r="S107" s="292"/>
      <c r="T107" s="122"/>
      <c r="U107" s="68"/>
    </row>
    <row r="108" spans="2:21" ht="18" customHeight="1" x14ac:dyDescent="0.3">
      <c r="B108" s="293" t="s">
        <v>674</v>
      </c>
      <c r="C108" s="145">
        <v>0</v>
      </c>
      <c r="D108" s="146" t="s">
        <v>675</v>
      </c>
      <c r="E108" s="147">
        <v>0</v>
      </c>
      <c r="F108" s="148" t="s">
        <v>676</v>
      </c>
      <c r="G108" s="169">
        <f>IF(C108=0,0,((C108+8)*(E108+8))/144)</f>
        <v>0</v>
      </c>
      <c r="H108" s="148" t="s">
        <v>18</v>
      </c>
      <c r="I108" s="149"/>
      <c r="J108" s="286"/>
      <c r="K108" s="287"/>
      <c r="L108" s="346"/>
      <c r="M108" s="288"/>
      <c r="N108" s="289" t="str">
        <f>IF(AND($C108&lt;&gt;"",$D108&lt;&gt;"",$E108&lt;&gt;""),IF(COUNTIFS(TileTable[Section],$C108,TileTable[Level],$D108,TileTable[Item_Name],$E108)&gt;0,SUMIFS(TileTable[Olsen_Cost],TileTable[Section],$C108,TileTable[Level],$D108,TileTable[Item_Name],$E108),""),"")</f>
        <v/>
      </c>
      <c r="O108" s="290"/>
      <c r="P108" s="241" t="s">
        <v>696</v>
      </c>
      <c r="Q108" s="242"/>
      <c r="R108" s="242"/>
      <c r="S108" s="243">
        <f>SUM(S97:S107)</f>
        <v>0</v>
      </c>
      <c r="T108" s="122"/>
      <c r="U108" s="68"/>
    </row>
    <row r="109" spans="2:21" ht="18" customHeight="1" x14ac:dyDescent="0.35">
      <c r="B109" s="389" t="s">
        <v>672</v>
      </c>
      <c r="C109" s="390"/>
      <c r="D109" s="390"/>
      <c r="E109" s="390"/>
      <c r="F109" s="390"/>
      <c r="G109" s="390"/>
      <c r="H109" s="390"/>
      <c r="I109" s="390"/>
      <c r="J109" s="390"/>
      <c r="K109" s="390"/>
      <c r="L109" s="390"/>
      <c r="M109" s="390"/>
      <c r="N109" s="390"/>
      <c r="O109" s="390"/>
      <c r="P109" s="390"/>
      <c r="Q109" s="390"/>
      <c r="R109" s="390"/>
      <c r="S109" s="391"/>
      <c r="T109" s="122"/>
      <c r="U109" s="68"/>
    </row>
    <row r="110" spans="2:21" ht="18" customHeight="1" x14ac:dyDescent="0.3">
      <c r="B110" s="294" t="s">
        <v>655</v>
      </c>
      <c r="C110" s="118" t="s">
        <v>20</v>
      </c>
      <c r="D110" s="118"/>
      <c r="E110" s="118"/>
      <c r="F110" s="118"/>
      <c r="G110" s="118"/>
      <c r="H110" s="118"/>
      <c r="I110" s="118"/>
      <c r="J110" s="133"/>
      <c r="K110" s="118"/>
      <c r="L110" s="360"/>
      <c r="M110" s="173">
        <f t="shared" ref="M110:M119" si="45">L110*(1+$M$6)</f>
        <v>0</v>
      </c>
      <c r="N110" s="119" t="s">
        <v>18</v>
      </c>
      <c r="O110" s="120" t="str">
        <f>IF(AND($C110&lt;&gt;"",$D110&lt;&gt;"",$E110&lt;&gt;""),IF(COUNTIFS(TileTable[Section],$C110,TileTable[Level],$D110,TileTable[Item_Name],$E110)&gt;0,SUMIFS(TileTable[Olsen_Cost],TileTable[Section],$C110,TileTable[Level],$D110,TileTable[Item_Name],$E110),""),"0")</f>
        <v>0</v>
      </c>
      <c r="P110" s="121">
        <f t="shared" ref="P110:P119" si="46">O110*M110</f>
        <v>0</v>
      </c>
      <c r="Q110" s="99">
        <f t="shared" ref="Q110:Q119" si="47">(M110/SUM($M$8:$M$30,$M$32:$M$43,$M$45:$M$56,$M$58:$M$69,$M$71:$M$82,$M$84:$M$95,$M$97:$M$108,$M$110:$M$121,$M$123:$M$134))*$V$5</f>
        <v>0</v>
      </c>
      <c r="R110" s="100">
        <f t="shared" ref="R110:R119" si="48">P110-Q110</f>
        <v>0</v>
      </c>
      <c r="S110" s="295">
        <f t="shared" ref="S110:S119" si="49">IF(R110&gt;0,R110/$S$6,R110)</f>
        <v>0</v>
      </c>
      <c r="T110" s="122"/>
      <c r="U110" s="68"/>
    </row>
    <row r="111" spans="2:21" ht="18" customHeight="1" x14ac:dyDescent="0.3">
      <c r="B111" s="294" t="s">
        <v>656</v>
      </c>
      <c r="C111" s="118"/>
      <c r="D111" s="118"/>
      <c r="E111" s="118"/>
      <c r="F111" s="118"/>
      <c r="G111" s="118"/>
      <c r="H111" s="118"/>
      <c r="I111" s="118"/>
      <c r="J111" s="133"/>
      <c r="K111" s="118"/>
      <c r="L111" s="360"/>
      <c r="M111" s="173">
        <f t="shared" si="45"/>
        <v>0</v>
      </c>
      <c r="N111" s="119" t="s">
        <v>18</v>
      </c>
      <c r="O111" s="120" t="str">
        <f>IF(AND($C111&lt;&gt;"",$D111&lt;&gt;"",$E111&lt;&gt;""),IF(COUNTIFS(TileTable[Section],$C111,TileTable[Level],$D111,TileTable[Item_Name],$E111)&gt;0,SUMIFS(TileTable[Olsen_Cost],TileTable[Section],$C111,TileTable[Level],$D111,TileTable[Item_Name],$E111),""),"0")</f>
        <v>0</v>
      </c>
      <c r="P111" s="121">
        <f t="shared" si="46"/>
        <v>0</v>
      </c>
      <c r="Q111" s="99">
        <f t="shared" si="47"/>
        <v>0</v>
      </c>
      <c r="R111" s="100">
        <f t="shared" si="48"/>
        <v>0</v>
      </c>
      <c r="S111" s="295">
        <f t="shared" si="49"/>
        <v>0</v>
      </c>
      <c r="T111" s="122"/>
      <c r="U111" s="68"/>
    </row>
    <row r="112" spans="2:21" ht="18" customHeight="1" x14ac:dyDescent="0.3">
      <c r="B112" s="296" t="s">
        <v>657</v>
      </c>
      <c r="C112" s="118"/>
      <c r="D112" s="118"/>
      <c r="E112" s="118"/>
      <c r="F112" s="118"/>
      <c r="G112" s="118"/>
      <c r="H112" s="118"/>
      <c r="I112" s="118"/>
      <c r="J112" s="133"/>
      <c r="K112" s="118"/>
      <c r="L112" s="360"/>
      <c r="M112" s="173">
        <f t="shared" si="45"/>
        <v>0</v>
      </c>
      <c r="N112" s="119" t="s">
        <v>18</v>
      </c>
      <c r="O112" s="120" t="str">
        <f>IF(AND($C112&lt;&gt;"",$D112&lt;&gt;"",$E112&lt;&gt;""),IF(COUNTIFS(TileTable[Section],$C112,TileTable[Level],$D112,TileTable[Item_Name],$E112)&gt;0,SUMIFS(TileTable[Olsen_Cost],TileTable[Section],$C112,TileTable[Level],$D112,TileTable[Item_Name],$E112),""),"0")</f>
        <v>0</v>
      </c>
      <c r="P112" s="121">
        <f t="shared" si="46"/>
        <v>0</v>
      </c>
      <c r="Q112" s="99">
        <f t="shared" si="47"/>
        <v>0</v>
      </c>
      <c r="R112" s="100">
        <f t="shared" si="48"/>
        <v>0</v>
      </c>
      <c r="S112" s="295">
        <f t="shared" si="49"/>
        <v>0</v>
      </c>
      <c r="T112" s="122"/>
      <c r="U112" s="68"/>
    </row>
    <row r="113" spans="2:21" ht="18" customHeight="1" x14ac:dyDescent="0.3">
      <c r="B113" s="297" t="s">
        <v>90</v>
      </c>
      <c r="C113" s="118"/>
      <c r="D113" s="118"/>
      <c r="E113" s="118"/>
      <c r="F113" s="118"/>
      <c r="G113" s="118"/>
      <c r="H113" s="118"/>
      <c r="I113" s="118"/>
      <c r="J113" s="133"/>
      <c r="K113" s="118"/>
      <c r="L113" s="359">
        <f>G121</f>
        <v>0</v>
      </c>
      <c r="M113" s="174">
        <f t="shared" si="45"/>
        <v>0</v>
      </c>
      <c r="N113" s="119" t="s">
        <v>18</v>
      </c>
      <c r="O113" s="120" t="str">
        <f>IF(AND($C113&lt;&gt;"",$D113&lt;&gt;"",$E113&lt;&gt;""),IF(COUNTIFS(TileTable[Section],$C113,TileTable[Level],$D113,TileTable[Item_Name],$E113)&gt;0,SUMIFS(TileTable[Olsen_Cost],TileTable[Section],$C113,TileTable[Level],$D113,TileTable[Item_Name],$E113),""),"0")</f>
        <v>0</v>
      </c>
      <c r="P113" s="121">
        <f t="shared" si="46"/>
        <v>0</v>
      </c>
      <c r="Q113" s="99">
        <f t="shared" si="47"/>
        <v>0</v>
      </c>
      <c r="R113" s="100">
        <f t="shared" si="48"/>
        <v>0</v>
      </c>
      <c r="S113" s="295">
        <f t="shared" si="49"/>
        <v>0</v>
      </c>
      <c r="T113" s="122"/>
      <c r="U113" s="68"/>
    </row>
    <row r="114" spans="2:21" ht="18" customHeight="1" x14ac:dyDescent="0.3">
      <c r="B114" s="294" t="s">
        <v>659</v>
      </c>
      <c r="C114" s="118"/>
      <c r="D114" s="118"/>
      <c r="E114" s="118"/>
      <c r="F114" s="118"/>
      <c r="G114" s="118"/>
      <c r="H114" s="118"/>
      <c r="I114" s="118"/>
      <c r="J114" s="133"/>
      <c r="K114" s="118"/>
      <c r="L114" s="360"/>
      <c r="M114" s="173">
        <f t="shared" si="45"/>
        <v>0</v>
      </c>
      <c r="N114" s="119" t="s">
        <v>18</v>
      </c>
      <c r="O114" s="120" t="str">
        <f>IF(AND($C114&lt;&gt;"",$D114&lt;&gt;"",$E114&lt;&gt;""),IF(COUNTIFS(TileTable[Section],$C114,TileTable[Level],$D114,TileTable[Item_Name],$E114)&gt;0,SUMIFS(TileTable[Olsen_Cost],TileTable[Section],$C114,TileTable[Level],$D114,TileTable[Item_Name],$E114),""),"0")</f>
        <v>0</v>
      </c>
      <c r="P114" s="121">
        <f t="shared" si="46"/>
        <v>0</v>
      </c>
      <c r="Q114" s="99">
        <f t="shared" si="47"/>
        <v>0</v>
      </c>
      <c r="R114" s="100">
        <f t="shared" si="48"/>
        <v>0</v>
      </c>
      <c r="S114" s="295">
        <f t="shared" si="49"/>
        <v>0</v>
      </c>
      <c r="T114" s="122"/>
      <c r="U114" s="68"/>
    </row>
    <row r="115" spans="2:21" ht="18" customHeight="1" x14ac:dyDescent="0.3">
      <c r="B115" s="294" t="s">
        <v>658</v>
      </c>
      <c r="C115" s="118"/>
      <c r="D115" s="118"/>
      <c r="E115" s="118"/>
      <c r="F115" s="118"/>
      <c r="G115" s="118"/>
      <c r="H115" s="118"/>
      <c r="I115" s="118"/>
      <c r="J115" s="133"/>
      <c r="K115" s="118"/>
      <c r="L115" s="360"/>
      <c r="M115" s="173">
        <f t="shared" si="45"/>
        <v>0</v>
      </c>
      <c r="N115" s="119" t="s">
        <v>18</v>
      </c>
      <c r="O115" s="120" t="str">
        <f>IF(AND($C115&lt;&gt;"",$D115&lt;&gt;"",$E115&lt;&gt;""),IF(COUNTIFS(TileTable[Section],$C115,TileTable[Level],$D115,TileTable[Item_Name],$E115)&gt;0,SUMIFS(TileTable[Olsen_Cost],TileTable[Section],$C115,TileTable[Level],$D115,TileTable[Item_Name],$E115),""),"0")</f>
        <v>0</v>
      </c>
      <c r="P115" s="121">
        <f t="shared" si="46"/>
        <v>0</v>
      </c>
      <c r="Q115" s="99">
        <f t="shared" si="47"/>
        <v>0</v>
      </c>
      <c r="R115" s="100">
        <f t="shared" si="48"/>
        <v>0</v>
      </c>
      <c r="S115" s="295">
        <f t="shared" si="49"/>
        <v>0</v>
      </c>
      <c r="T115" s="122"/>
      <c r="U115" s="68"/>
    </row>
    <row r="116" spans="2:21" ht="18" customHeight="1" x14ac:dyDescent="0.3">
      <c r="B116" s="294" t="s">
        <v>661</v>
      </c>
      <c r="C116" s="118" t="s">
        <v>661</v>
      </c>
      <c r="D116" s="118" t="s">
        <v>153</v>
      </c>
      <c r="E116" s="118"/>
      <c r="F116" s="118"/>
      <c r="G116" s="118"/>
      <c r="H116" s="118"/>
      <c r="I116" s="118"/>
      <c r="J116" s="133"/>
      <c r="K116" s="118"/>
      <c r="L116" s="360"/>
      <c r="M116" s="173">
        <f t="shared" si="45"/>
        <v>0</v>
      </c>
      <c r="N116" s="119" t="s">
        <v>18</v>
      </c>
      <c r="O116" s="120" t="str">
        <f>IF(AND($C116&lt;&gt;"",$D116&lt;&gt;"",$E116&lt;&gt;""),IF(COUNTIFS(TileTable[Section],$C116,TileTable[Level],$D116,TileTable[Item_Name],$E116)&gt;0,SUMIFS(TileTable[Olsen_Cost],TileTable[Section],$C116,TileTable[Level],$D116,TileTable[Item_Name],$E116),""),"0")</f>
        <v>0</v>
      </c>
      <c r="P116" s="121">
        <f t="shared" si="46"/>
        <v>0</v>
      </c>
      <c r="Q116" s="99">
        <f t="shared" si="47"/>
        <v>0</v>
      </c>
      <c r="R116" s="100">
        <f t="shared" si="48"/>
        <v>0</v>
      </c>
      <c r="S116" s="295">
        <f t="shared" si="49"/>
        <v>0</v>
      </c>
      <c r="T116" s="122"/>
      <c r="U116" s="68"/>
    </row>
    <row r="117" spans="2:21" ht="18" customHeight="1" x14ac:dyDescent="0.3">
      <c r="B117" s="294" t="s">
        <v>46</v>
      </c>
      <c r="C117" s="118" t="s">
        <v>46</v>
      </c>
      <c r="D117" s="118" t="s">
        <v>153</v>
      </c>
      <c r="E117" s="118"/>
      <c r="F117" s="118"/>
      <c r="G117" s="118"/>
      <c r="H117" s="118"/>
      <c r="I117" s="118"/>
      <c r="J117" s="133"/>
      <c r="K117" s="118"/>
      <c r="L117" s="360"/>
      <c r="M117" s="173">
        <f t="shared" si="45"/>
        <v>0</v>
      </c>
      <c r="N117" s="119" t="s">
        <v>18</v>
      </c>
      <c r="O117" s="120" t="str">
        <f>IF(AND($C117&lt;&gt;"",$D117&lt;&gt;"",$E117&lt;&gt;""),IF(COUNTIFS(TileTable[Section],$C117,TileTable[Level],$D117,TileTable[Item_Name],$E117)&gt;0,SUMIFS(TileTable[Olsen_Cost],TileTable[Section],$C117,TileTable[Level],$D117,TileTable[Item_Name],$E117),""),"0")</f>
        <v>0</v>
      </c>
      <c r="P117" s="121">
        <f t="shared" si="46"/>
        <v>0</v>
      </c>
      <c r="Q117" s="99">
        <f t="shared" si="47"/>
        <v>0</v>
      </c>
      <c r="R117" s="100">
        <f t="shared" si="48"/>
        <v>0</v>
      </c>
      <c r="S117" s="295">
        <f t="shared" si="49"/>
        <v>0</v>
      </c>
      <c r="T117" s="122"/>
      <c r="U117" s="68"/>
    </row>
    <row r="118" spans="2:21" ht="18" customHeight="1" x14ac:dyDescent="0.3">
      <c r="B118" s="294" t="s">
        <v>72</v>
      </c>
      <c r="C118" s="118" t="s">
        <v>72</v>
      </c>
      <c r="D118" s="118" t="s">
        <v>153</v>
      </c>
      <c r="E118" s="118"/>
      <c r="F118" s="118"/>
      <c r="G118" s="118"/>
      <c r="H118" s="118"/>
      <c r="I118" s="118"/>
      <c r="J118" s="133"/>
      <c r="K118" s="118"/>
      <c r="L118" s="360"/>
      <c r="M118" s="173">
        <f t="shared" si="45"/>
        <v>0</v>
      </c>
      <c r="N118" s="119" t="s">
        <v>18</v>
      </c>
      <c r="O118" s="120" t="str">
        <f>IF(AND($C118&lt;&gt;"",$D118&lt;&gt;"",$E118&lt;&gt;""),IF(COUNTIFS(TileTable[Section],$C118,TileTable[Level],$D118,TileTable[Item_Name],$E118)&gt;0,SUMIFS(TileTable[Olsen_Cost],TileTable[Section],$C118,TileTable[Level],$D118,TileTable[Item_Name],$E118),""),"0")</f>
        <v>0</v>
      </c>
      <c r="P118" s="121">
        <f t="shared" si="46"/>
        <v>0</v>
      </c>
      <c r="Q118" s="99">
        <f t="shared" si="47"/>
        <v>0</v>
      </c>
      <c r="R118" s="100">
        <f t="shared" si="48"/>
        <v>0</v>
      </c>
      <c r="S118" s="295">
        <f t="shared" si="49"/>
        <v>0</v>
      </c>
      <c r="T118" s="122"/>
      <c r="U118" s="68"/>
    </row>
    <row r="119" spans="2:21" ht="18" customHeight="1" x14ac:dyDescent="0.3">
      <c r="B119" s="294"/>
      <c r="C119" s="118"/>
      <c r="D119" s="118"/>
      <c r="E119" s="118"/>
      <c r="F119" s="118"/>
      <c r="G119" s="118"/>
      <c r="H119" s="118"/>
      <c r="I119" s="118"/>
      <c r="J119" s="133"/>
      <c r="K119" s="118"/>
      <c r="L119" s="360"/>
      <c r="M119" s="173">
        <f t="shared" si="45"/>
        <v>0</v>
      </c>
      <c r="N119" s="119" t="s">
        <v>18</v>
      </c>
      <c r="O119" s="120" t="str">
        <f>IF(AND($C119&lt;&gt;"",$D119&lt;&gt;"",$E119&lt;&gt;""),IF(COUNTIFS(TileTable[Section],$C119,TileTable[Level],$D119,TileTable[Item_Name],$E119)&gt;0,SUMIFS(TileTable[Olsen_Cost],TileTable[Section],$C119,TileTable[Level],$D119,TileTable[Item_Name],$E119),""),"0")</f>
        <v>0</v>
      </c>
      <c r="P119" s="121">
        <f t="shared" si="46"/>
        <v>0</v>
      </c>
      <c r="Q119" s="99">
        <f t="shared" si="47"/>
        <v>0</v>
      </c>
      <c r="R119" s="100">
        <f t="shared" si="48"/>
        <v>0</v>
      </c>
      <c r="S119" s="295">
        <f t="shared" si="49"/>
        <v>0</v>
      </c>
      <c r="T119" s="122"/>
      <c r="U119" s="68"/>
    </row>
    <row r="120" spans="2:21" ht="18" customHeight="1" x14ac:dyDescent="0.3">
      <c r="B120" s="298" t="s">
        <v>660</v>
      </c>
      <c r="C120" s="418"/>
      <c r="D120" s="419"/>
      <c r="E120" s="419"/>
      <c r="F120" s="419"/>
      <c r="G120" s="419"/>
      <c r="H120" s="419"/>
      <c r="I120" s="420"/>
      <c r="J120" s="299"/>
      <c r="K120" s="300"/>
      <c r="L120" s="347"/>
      <c r="M120" s="301"/>
      <c r="N120" s="302" t="str">
        <f>IF(AND($C120&lt;&gt;"",$D120&lt;&gt;"",$E120&lt;&gt;""),IF(COUNTIFS(TileTable[Section],$C120,TileTable[Level],$D120,TileTable[Item_Name],$E120)&gt;0,SUMIFS(TileTable[Olsen_Cost],TileTable[Section],$C120,TileTable[Level],$D120,TileTable[Item_Name],$E120),""),"")</f>
        <v/>
      </c>
      <c r="O120" s="303"/>
      <c r="P120" s="304"/>
      <c r="Q120" s="303"/>
      <c r="R120" s="303"/>
      <c r="S120" s="305"/>
      <c r="T120" s="122"/>
      <c r="U120" s="68"/>
    </row>
    <row r="121" spans="2:21" ht="18" customHeight="1" x14ac:dyDescent="0.3">
      <c r="B121" s="306" t="s">
        <v>674</v>
      </c>
      <c r="C121" s="140">
        <v>0</v>
      </c>
      <c r="D121" s="141" t="s">
        <v>675</v>
      </c>
      <c r="E121" s="142">
        <v>0</v>
      </c>
      <c r="F121" s="143" t="s">
        <v>676</v>
      </c>
      <c r="G121" s="170">
        <f>IF(C121=0,0,((C121+8)*(E121+8))/144)</f>
        <v>0</v>
      </c>
      <c r="H121" s="143" t="s">
        <v>18</v>
      </c>
      <c r="I121" s="144"/>
      <c r="J121" s="299"/>
      <c r="K121" s="300"/>
      <c r="L121" s="347"/>
      <c r="M121" s="301"/>
      <c r="N121" s="302" t="str">
        <f>IF(AND($C121&lt;&gt;"",$D121&lt;&gt;"",$E121&lt;&gt;""),IF(COUNTIFS(TileTable[Section],$C121,TileTable[Level],$D121,TileTable[Item_Name],$E121)&gt;0,SUMIFS(TileTable[Olsen_Cost],TileTable[Section],$C121,TileTable[Level],$D121,TileTable[Item_Name],$E121),""),"")</f>
        <v/>
      </c>
      <c r="O121" s="303"/>
      <c r="P121" s="241" t="s">
        <v>696</v>
      </c>
      <c r="Q121" s="242"/>
      <c r="R121" s="242"/>
      <c r="S121" s="243">
        <f>SUM(S110:S120)</f>
        <v>0</v>
      </c>
      <c r="T121" s="122"/>
      <c r="U121" s="68"/>
    </row>
    <row r="122" spans="2:21" ht="18" customHeight="1" x14ac:dyDescent="0.35">
      <c r="B122" s="389" t="s">
        <v>673</v>
      </c>
      <c r="C122" s="390"/>
      <c r="D122" s="390"/>
      <c r="E122" s="390"/>
      <c r="F122" s="390"/>
      <c r="G122" s="390"/>
      <c r="H122" s="390"/>
      <c r="I122" s="390"/>
      <c r="J122" s="390"/>
      <c r="K122" s="390"/>
      <c r="L122" s="390"/>
      <c r="M122" s="390"/>
      <c r="N122" s="390"/>
      <c r="O122" s="390"/>
      <c r="P122" s="390"/>
      <c r="Q122" s="390"/>
      <c r="R122" s="390"/>
      <c r="S122" s="391"/>
      <c r="T122" s="122"/>
      <c r="U122" s="68"/>
    </row>
    <row r="123" spans="2:21" ht="18" customHeight="1" x14ac:dyDescent="0.3">
      <c r="B123" s="307" t="s">
        <v>655</v>
      </c>
      <c r="C123" s="123" t="s">
        <v>20</v>
      </c>
      <c r="D123" s="123"/>
      <c r="E123" s="123"/>
      <c r="F123" s="123"/>
      <c r="G123" s="123"/>
      <c r="H123" s="123"/>
      <c r="I123" s="123"/>
      <c r="J123" s="134"/>
      <c r="K123" s="123"/>
      <c r="L123" s="360"/>
      <c r="M123" s="171">
        <f t="shared" ref="M123:M132" si="50">L123*(1+$M$6)</f>
        <v>0</v>
      </c>
      <c r="N123" s="124" t="s">
        <v>18</v>
      </c>
      <c r="O123" s="125" t="str">
        <f>IF(AND($C123&lt;&gt;"",$D123&lt;&gt;"",$E123&lt;&gt;""),IF(COUNTIFS(TileTable[Section],$C123,TileTable[Level],$D123,TileTable[Item_Name],$E123)&gt;0,SUMIFS(TileTable[Olsen_Cost],TileTable[Section],$C123,TileTable[Level],$D123,TileTable[Item_Name],$E123),""),"0")</f>
        <v>0</v>
      </c>
      <c r="P123" s="126">
        <f t="shared" ref="P123:P132" si="51">O123*M123</f>
        <v>0</v>
      </c>
      <c r="Q123" s="99">
        <f t="shared" ref="Q123:Q132" si="52">(M123/SUM($M$8:$M$30,$M$32:$M$43,$M$45:$M$56,$M$58:$M$69,$M$71:$M$82,$M$84:$M$95,$M$97:$M$108,$M$110:$M$121,$M$123:$M$134))*$V$5</f>
        <v>0</v>
      </c>
      <c r="R123" s="100">
        <f t="shared" ref="R123:R132" si="53">P123-Q123</f>
        <v>0</v>
      </c>
      <c r="S123" s="308">
        <f t="shared" ref="S123:S132" si="54">IF(R123&gt;0,R123/$S$6,R123)</f>
        <v>0</v>
      </c>
      <c r="T123" s="122"/>
      <c r="U123" s="68"/>
    </row>
    <row r="124" spans="2:21" ht="18" customHeight="1" x14ac:dyDescent="0.3">
      <c r="B124" s="307" t="s">
        <v>656</v>
      </c>
      <c r="C124" s="123"/>
      <c r="D124" s="123"/>
      <c r="E124" s="123"/>
      <c r="F124" s="123"/>
      <c r="G124" s="123"/>
      <c r="H124" s="123"/>
      <c r="I124" s="123"/>
      <c r="J124" s="134"/>
      <c r="K124" s="123"/>
      <c r="L124" s="360"/>
      <c r="M124" s="171">
        <f t="shared" si="50"/>
        <v>0</v>
      </c>
      <c r="N124" s="124" t="s">
        <v>18</v>
      </c>
      <c r="O124" s="125" t="str">
        <f>IF(AND($C124&lt;&gt;"",$D124&lt;&gt;"",$E124&lt;&gt;""),IF(COUNTIFS(TileTable[Section],$C124,TileTable[Level],$D124,TileTable[Item_Name],$E124)&gt;0,SUMIFS(TileTable[Olsen_Cost],TileTable[Section],$C124,TileTable[Level],$D124,TileTable[Item_Name],$E124),""),"0")</f>
        <v>0</v>
      </c>
      <c r="P124" s="126">
        <f t="shared" si="51"/>
        <v>0</v>
      </c>
      <c r="Q124" s="99">
        <f t="shared" si="52"/>
        <v>0</v>
      </c>
      <c r="R124" s="100">
        <f t="shared" si="53"/>
        <v>0</v>
      </c>
      <c r="S124" s="308">
        <f t="shared" si="54"/>
        <v>0</v>
      </c>
      <c r="T124" s="122"/>
      <c r="U124" s="68"/>
    </row>
    <row r="125" spans="2:21" ht="18" customHeight="1" x14ac:dyDescent="0.3">
      <c r="B125" s="309" t="s">
        <v>657</v>
      </c>
      <c r="C125" s="123"/>
      <c r="D125" s="123"/>
      <c r="E125" s="123"/>
      <c r="F125" s="123"/>
      <c r="G125" s="123"/>
      <c r="H125" s="123"/>
      <c r="I125" s="123"/>
      <c r="J125" s="134"/>
      <c r="K125" s="123"/>
      <c r="L125" s="360"/>
      <c r="M125" s="171">
        <f t="shared" si="50"/>
        <v>0</v>
      </c>
      <c r="N125" s="124" t="s">
        <v>18</v>
      </c>
      <c r="O125" s="125" t="str">
        <f>IF(AND($C125&lt;&gt;"",$D125&lt;&gt;"",$E125&lt;&gt;""),IF(COUNTIFS(TileTable[Section],$C125,TileTable[Level],$D125,TileTable[Item_Name],$E125)&gt;0,SUMIFS(TileTable[Olsen_Cost],TileTable[Section],$C125,TileTable[Level],$D125,TileTable[Item_Name],$E125),""),"0")</f>
        <v>0</v>
      </c>
      <c r="P125" s="126">
        <f t="shared" si="51"/>
        <v>0</v>
      </c>
      <c r="Q125" s="99">
        <f t="shared" si="52"/>
        <v>0</v>
      </c>
      <c r="R125" s="100">
        <f t="shared" si="53"/>
        <v>0</v>
      </c>
      <c r="S125" s="308">
        <f t="shared" si="54"/>
        <v>0</v>
      </c>
      <c r="T125" s="122"/>
      <c r="U125" s="68"/>
    </row>
    <row r="126" spans="2:21" ht="18" customHeight="1" x14ac:dyDescent="0.3">
      <c r="B126" s="310" t="s">
        <v>90</v>
      </c>
      <c r="C126" s="123"/>
      <c r="D126" s="123"/>
      <c r="E126" s="123"/>
      <c r="F126" s="123"/>
      <c r="G126" s="123"/>
      <c r="H126" s="123"/>
      <c r="I126" s="123"/>
      <c r="J126" s="134"/>
      <c r="K126" s="123"/>
      <c r="L126" s="359">
        <f>G134</f>
        <v>0</v>
      </c>
      <c r="M126" s="172">
        <f t="shared" si="50"/>
        <v>0</v>
      </c>
      <c r="N126" s="124" t="s">
        <v>18</v>
      </c>
      <c r="O126" s="125" t="str">
        <f>IF(AND($C126&lt;&gt;"",$D126&lt;&gt;"",$E126&lt;&gt;""),IF(COUNTIFS(TileTable[Section],$C126,TileTable[Level],$D126,TileTable[Item_Name],$E126)&gt;0,SUMIFS(TileTable[Olsen_Cost],TileTable[Section],$C126,TileTable[Level],$D126,TileTable[Item_Name],$E126),""),"0")</f>
        <v>0</v>
      </c>
      <c r="P126" s="126">
        <f t="shared" si="51"/>
        <v>0</v>
      </c>
      <c r="Q126" s="99">
        <f t="shared" si="52"/>
        <v>0</v>
      </c>
      <c r="R126" s="100">
        <f t="shared" si="53"/>
        <v>0</v>
      </c>
      <c r="S126" s="308">
        <f t="shared" si="54"/>
        <v>0</v>
      </c>
      <c r="T126" s="122"/>
      <c r="U126" s="68"/>
    </row>
    <row r="127" spans="2:21" ht="18" customHeight="1" x14ac:dyDescent="0.3">
      <c r="B127" s="307" t="s">
        <v>659</v>
      </c>
      <c r="C127" s="123"/>
      <c r="D127" s="123"/>
      <c r="E127" s="123"/>
      <c r="F127" s="123"/>
      <c r="G127" s="123"/>
      <c r="H127" s="123"/>
      <c r="I127" s="123"/>
      <c r="J127" s="134"/>
      <c r="K127" s="123"/>
      <c r="L127" s="360"/>
      <c r="M127" s="171">
        <f t="shared" si="50"/>
        <v>0</v>
      </c>
      <c r="N127" s="124" t="s">
        <v>18</v>
      </c>
      <c r="O127" s="125" t="str">
        <f>IF(AND($C127&lt;&gt;"",$D127&lt;&gt;"",$E127&lt;&gt;""),IF(COUNTIFS(TileTable[Section],$C127,TileTable[Level],$D127,TileTable[Item_Name],$E127)&gt;0,SUMIFS(TileTable[Olsen_Cost],TileTable[Section],$C127,TileTable[Level],$D127,TileTable[Item_Name],$E127),""),"0")</f>
        <v>0</v>
      </c>
      <c r="P127" s="126">
        <f t="shared" si="51"/>
        <v>0</v>
      </c>
      <c r="Q127" s="99">
        <f t="shared" si="52"/>
        <v>0</v>
      </c>
      <c r="R127" s="100">
        <f t="shared" si="53"/>
        <v>0</v>
      </c>
      <c r="S127" s="308">
        <f t="shared" si="54"/>
        <v>0</v>
      </c>
      <c r="T127" s="122"/>
      <c r="U127" s="68"/>
    </row>
    <row r="128" spans="2:21" ht="18" customHeight="1" x14ac:dyDescent="0.3">
      <c r="B128" s="307" t="s">
        <v>658</v>
      </c>
      <c r="C128" s="123"/>
      <c r="D128" s="123"/>
      <c r="E128" s="123"/>
      <c r="F128" s="123"/>
      <c r="G128" s="123"/>
      <c r="H128" s="123"/>
      <c r="I128" s="123"/>
      <c r="J128" s="134"/>
      <c r="K128" s="123"/>
      <c r="L128" s="360"/>
      <c r="M128" s="171">
        <f t="shared" si="50"/>
        <v>0</v>
      </c>
      <c r="N128" s="124" t="s">
        <v>18</v>
      </c>
      <c r="O128" s="125" t="str">
        <f>IF(AND($C128&lt;&gt;"",$D128&lt;&gt;"",$E128&lt;&gt;""),IF(COUNTIFS(TileTable[Section],$C128,TileTable[Level],$D128,TileTable[Item_Name],$E128)&gt;0,SUMIFS(TileTable[Olsen_Cost],TileTable[Section],$C128,TileTable[Level],$D128,TileTable[Item_Name],$E128),""),"0")</f>
        <v>0</v>
      </c>
      <c r="P128" s="126">
        <f t="shared" si="51"/>
        <v>0</v>
      </c>
      <c r="Q128" s="99">
        <f t="shared" si="52"/>
        <v>0</v>
      </c>
      <c r="R128" s="100">
        <f t="shared" si="53"/>
        <v>0</v>
      </c>
      <c r="S128" s="308">
        <f t="shared" si="54"/>
        <v>0</v>
      </c>
      <c r="T128" s="122"/>
      <c r="U128" s="68"/>
    </row>
    <row r="129" spans="2:21" ht="18" customHeight="1" x14ac:dyDescent="0.3">
      <c r="B129" s="307" t="s">
        <v>661</v>
      </c>
      <c r="C129" s="123" t="s">
        <v>661</v>
      </c>
      <c r="D129" s="123" t="s">
        <v>153</v>
      </c>
      <c r="E129" s="123"/>
      <c r="F129" s="123"/>
      <c r="G129" s="123"/>
      <c r="H129" s="123"/>
      <c r="I129" s="123"/>
      <c r="J129" s="134"/>
      <c r="K129" s="123"/>
      <c r="L129" s="360"/>
      <c r="M129" s="171">
        <f t="shared" si="50"/>
        <v>0</v>
      </c>
      <c r="N129" s="124" t="s">
        <v>18</v>
      </c>
      <c r="O129" s="125" t="str">
        <f>IF(AND($C129&lt;&gt;"",$D129&lt;&gt;"",$E129&lt;&gt;""),IF(COUNTIFS(TileTable[Section],$C129,TileTable[Level],$D129,TileTable[Item_Name],$E129)&gt;0,SUMIFS(TileTable[Olsen_Cost],TileTable[Section],$C129,TileTable[Level],$D129,TileTable[Item_Name],$E129),""),"0")</f>
        <v>0</v>
      </c>
      <c r="P129" s="126">
        <f t="shared" si="51"/>
        <v>0</v>
      </c>
      <c r="Q129" s="99">
        <f t="shared" si="52"/>
        <v>0</v>
      </c>
      <c r="R129" s="100">
        <f t="shared" si="53"/>
        <v>0</v>
      </c>
      <c r="S129" s="308">
        <f t="shared" si="54"/>
        <v>0</v>
      </c>
      <c r="T129" s="122"/>
      <c r="U129" s="68"/>
    </row>
    <row r="130" spans="2:21" ht="18" customHeight="1" x14ac:dyDescent="0.3">
      <c r="B130" s="307" t="s">
        <v>46</v>
      </c>
      <c r="C130" s="123" t="s">
        <v>46</v>
      </c>
      <c r="D130" s="123" t="s">
        <v>153</v>
      </c>
      <c r="E130" s="123"/>
      <c r="F130" s="123"/>
      <c r="G130" s="123"/>
      <c r="H130" s="123"/>
      <c r="I130" s="123"/>
      <c r="J130" s="134"/>
      <c r="K130" s="123"/>
      <c r="L130" s="360"/>
      <c r="M130" s="171">
        <f t="shared" si="50"/>
        <v>0</v>
      </c>
      <c r="N130" s="124" t="s">
        <v>18</v>
      </c>
      <c r="O130" s="125" t="str">
        <f>IF(AND($C130&lt;&gt;"",$D130&lt;&gt;"",$E130&lt;&gt;""),IF(COUNTIFS(TileTable[Section],$C130,TileTable[Level],$D130,TileTable[Item_Name],$E130)&gt;0,SUMIFS(TileTable[Olsen_Cost],TileTable[Section],$C130,TileTable[Level],$D130,TileTable[Item_Name],$E130),""),"0")</f>
        <v>0</v>
      </c>
      <c r="P130" s="126">
        <f t="shared" si="51"/>
        <v>0</v>
      </c>
      <c r="Q130" s="99">
        <f t="shared" si="52"/>
        <v>0</v>
      </c>
      <c r="R130" s="100">
        <f t="shared" si="53"/>
        <v>0</v>
      </c>
      <c r="S130" s="308">
        <f t="shared" si="54"/>
        <v>0</v>
      </c>
      <c r="T130" s="122"/>
      <c r="U130" s="68"/>
    </row>
    <row r="131" spans="2:21" x14ac:dyDescent="0.3">
      <c r="B131" s="307" t="s">
        <v>72</v>
      </c>
      <c r="C131" s="123" t="s">
        <v>72</v>
      </c>
      <c r="D131" s="123" t="s">
        <v>153</v>
      </c>
      <c r="E131" s="123"/>
      <c r="F131" s="123"/>
      <c r="G131" s="123"/>
      <c r="H131" s="123"/>
      <c r="I131" s="123"/>
      <c r="J131" s="134"/>
      <c r="K131" s="123"/>
      <c r="L131" s="360"/>
      <c r="M131" s="171">
        <f t="shared" si="50"/>
        <v>0</v>
      </c>
      <c r="N131" s="124" t="s">
        <v>18</v>
      </c>
      <c r="O131" s="125" t="str">
        <f>IF(AND($C131&lt;&gt;"",$D131&lt;&gt;"",$E131&lt;&gt;""),IF(COUNTIFS(TileTable[Section],$C131,TileTable[Level],$D131,TileTable[Item_Name],$E131)&gt;0,SUMIFS(TileTable[Olsen_Cost],TileTable[Section],$C131,TileTable[Level],$D131,TileTable[Item_Name],$E131),""),"0")</f>
        <v>0</v>
      </c>
      <c r="P131" s="126">
        <f t="shared" si="51"/>
        <v>0</v>
      </c>
      <c r="Q131" s="99">
        <f t="shared" si="52"/>
        <v>0</v>
      </c>
      <c r="R131" s="100">
        <f t="shared" si="53"/>
        <v>0</v>
      </c>
      <c r="S131" s="308">
        <f t="shared" si="54"/>
        <v>0</v>
      </c>
      <c r="T131" s="122"/>
      <c r="U131" s="68"/>
    </row>
    <row r="132" spans="2:21" x14ac:dyDescent="0.3">
      <c r="B132" s="307"/>
      <c r="C132" s="123"/>
      <c r="D132" s="123"/>
      <c r="E132" s="123"/>
      <c r="F132" s="123"/>
      <c r="G132" s="123"/>
      <c r="H132" s="123"/>
      <c r="I132" s="123"/>
      <c r="J132" s="134"/>
      <c r="K132" s="123"/>
      <c r="L132" s="360"/>
      <c r="M132" s="171">
        <f t="shared" si="50"/>
        <v>0</v>
      </c>
      <c r="N132" s="124" t="s">
        <v>18</v>
      </c>
      <c r="O132" s="125" t="str">
        <f>IF(AND($C132&lt;&gt;"",$D132&lt;&gt;"",$E132&lt;&gt;""),IF(COUNTIFS(TileTable[Section],$C132,TileTable[Level],$D132,TileTable[Item_Name],$E132)&gt;0,SUMIFS(TileTable[Olsen_Cost],TileTable[Section],$C132,TileTable[Level],$D132,TileTable[Item_Name],$E132),""),"0")</f>
        <v>0</v>
      </c>
      <c r="P132" s="126">
        <f t="shared" si="51"/>
        <v>0</v>
      </c>
      <c r="Q132" s="99">
        <f t="shared" si="52"/>
        <v>0</v>
      </c>
      <c r="R132" s="100">
        <f t="shared" si="53"/>
        <v>0</v>
      </c>
      <c r="S132" s="308">
        <f t="shared" si="54"/>
        <v>0</v>
      </c>
      <c r="T132" s="122"/>
      <c r="U132" s="68"/>
    </row>
    <row r="133" spans="2:21" x14ac:dyDescent="0.3">
      <c r="B133" s="311" t="s">
        <v>660</v>
      </c>
      <c r="C133" s="386"/>
      <c r="D133" s="387"/>
      <c r="E133" s="387"/>
      <c r="F133" s="387"/>
      <c r="G133" s="387"/>
      <c r="H133" s="387"/>
      <c r="I133" s="388"/>
      <c r="J133" s="312"/>
      <c r="K133" s="313"/>
      <c r="L133" s="348"/>
      <c r="M133" s="314"/>
      <c r="N133" s="315" t="str">
        <f>IF(AND($C133&lt;&gt;"",$D133&lt;&gt;"",$E133&lt;&gt;""),IF(COUNTIFS(TileTable[Section],$C133,TileTable[Level],$D133,TileTable[Item_Name],$E133)&gt;0,SUMIFS(TileTable[Olsen_Cost],TileTable[Section],$C133,TileTable[Level],$D133,TileTable[Item_Name],$E133),""),"")</f>
        <v/>
      </c>
      <c r="O133" s="316"/>
      <c r="P133" s="317"/>
      <c r="Q133" s="316"/>
      <c r="R133" s="316"/>
      <c r="S133" s="318"/>
      <c r="T133" s="122"/>
      <c r="U133" s="68"/>
    </row>
    <row r="134" spans="2:21" ht="18" thickBot="1" x14ac:dyDescent="0.35">
      <c r="B134" s="319" t="s">
        <v>674</v>
      </c>
      <c r="C134" s="320">
        <v>0</v>
      </c>
      <c r="D134" s="321" t="s">
        <v>675</v>
      </c>
      <c r="E134" s="322">
        <v>0</v>
      </c>
      <c r="F134" s="323" t="s">
        <v>676</v>
      </c>
      <c r="G134" s="324">
        <f>IF(C134=0,0,((C134+8)*(E134+8))/144)</f>
        <v>0</v>
      </c>
      <c r="H134" s="323" t="s">
        <v>18</v>
      </c>
      <c r="I134" s="325"/>
      <c r="J134" s="323"/>
      <c r="K134" s="326"/>
      <c r="L134" s="349"/>
      <c r="M134" s="327"/>
      <c r="N134" s="328" t="str">
        <f>IF(AND($C134&lt;&gt;"",$D134&lt;&gt;"",$E134&lt;&gt;""),IF(COUNTIFS(TileTable[Section],$C134,TileTable[Level],$D134,TileTable[Item_Name],$E134)&gt;0,SUMIFS(TileTable[Olsen_Cost],TileTable[Section],$C134,TileTable[Level],$D134,TileTable[Item_Name],$E134),""),"")</f>
        <v/>
      </c>
      <c r="O134" s="329"/>
      <c r="P134" s="241" t="s">
        <v>696</v>
      </c>
      <c r="Q134" s="330"/>
      <c r="R134" s="330"/>
      <c r="S134" s="331">
        <f>SUM(S123:S133)</f>
        <v>0</v>
      </c>
      <c r="T134" s="122"/>
      <c r="U134" s="68"/>
    </row>
    <row r="135" spans="2:21" x14ac:dyDescent="0.3">
      <c r="N135" s="85" t="str">
        <f>IF(AND($C135&lt;&gt;"",$D135&lt;&gt;"",$E135&lt;&gt;""),IF(COUNTIFS(TileTable[Section],$C135,TileTable[Level],$D135,TileTable[Item_Name],$E135)&gt;0,SUMIFS(TileTable[Olsen_Cost],TileTable[Section],$C135,TileTable[Level],$D135,TileTable[Item_Name],$E135),""),"")</f>
        <v/>
      </c>
      <c r="O135" s="68"/>
      <c r="P135" s="68"/>
      <c r="Q135" s="68"/>
      <c r="R135" s="68"/>
      <c r="S135" s="68"/>
      <c r="T135" s="68"/>
      <c r="U135" s="68"/>
    </row>
    <row r="136" spans="2:21" x14ac:dyDescent="0.3">
      <c r="N136" s="87" t="str">
        <f>IF(AND($C136&lt;&gt;"",$D136&lt;&gt;"",$E136&lt;&gt;""),IF(COUNTIFS(TileTable[Section],$C136,TileTable[Level],$D136,TileTable[Item_Name],$E136)&gt;0,SUMIFS(TileTable[Olsen_Cost],TileTable[Section],$C136,TileTable[Level],$D136,TileTable[Item_Name],$E136),""),"")</f>
        <v/>
      </c>
    </row>
    <row r="137" spans="2:21" x14ac:dyDescent="0.3">
      <c r="N137" s="87" t="str">
        <f>IF(AND($C137&lt;&gt;"",$D137&lt;&gt;"",$E137&lt;&gt;""),IF(COUNTIFS(TileTable[Section],$C137,TileTable[Level],$D137,TileTable[Item_Name],$E137)&gt;0,SUMIFS(TileTable[Olsen_Cost],TileTable[Section],$C137,TileTable[Level],$D137,TileTable[Item_Name],$E137),""),"")</f>
        <v/>
      </c>
    </row>
    <row r="138" spans="2:21" ht="17.25" customHeight="1" x14ac:dyDescent="0.3">
      <c r="N138" s="87" t="str">
        <f>IF(AND($C138&lt;&gt;"",$D138&lt;&gt;"",$E138&lt;&gt;""),IF(COUNTIFS(TileTable[Section],$C138,TileTable[Level],$D138,TileTable[Item_Name],$E138)&gt;0,SUMIFS(TileTable[Olsen_Cost],TileTable[Section],$C138,TileTable[Level],$D138,TileTable[Item_Name],$E138),""),"")</f>
        <v/>
      </c>
    </row>
    <row r="139" spans="2:21" ht="17.25" customHeight="1" x14ac:dyDescent="0.3">
      <c r="N139" s="87" t="str">
        <f>IF(AND($C139&lt;&gt;"",$D139&lt;&gt;"",$E139&lt;&gt;""),IF(COUNTIFS(TileTable[Section],$C139,TileTable[Level],$D139,TileTable[Item_Name],$E139)&gt;0,SUMIFS(TileTable[Olsen_Cost],TileTable[Section],$C139,TileTable[Level],$D139,TileTable[Item_Name],$E139),""),"")</f>
        <v/>
      </c>
    </row>
    <row r="140" spans="2:21" ht="17.25" customHeight="1" x14ac:dyDescent="0.3">
      <c r="N140" s="87" t="str">
        <f>IF(AND($C140&lt;&gt;"",$D140&lt;&gt;"",$E140&lt;&gt;""),IF(COUNTIFS(TileTable[Section],$C140,TileTable[Level],$D140,TileTable[Item_Name],$E140)&gt;0,SUMIFS(TileTable[Olsen_Cost],TileTable[Section],$C140,TileTable[Level],$D140,TileTable[Item_Name],$E140),""),"")</f>
        <v/>
      </c>
    </row>
    <row r="141" spans="2:21" ht="17.25" customHeight="1" x14ac:dyDescent="0.3">
      <c r="N141" s="87" t="str">
        <f>IF(AND($C141&lt;&gt;"",$D141&lt;&gt;"",$E141&lt;&gt;""),IF(COUNTIFS(TileTable[Section],$C141,TileTable[Level],$D141,TileTable[Item_Name],$E141)&gt;0,SUMIFS(TileTable[Olsen_Cost],TileTable[Section],$C141,TileTable[Level],$D141,TileTable[Item_Name],$E141),""),"")</f>
        <v/>
      </c>
    </row>
    <row r="142" spans="2:21" ht="17.25" customHeight="1" x14ac:dyDescent="0.3">
      <c r="N142" s="87" t="str">
        <f>IF(AND($C142&lt;&gt;"",$D142&lt;&gt;"",$E142&lt;&gt;""),IF(COUNTIFS(TileTable[Section],$C142,TileTable[Level],$D142,TileTable[Item_Name],$E142)&gt;0,SUMIFS(TileTable[Olsen_Cost],TileTable[Section],$C142,TileTable[Level],$D142,TileTable[Item_Name],$E142),""),"")</f>
        <v/>
      </c>
    </row>
    <row r="143" spans="2:21" ht="17.25" customHeight="1" x14ac:dyDescent="0.3">
      <c r="N143" s="87" t="str">
        <f>IF(AND($C143&lt;&gt;"",$D143&lt;&gt;"",$E143&lt;&gt;""),IF(COUNTIFS(TileTable[Section],$C143,TileTable[Level],$D143,TileTable[Item_Name],$E143)&gt;0,SUMIFS(TileTable[Olsen_Cost],TileTable[Section],$C143,TileTable[Level],$D143,TileTable[Item_Name],$E143),""),"")</f>
        <v/>
      </c>
    </row>
    <row r="144" spans="2:21" ht="17.25" customHeight="1" x14ac:dyDescent="0.3">
      <c r="N144" s="87" t="str">
        <f>IF(AND($C144&lt;&gt;"",$D144&lt;&gt;"",$E144&lt;&gt;""),IF(COUNTIFS(TileTable[Section],$C144,TileTable[Level],$D144,TileTable[Item_Name],$E144)&gt;0,SUMIFS(TileTable[Olsen_Cost],TileTable[Section],$C144,TileTable[Level],$D144,TileTable[Item_Name],$E144),""),"")</f>
        <v/>
      </c>
    </row>
    <row r="145" spans="14:14" ht="17.25" customHeight="1" x14ac:dyDescent="0.3">
      <c r="N145" s="87" t="str">
        <f>IF(AND($C145&lt;&gt;"",$D145&lt;&gt;"",$E145&lt;&gt;""),IF(COUNTIFS(TileTable[Section],$C145,TileTable[Level],$D145,TileTable[Item_Name],$E145)&gt;0,SUMIFS(TileTable[Olsen_Cost],TileTable[Section],$C145,TileTable[Level],$D145,TileTable[Item_Name],$E145),""),"")</f>
        <v/>
      </c>
    </row>
    <row r="146" spans="14:14" ht="17.25" customHeight="1" x14ac:dyDescent="0.3">
      <c r="N146" s="87" t="str">
        <f>IF(AND($C146&lt;&gt;"",$D146&lt;&gt;"",$E146&lt;&gt;""),IF(COUNTIFS(TileTable[Section],$C146,TileTable[Level],$D146,TileTable[Item_Name],$E146)&gt;0,SUMIFS(TileTable[Olsen_Cost],TileTable[Section],$C146,TileTable[Level],$D146,TileTable[Item_Name],$E146),""),"")</f>
        <v/>
      </c>
    </row>
    <row r="147" spans="14:14" ht="17.25" customHeight="1" x14ac:dyDescent="0.3">
      <c r="N147" s="87" t="str">
        <f>IF(AND($C147&lt;&gt;"",$D147&lt;&gt;"",$E147&lt;&gt;""),IF(COUNTIFS(TileTable[Section],$C147,TileTable[Level],$D147,TileTable[Item_Name],$E147)&gt;0,SUMIFS(TileTable[Olsen_Cost],TileTable[Section],$C147,TileTable[Level],$D147,TileTable[Item_Name],$E147),""),"")</f>
        <v/>
      </c>
    </row>
    <row r="148" spans="14:14" ht="17.25" customHeight="1" x14ac:dyDescent="0.3">
      <c r="N148" s="87" t="str">
        <f>IF(AND($C148&lt;&gt;"",$D148&lt;&gt;"",$E148&lt;&gt;""),IF(COUNTIFS(TileTable[Section],$C148,TileTable[Level],$D148,TileTable[Item_Name],$E148)&gt;0,SUMIFS(TileTable[Olsen_Cost],TileTable[Section],$C148,TileTable[Level],$D148,TileTable[Item_Name],$E148),""),"")</f>
        <v/>
      </c>
    </row>
    <row r="149" spans="14:14" ht="17.25" customHeight="1" x14ac:dyDescent="0.3">
      <c r="N149" s="87" t="str">
        <f>IF(AND($C149&lt;&gt;"",$D149&lt;&gt;"",$E149&lt;&gt;""),IF(COUNTIFS(TileTable[Section],$C149,TileTable[Level],$D149,TileTable[Item_Name],$E149)&gt;0,SUMIFS(TileTable[Olsen_Cost],TileTable[Section],$C149,TileTable[Level],$D149,TileTable[Item_Name],$E149),""),"")</f>
        <v/>
      </c>
    </row>
    <row r="150" spans="14:14" ht="17.25" customHeight="1" x14ac:dyDescent="0.3">
      <c r="N150" s="87" t="str">
        <f>IF(AND($C150&lt;&gt;"",$D150&lt;&gt;"",$E150&lt;&gt;""),IF(COUNTIFS(TileTable[Section],$C150,TileTable[Level],$D150,TileTable[Item_Name],$E150)&gt;0,SUMIFS(TileTable[Olsen_Cost],TileTable[Section],$C150,TileTable[Level],$D150,TileTable[Item_Name],$E150),""),"")</f>
        <v/>
      </c>
    </row>
    <row r="151" spans="14:14" ht="17.25" hidden="1" customHeight="1" x14ac:dyDescent="0.3">
      <c r="N151" s="87" t="str">
        <f>IF(AND($C151&lt;&gt;"",$D151&lt;&gt;"",$E151&lt;&gt;""),IF(COUNTIFS(TileTable[Section],$C151,TileTable[Level],$D151,TileTable[Item_Name],$E151)&gt;0,SUMIFS(TileTable[Olsen_Cost],TileTable[Section],$C151,TileTable[Level],$D151,TileTable[Item_Name],$E151),""),"")</f>
        <v/>
      </c>
    </row>
    <row r="152" spans="14:14" ht="17.25" hidden="1" customHeight="1" x14ac:dyDescent="0.3">
      <c r="N152" s="87" t="str">
        <f>IF(AND($C152&lt;&gt;"",$D152&lt;&gt;"",$E152&lt;&gt;""),IF(COUNTIFS(TileTable[Section],$C152,TileTable[Level],$D152,TileTable[Item_Name],$E152)&gt;0,SUMIFS(TileTable[Olsen_Cost],TileTable[Section],$C152,TileTable[Level],$D152,TileTable[Item_Name],$E152),""),"")</f>
        <v/>
      </c>
    </row>
    <row r="153" spans="14:14" ht="17.25" hidden="1" customHeight="1" x14ac:dyDescent="0.3">
      <c r="N153" s="87" t="str">
        <f>IF(AND($C153&lt;&gt;"",$D153&lt;&gt;"",$E153&lt;&gt;""),IF(COUNTIFS(TileTable[Section],$C153,TileTable[Level],$D153,TileTable[Item_Name],$E153)&gt;0,SUMIFS(TileTable[Olsen_Cost],TileTable[Section],$C153,TileTable[Level],$D153,TileTable[Item_Name],$E153),""),"")</f>
        <v/>
      </c>
    </row>
    <row r="154" spans="14:14" ht="17.25" hidden="1" customHeight="1" x14ac:dyDescent="0.3">
      <c r="N154" s="87" t="str">
        <f>IF(AND($C154&lt;&gt;"",$D154&lt;&gt;"",$E154&lt;&gt;""),IF(COUNTIFS(TileTable[Section],$C154,TileTable[Level],$D154,TileTable[Item_Name],$E154)&gt;0,SUMIFS(TileTable[Olsen_Cost],TileTable[Section],$C154,TileTable[Level],$D154,TileTable[Item_Name],$E154),""),"")</f>
        <v/>
      </c>
    </row>
    <row r="155" spans="14:14" ht="17.25" hidden="1" customHeight="1" x14ac:dyDescent="0.3">
      <c r="N155" s="87" t="str">
        <f>IF(AND($C155&lt;&gt;"",$D155&lt;&gt;"",$E155&lt;&gt;""),IF(COUNTIFS(TileTable[Section],$C155,TileTable[Level],$D155,TileTable[Item_Name],$E155)&gt;0,SUMIFS(TileTable[Olsen_Cost],TileTable[Section],$C155,TileTable[Level],$D155,TileTable[Item_Name],$E155),""),"")</f>
        <v/>
      </c>
    </row>
    <row r="156" spans="14:14" ht="17.25" hidden="1" customHeight="1" x14ac:dyDescent="0.3">
      <c r="N156" s="87" t="str">
        <f>IF(AND($C156&lt;&gt;"",$D156&lt;&gt;"",$E156&lt;&gt;""),IF(COUNTIFS(TileTable[Section],$C156,TileTable[Level],$D156,TileTable[Item_Name],$E156)&gt;0,SUMIFS(TileTable[Olsen_Cost],TileTable[Section],$C156,TileTable[Level],$D156,TileTable[Item_Name],$E156),""),"")</f>
        <v/>
      </c>
    </row>
    <row r="157" spans="14:14" ht="17.25" hidden="1" customHeight="1" x14ac:dyDescent="0.3">
      <c r="N157" s="87" t="str">
        <f>IF(AND($C157&lt;&gt;"",$D157&lt;&gt;"",$E157&lt;&gt;""),IF(COUNTIFS(TileTable[Section],$C157,TileTable[Level],$D157,TileTable[Item_Name],$E157)&gt;0,SUMIFS(TileTable[Olsen_Cost],TileTable[Section],$C157,TileTable[Level],$D157,TileTable[Item_Name],$E157),""),"")</f>
        <v/>
      </c>
    </row>
    <row r="158" spans="14:14" ht="17.25" hidden="1" customHeight="1" x14ac:dyDescent="0.3">
      <c r="N158" s="87" t="str">
        <f>IF(AND($C158&lt;&gt;"",$D158&lt;&gt;"",$E158&lt;&gt;""),IF(COUNTIFS(TileTable[Section],$C158,TileTable[Level],$D158,TileTable[Item_Name],$E158)&gt;0,SUMIFS(TileTable[Olsen_Cost],TileTable[Section],$C158,TileTable[Level],$D158,TileTable[Item_Name],$E158),""),"")</f>
        <v/>
      </c>
    </row>
    <row r="159" spans="14:14" ht="17.25" hidden="1" customHeight="1" x14ac:dyDescent="0.3">
      <c r="N159" s="87" t="str">
        <f>IF(AND($C159&lt;&gt;"",$D159&lt;&gt;"",$E159&lt;&gt;""),IF(COUNTIFS(TileTable[Section],$C159,TileTable[Level],$D159,TileTable[Item_Name],$E159)&gt;0,SUMIFS(TileTable[Olsen_Cost],TileTable[Section],$C159,TileTable[Level],$D159,TileTable[Item_Name],$E159),""),"")</f>
        <v/>
      </c>
    </row>
    <row r="160" spans="14:14" ht="17.25" hidden="1" customHeight="1" x14ac:dyDescent="0.3">
      <c r="N160" s="87" t="str">
        <f>IF(AND($C160&lt;&gt;"",$D160&lt;&gt;"",$E160&lt;&gt;""),IF(COUNTIFS(TileTable[Section],$C160,TileTable[Level],$D160,TileTable[Item_Name],$E160)&gt;0,SUMIFS(TileTable[Olsen_Cost],TileTable[Section],$C160,TileTable[Level],$D160,TileTable[Item_Name],$E160),""),"")</f>
        <v/>
      </c>
    </row>
    <row r="161" spans="14:14" ht="17.25" hidden="1" customHeight="1" x14ac:dyDescent="0.3">
      <c r="N161" s="87" t="str">
        <f>IF(AND($C161&lt;&gt;"",$D161&lt;&gt;"",$E161&lt;&gt;""),IF(COUNTIFS(TileTable[Section],$C161,TileTable[Level],$D161,TileTable[Item_Name],$E161)&gt;0,SUMIFS(TileTable[Olsen_Cost],TileTable[Section],$C161,TileTable[Level],$D161,TileTable[Item_Name],$E161),""),"")</f>
        <v/>
      </c>
    </row>
    <row r="162" spans="14:14" ht="17.25" hidden="1" customHeight="1" x14ac:dyDescent="0.3">
      <c r="N162" s="87" t="str">
        <f>IF(AND($C162&lt;&gt;"",$D162&lt;&gt;"",$E162&lt;&gt;""),IF(COUNTIFS(TileTable[Section],$C162,TileTable[Level],$D162,TileTable[Item_Name],$E162)&gt;0,SUMIFS(TileTable[Olsen_Cost],TileTable[Section],$C162,TileTable[Level],$D162,TileTable[Item_Name],$E162),""),"")</f>
        <v/>
      </c>
    </row>
    <row r="163" spans="14:14" ht="17.25" hidden="1" customHeight="1" x14ac:dyDescent="0.3">
      <c r="N163" s="87" t="str">
        <f>IF(AND($C163&lt;&gt;"",$D163&lt;&gt;"",$E163&lt;&gt;""),IF(COUNTIFS(TileTable[Section],$C163,TileTable[Level],$D163,TileTable[Item_Name],$E163)&gt;0,SUMIFS(TileTable[Olsen_Cost],TileTable[Section],$C163,TileTable[Level],$D163,TileTable[Item_Name],$E163),""),"")</f>
        <v/>
      </c>
    </row>
    <row r="164" spans="14:14" ht="17.25" hidden="1" customHeight="1" x14ac:dyDescent="0.3">
      <c r="N164" s="87" t="str">
        <f>IF(AND($C164&lt;&gt;"",$D164&lt;&gt;"",$E164&lt;&gt;""),IF(COUNTIFS(TileTable[Section],$C164,TileTable[Level],$D164,TileTable[Item_Name],$E164)&gt;0,SUMIFS(TileTable[Olsen_Cost],TileTable[Section],$C164,TileTable[Level],$D164,TileTable[Item_Name],$E164),""),"")</f>
        <v/>
      </c>
    </row>
    <row r="165" spans="14:14" ht="17.25" hidden="1" customHeight="1" x14ac:dyDescent="0.3">
      <c r="N165" s="87" t="str">
        <f>IF(AND($C165&lt;&gt;"",$D165&lt;&gt;"",$E165&lt;&gt;""),IF(COUNTIFS(TileTable[Section],$C165,TileTable[Level],$D165,TileTable[Item_Name],$E165)&gt;0,SUMIFS(TileTable[Olsen_Cost],TileTable[Section],$C165,TileTable[Level],$D165,TileTable[Item_Name],$E165),""),"")</f>
        <v/>
      </c>
    </row>
    <row r="166" spans="14:14" ht="17.25" hidden="1" customHeight="1" x14ac:dyDescent="0.3">
      <c r="N166" s="87" t="str">
        <f>IF(AND($C166&lt;&gt;"",$D166&lt;&gt;"",$E166&lt;&gt;""),IF(COUNTIFS(TileTable[Section],$C166,TileTable[Level],$D166,TileTable[Item_Name],$E166)&gt;0,SUMIFS(TileTable[Olsen_Cost],TileTable[Section],$C166,TileTable[Level],$D166,TileTable[Item_Name],$E166),""),"")</f>
        <v/>
      </c>
    </row>
    <row r="167" spans="14:14" ht="17.25" hidden="1" customHeight="1" x14ac:dyDescent="0.3">
      <c r="N167" s="87" t="str">
        <f>IF(AND($C167&lt;&gt;"",$D167&lt;&gt;"",$E167&lt;&gt;""),IF(COUNTIFS(TileTable[Section],$C167,TileTable[Level],$D167,TileTable[Item_Name],$E167)&gt;0,SUMIFS(TileTable[Olsen_Cost],TileTable[Section],$C167,TileTable[Level],$D167,TileTable[Item_Name],$E167),""),"")</f>
        <v/>
      </c>
    </row>
    <row r="168" spans="14:14" ht="17.25" hidden="1" customHeight="1" x14ac:dyDescent="0.3">
      <c r="N168" s="87" t="str">
        <f>IF(AND($C168&lt;&gt;"",$D168&lt;&gt;"",$E168&lt;&gt;""),IF(COUNTIFS(TileTable[Section],$C168,TileTable[Level],$D168,TileTable[Item_Name],$E168)&gt;0,SUMIFS(TileTable[Olsen_Cost],TileTable[Section],$C168,TileTable[Level],$D168,TileTable[Item_Name],$E168),""),"")</f>
        <v/>
      </c>
    </row>
    <row r="169" spans="14:14" ht="17.25" hidden="1" customHeight="1" x14ac:dyDescent="0.3">
      <c r="N169" s="87" t="str">
        <f>IF(AND($C169&lt;&gt;"",$D169&lt;&gt;"",$E169&lt;&gt;""),IF(COUNTIFS(TileTable[Section],$C169,TileTable[Level],$D169,TileTable[Item_Name],$E169)&gt;0,SUMIFS(TileTable[Olsen_Cost],TileTable[Section],$C169,TileTable[Level],$D169,TileTable[Item_Name],$E169),""),"")</f>
        <v/>
      </c>
    </row>
    <row r="170" spans="14:14" ht="17.25" hidden="1" customHeight="1" x14ac:dyDescent="0.3">
      <c r="N170" s="87" t="str">
        <f>IF(AND($C170&lt;&gt;"",$D170&lt;&gt;"",$E170&lt;&gt;""),IF(COUNTIFS(TileTable[Section],$C170,TileTable[Level],$D170,TileTable[Item_Name],$E170)&gt;0,SUMIFS(TileTable[Olsen_Cost],TileTable[Section],$C170,TileTable[Level],$D170,TileTable[Item_Name],$E170),""),"")</f>
        <v/>
      </c>
    </row>
    <row r="171" spans="14:14" ht="17.25" hidden="1" customHeight="1" x14ac:dyDescent="0.3">
      <c r="N171" s="87" t="str">
        <f>IF(AND($C171&lt;&gt;"",$D171&lt;&gt;"",$E171&lt;&gt;""),IF(COUNTIFS(TileTable[Section],$C171,TileTable[Level],$D171,TileTable[Item_Name],$E171)&gt;0,SUMIFS(TileTable[Olsen_Cost],TileTable[Section],$C171,TileTable[Level],$D171,TileTable[Item_Name],$E171),""),"")</f>
        <v/>
      </c>
    </row>
    <row r="172" spans="14:14" ht="17.25" hidden="1" customHeight="1" x14ac:dyDescent="0.3">
      <c r="N172" s="87" t="str">
        <f>IF(AND($C172&lt;&gt;"",$D172&lt;&gt;"",$E172&lt;&gt;""),IF(COUNTIFS(TileTable[Section],$C172,TileTable[Level],$D172,TileTable[Item_Name],$E172)&gt;0,SUMIFS(TileTable[Olsen_Cost],TileTable[Section],$C172,TileTable[Level],$D172,TileTable[Item_Name],$E172),""),"")</f>
        <v/>
      </c>
    </row>
    <row r="173" spans="14:14" ht="17.25" hidden="1" customHeight="1" x14ac:dyDescent="0.3">
      <c r="N173" s="87" t="str">
        <f>IF(AND($C173&lt;&gt;"",$D173&lt;&gt;"",$E173&lt;&gt;""),IF(COUNTIFS(TileTable[Section],$C173,TileTable[Level],$D173,TileTable[Item_Name],$E173)&gt;0,SUMIFS(TileTable[Olsen_Cost],TileTable[Section],$C173,TileTable[Level],$D173,TileTable[Item_Name],$E173),""),"")</f>
        <v/>
      </c>
    </row>
    <row r="174" spans="14:14" ht="17.25" hidden="1" customHeight="1" x14ac:dyDescent="0.3">
      <c r="N174" s="87" t="str">
        <f>IF(AND($C174&lt;&gt;"",$D174&lt;&gt;"",$E174&lt;&gt;""),IF(COUNTIFS(TileTable[Section],$C174,TileTable[Level],$D174,TileTable[Item_Name],$E174)&gt;0,SUMIFS(TileTable[Olsen_Cost],TileTable[Section],$C174,TileTable[Level],$D174,TileTable[Item_Name],$E174),""),"")</f>
        <v/>
      </c>
    </row>
    <row r="175" spans="14:14" ht="17.25" hidden="1" customHeight="1" x14ac:dyDescent="0.3">
      <c r="N175" s="87" t="str">
        <f>IF(AND($C175&lt;&gt;"",$D175&lt;&gt;"",$E175&lt;&gt;""),IF(COUNTIFS(TileTable[Section],$C175,TileTable[Level],$D175,TileTable[Item_Name],$E175)&gt;0,SUMIFS(TileTable[Olsen_Cost],TileTable[Section],$C175,TileTable[Level],$D175,TileTable[Item_Name],$E175),""),"")</f>
        <v/>
      </c>
    </row>
    <row r="176" spans="14:14" ht="17.25" hidden="1" customHeight="1" x14ac:dyDescent="0.3">
      <c r="N176" s="87" t="str">
        <f>IF(AND($C176&lt;&gt;"",$D176&lt;&gt;"",$E176&lt;&gt;""),IF(COUNTIFS(TileTable[Section],$C176,TileTable[Level],$D176,TileTable[Item_Name],$E176)&gt;0,SUMIFS(TileTable[Olsen_Cost],TileTable[Section],$C176,TileTable[Level],$D176,TileTable[Item_Name],$E176),""),"")</f>
        <v/>
      </c>
    </row>
    <row r="177" spans="14:14" ht="17.25" hidden="1" customHeight="1" x14ac:dyDescent="0.3">
      <c r="N177" s="87" t="str">
        <f>IF(AND($C177&lt;&gt;"",$D177&lt;&gt;"",$E177&lt;&gt;""),IF(COUNTIFS(TileTable[Section],$C177,TileTable[Level],$D177,TileTable[Item_Name],$E177)&gt;0,SUMIFS(TileTable[Olsen_Cost],TileTable[Section],$C177,TileTable[Level],$D177,TileTable[Item_Name],$E177),""),"")</f>
        <v/>
      </c>
    </row>
    <row r="178" spans="14:14" ht="17.25" hidden="1" customHeight="1" x14ac:dyDescent="0.3">
      <c r="N178" s="87" t="str">
        <f>IF(AND($C178&lt;&gt;"",$D178&lt;&gt;"",$E178&lt;&gt;""),IF(COUNTIFS(TileTable[Section],$C178,TileTable[Level],$D178,TileTable[Item_Name],$E178)&gt;0,SUMIFS(TileTable[Olsen_Cost],TileTable[Section],$C178,TileTable[Level],$D178,TileTable[Item_Name],$E178),""),"")</f>
        <v/>
      </c>
    </row>
    <row r="179" spans="14:14" ht="17.25" hidden="1" customHeight="1" x14ac:dyDescent="0.3">
      <c r="N179" s="87" t="str">
        <f>IF(AND($C179&lt;&gt;"",$D179&lt;&gt;"",$E179&lt;&gt;""),IF(COUNTIFS(TileTable[Section],$C179,TileTable[Level],$D179,TileTable[Item_Name],$E179)&gt;0,SUMIFS(TileTable[Olsen_Cost],TileTable[Section],$C179,TileTable[Level],$D179,TileTable[Item_Name],$E179),""),"")</f>
        <v/>
      </c>
    </row>
    <row r="180" spans="14:14" ht="17.25" hidden="1" customHeight="1" x14ac:dyDescent="0.3">
      <c r="N180" s="87" t="str">
        <f>IF(AND($C180&lt;&gt;"",$D180&lt;&gt;"",$E180&lt;&gt;""),IF(COUNTIFS(TileTable[Section],$C180,TileTable[Level],$D180,TileTable[Item_Name],$E180)&gt;0,SUMIFS(TileTable[Olsen_Cost],TileTable[Section],$C180,TileTable[Level],$D180,TileTable[Item_Name],$E180),""),"")</f>
        <v/>
      </c>
    </row>
    <row r="181" spans="14:14" ht="17.25" hidden="1" customHeight="1" x14ac:dyDescent="0.3">
      <c r="N181" s="87" t="str">
        <f>IF(AND($C181&lt;&gt;"",$D181&lt;&gt;"",$E181&lt;&gt;""),IF(COUNTIFS(TileTable[Section],$C181,TileTable[Level],$D181,TileTable[Item_Name],$E181)&gt;0,SUMIFS(TileTable[Olsen_Cost],TileTable[Section],$C181,TileTable[Level],$D181,TileTable[Item_Name],$E181),""),"")</f>
        <v/>
      </c>
    </row>
    <row r="182" spans="14:14" ht="17.25" hidden="1" customHeight="1" x14ac:dyDescent="0.3">
      <c r="N182" s="87" t="str">
        <f>IF(AND($C182&lt;&gt;"",$D182&lt;&gt;"",$E182&lt;&gt;""),IF(COUNTIFS(TileTable[Section],$C182,TileTable[Level],$D182,TileTable[Item_Name],$E182)&gt;0,SUMIFS(TileTable[Olsen_Cost],TileTable[Section],$C182,TileTable[Level],$D182,TileTable[Item_Name],$E182),""),"")</f>
        <v/>
      </c>
    </row>
    <row r="183" spans="14:14" ht="17.25" hidden="1" customHeight="1" x14ac:dyDescent="0.3">
      <c r="N183" s="87" t="str">
        <f>IF(AND($C183&lt;&gt;"",$D183&lt;&gt;"",$E183&lt;&gt;""),IF(COUNTIFS(TileTable[Section],$C183,TileTable[Level],$D183,TileTable[Item_Name],$E183)&gt;0,SUMIFS(TileTable[Olsen_Cost],TileTable[Section],$C183,TileTable[Level],$D183,TileTable[Item_Name],$E183),""),"")</f>
        <v/>
      </c>
    </row>
    <row r="184" spans="14:14" ht="17.25" hidden="1" customHeight="1" x14ac:dyDescent="0.3">
      <c r="N184" s="87" t="str">
        <f>IF(AND($C184&lt;&gt;"",$D184&lt;&gt;"",$E184&lt;&gt;""),IF(COUNTIFS(TileTable[Section],$C184,TileTable[Level],$D184,TileTable[Item_Name],$E184)&gt;0,SUMIFS(TileTable[Olsen_Cost],TileTable[Section],$C184,TileTable[Level],$D184,TileTable[Item_Name],$E184),""),"")</f>
        <v/>
      </c>
    </row>
    <row r="185" spans="14:14" ht="17.25" hidden="1" customHeight="1" x14ac:dyDescent="0.3">
      <c r="N185" s="87" t="str">
        <f>IF(AND($C185&lt;&gt;"",$D185&lt;&gt;"",$E185&lt;&gt;""),IF(COUNTIFS(TileTable[Section],$C185,TileTable[Level],$D185,TileTable[Item_Name],$E185)&gt;0,SUMIFS(TileTable[Olsen_Cost],TileTable[Section],$C185,TileTable[Level],$D185,TileTable[Item_Name],$E185),""),"")</f>
        <v/>
      </c>
    </row>
    <row r="186" spans="14:14" ht="17.25" hidden="1" customHeight="1" x14ac:dyDescent="0.3">
      <c r="N186" s="87" t="str">
        <f>IF(AND($C186&lt;&gt;"",$D186&lt;&gt;"",$E186&lt;&gt;""),IF(COUNTIFS(TileTable[Section],$C186,TileTable[Level],$D186,TileTable[Item_Name],$E186)&gt;0,SUMIFS(TileTable[Olsen_Cost],TileTable[Section],$C186,TileTable[Level],$D186,TileTable[Item_Name],$E186),""),"")</f>
        <v/>
      </c>
    </row>
    <row r="187" spans="14:14" ht="17.25" hidden="1" customHeight="1" x14ac:dyDescent="0.3">
      <c r="N187" s="87" t="str">
        <f>IF(AND($C187&lt;&gt;"",$D187&lt;&gt;"",$E187&lt;&gt;""),IF(COUNTIFS(TileTable[Section],$C187,TileTable[Level],$D187,TileTable[Item_Name],$E187)&gt;0,SUMIFS(TileTable[Olsen_Cost],TileTable[Section],$C187,TileTable[Level],$D187,TileTable[Item_Name],$E187),""),"")</f>
        <v/>
      </c>
    </row>
    <row r="188" spans="14:14" ht="17.25" hidden="1" customHeight="1" x14ac:dyDescent="0.3">
      <c r="N188" s="87" t="str">
        <f>IF(AND($C188&lt;&gt;"",$D188&lt;&gt;"",$E188&lt;&gt;""),IF(COUNTIFS(TileTable[Section],$C188,TileTable[Level],$D188,TileTable[Item_Name],$E188)&gt;0,SUMIFS(TileTable[Olsen_Cost],TileTable[Section],$C188,TileTable[Level],$D188,TileTable[Item_Name],$E188),""),"")</f>
        <v/>
      </c>
    </row>
    <row r="189" spans="14:14" ht="17.25" hidden="1" customHeight="1" x14ac:dyDescent="0.3">
      <c r="N189" s="87" t="str">
        <f>IF(AND($C189&lt;&gt;"",$D189&lt;&gt;"",$E189&lt;&gt;""),IF(COUNTIFS(TileTable[Section],$C189,TileTable[Level],$D189,TileTable[Item_Name],$E189)&gt;0,SUMIFS(TileTable[Olsen_Cost],TileTable[Section],$C189,TileTable[Level],$D189,TileTable[Item_Name],$E189),""),"")</f>
        <v/>
      </c>
    </row>
    <row r="190" spans="14:14" ht="17.25" hidden="1" customHeight="1" x14ac:dyDescent="0.3">
      <c r="N190" s="87" t="str">
        <f>IF(AND($C190&lt;&gt;"",$D190&lt;&gt;"",$E190&lt;&gt;""),IF(COUNTIFS(TileTable[Section],$C190,TileTable[Level],$D190,TileTable[Item_Name],$E190)&gt;0,SUMIFS(TileTable[Olsen_Cost],TileTable[Section],$C190,TileTable[Level],$D190,TileTable[Item_Name],$E190),""),"")</f>
        <v/>
      </c>
    </row>
    <row r="191" spans="14:14" ht="17.25" hidden="1" customHeight="1" x14ac:dyDescent="0.3">
      <c r="N191" s="87" t="str">
        <f>IF(AND($C191&lt;&gt;"",$D191&lt;&gt;"",$E191&lt;&gt;""),IF(COUNTIFS(TileTable[Section],$C191,TileTable[Level],$D191,TileTable[Item_Name],$E191)&gt;0,SUMIFS(TileTable[Olsen_Cost],TileTable[Section],$C191,TileTable[Level],$D191,TileTable[Item_Name],$E191),""),"")</f>
        <v/>
      </c>
    </row>
    <row r="192" spans="14:14" ht="17.25" hidden="1" customHeight="1" x14ac:dyDescent="0.3">
      <c r="N192" s="87" t="str">
        <f>IF(AND($C192&lt;&gt;"",$D192&lt;&gt;"",$E192&lt;&gt;""),IF(COUNTIFS(TileTable[Section],$C192,TileTable[Level],$D192,TileTable[Item_Name],$E192)&gt;0,SUMIFS(TileTable[Olsen_Cost],TileTable[Section],$C192,TileTable[Level],$D192,TileTable[Item_Name],$E192),""),"")</f>
        <v/>
      </c>
    </row>
    <row r="193" spans="14:14" ht="17.25" hidden="1" customHeight="1" x14ac:dyDescent="0.3">
      <c r="N193" s="87" t="str">
        <f>IF(AND($C193&lt;&gt;"",$D193&lt;&gt;"",$E193&lt;&gt;""),IF(COUNTIFS(TileTable[Section],$C193,TileTable[Level],$D193,TileTable[Item_Name],$E193)&gt;0,SUMIFS(TileTable[Olsen_Cost],TileTable[Section],$C193,TileTable[Level],$D193,TileTable[Item_Name],$E193),""),"")</f>
        <v/>
      </c>
    </row>
    <row r="194" spans="14:14" ht="17.25" hidden="1" customHeight="1" x14ac:dyDescent="0.3">
      <c r="N194" s="87" t="str">
        <f>IF(AND($C194&lt;&gt;"",$D194&lt;&gt;"",$E194&lt;&gt;""),IF(COUNTIFS(TileTable[Section],$C194,TileTable[Level],$D194,TileTable[Item_Name],$E194)&gt;0,SUMIFS(TileTable[Olsen_Cost],TileTable[Section],$C194,TileTable[Level],$D194,TileTable[Item_Name],$E194),""),"")</f>
        <v/>
      </c>
    </row>
    <row r="195" spans="14:14" ht="17.25" hidden="1" customHeight="1" x14ac:dyDescent="0.3">
      <c r="N195" s="87" t="str">
        <f>IF(AND($C195&lt;&gt;"",$D195&lt;&gt;"",$E195&lt;&gt;""),IF(COUNTIFS(TileTable[Section],$C195,TileTable[Level],$D195,TileTable[Item_Name],$E195)&gt;0,SUMIFS(TileTable[Olsen_Cost],TileTable[Section],$C195,TileTable[Level],$D195,TileTable[Item_Name],$E195),""),"")</f>
        <v/>
      </c>
    </row>
    <row r="196" spans="14:14" ht="17.25" hidden="1" customHeight="1" x14ac:dyDescent="0.3">
      <c r="N196" s="87" t="str">
        <f>IF(AND($C196&lt;&gt;"",$D196&lt;&gt;"",$E196&lt;&gt;""),IF(COUNTIFS(TileTable[Section],$C196,TileTable[Level],$D196,TileTable[Item_Name],$E196)&gt;0,SUMIFS(TileTable[Olsen_Cost],TileTable[Section],$C196,TileTable[Level],$D196,TileTable[Item_Name],$E196),""),"")</f>
        <v/>
      </c>
    </row>
    <row r="197" spans="14:14" ht="17.25" hidden="1" customHeight="1" x14ac:dyDescent="0.3">
      <c r="N197" s="87" t="str">
        <f>IF(AND($C197&lt;&gt;"",$D197&lt;&gt;"",$E197&lt;&gt;""),IF(COUNTIFS(TileTable[Section],$C197,TileTable[Level],$D197,TileTable[Item_Name],$E197)&gt;0,SUMIFS(TileTable[Olsen_Cost],TileTable[Section],$C197,TileTable[Level],$D197,TileTable[Item_Name],$E197),""),"")</f>
        <v/>
      </c>
    </row>
    <row r="198" spans="14:14" ht="17.25" hidden="1" customHeight="1" x14ac:dyDescent="0.3">
      <c r="N198" s="87" t="str">
        <f>IF(AND($C198&lt;&gt;"",$D198&lt;&gt;"",$E198&lt;&gt;""),IF(COUNTIFS(TileTable[Section],$C198,TileTable[Level],$D198,TileTable[Item_Name],$E198)&gt;0,SUMIFS(TileTable[Olsen_Cost],TileTable[Section],$C198,TileTable[Level],$D198,TileTable[Item_Name],$E198),""),"")</f>
        <v/>
      </c>
    </row>
    <row r="199" spans="14:14" ht="17.25" hidden="1" customHeight="1" x14ac:dyDescent="0.3">
      <c r="N199" s="87" t="str">
        <f>IF(AND($C199&lt;&gt;"",$D199&lt;&gt;"",$E199&lt;&gt;""),IF(COUNTIFS(TileTable[Section],$C199,TileTable[Level],$D199,TileTable[Item_Name],$E199)&gt;0,SUMIFS(TileTable[Olsen_Cost],TileTable[Section],$C199,TileTable[Level],$D199,TileTable[Item_Name],$E199),""),"")</f>
        <v/>
      </c>
    </row>
    <row r="200" spans="14:14" ht="17.25" hidden="1" customHeight="1" x14ac:dyDescent="0.3">
      <c r="N200" s="87" t="str">
        <f>IF(AND($C200&lt;&gt;"",$D200&lt;&gt;"",$E200&lt;&gt;""),IF(COUNTIFS(TileTable[Section],$C200,TileTable[Level],$D200,TileTable[Item_Name],$E200)&gt;0,SUMIFS(TileTable[Olsen_Cost],TileTable[Section],$C200,TileTable[Level],$D200,TileTable[Item_Name],$E200),""),"")</f>
        <v/>
      </c>
    </row>
    <row r="201" spans="14:14" ht="17.25" hidden="1" customHeight="1" x14ac:dyDescent="0.3">
      <c r="N201" s="87" t="str">
        <f>IF(AND($C201&lt;&gt;"",$D201&lt;&gt;"",$E201&lt;&gt;""),IF(COUNTIFS(TileTable[Section],$C201,TileTable[Level],$D201,TileTable[Item_Name],$E201)&gt;0,SUMIFS(TileTable[Olsen_Cost],TileTable[Section],$C201,TileTable[Level],$D201,TileTable[Item_Name],$E201),""),"")</f>
        <v/>
      </c>
    </row>
    <row r="202" spans="14:14" ht="17.25" hidden="1" customHeight="1" x14ac:dyDescent="0.3">
      <c r="N202" s="87" t="str">
        <f>IF(AND($C202&lt;&gt;"",$D202&lt;&gt;"",$E202&lt;&gt;""),IF(COUNTIFS(TileTable[Section],$C202,TileTable[Level],$D202,TileTable[Item_Name],$E202)&gt;0,SUMIFS(TileTable[Olsen_Cost],TileTable[Section],$C202,TileTable[Level],$D202,TileTable[Item_Name],$E202),""),"")</f>
        <v/>
      </c>
    </row>
    <row r="203" spans="14:14" ht="17.25" hidden="1" customHeight="1" x14ac:dyDescent="0.3">
      <c r="N203" s="87" t="str">
        <f>IF(AND($C203&lt;&gt;"",$D203&lt;&gt;"",$E203&lt;&gt;""),IF(COUNTIFS(TileTable[Section],$C203,TileTable[Level],$D203,TileTable[Item_Name],$E203)&gt;0,SUMIFS(TileTable[Olsen_Cost],TileTable[Section],$C203,TileTable[Level],$D203,TileTable[Item_Name],$E203),""),"")</f>
        <v/>
      </c>
    </row>
    <row r="204" spans="14:14" ht="17.25" hidden="1" customHeight="1" x14ac:dyDescent="0.3">
      <c r="N204" s="87" t="str">
        <f>IF(AND($C204&lt;&gt;"",$D204&lt;&gt;"",$E204&lt;&gt;""),IF(COUNTIFS(TileTable[Section],$C204,TileTable[Level],$D204,TileTable[Item_Name],$E204)&gt;0,SUMIFS(TileTable[Olsen_Cost],TileTable[Section],$C204,TileTable[Level],$D204,TileTable[Item_Name],$E204),""),"")</f>
        <v/>
      </c>
    </row>
    <row r="205" spans="14:14" ht="17.25" hidden="1" customHeight="1" x14ac:dyDescent="0.3">
      <c r="N205" s="87" t="str">
        <f>IF(AND($C205&lt;&gt;"",$D205&lt;&gt;"",$E205&lt;&gt;""),IF(COUNTIFS(TileTable[Section],$C205,TileTable[Level],$D205,TileTable[Item_Name],$E205)&gt;0,SUMIFS(TileTable[Olsen_Cost],TileTable[Section],$C205,TileTable[Level],$D205,TileTable[Item_Name],$E205),""),"")</f>
        <v/>
      </c>
    </row>
    <row r="206" spans="14:14" ht="17.25" hidden="1" customHeight="1" x14ac:dyDescent="0.3">
      <c r="N206" s="87" t="str">
        <f>IF(AND($C206&lt;&gt;"",$D206&lt;&gt;"",$E206&lt;&gt;""),IF(COUNTIFS(TileTable[Section],$C206,TileTable[Level],$D206,TileTable[Item_Name],$E206)&gt;0,SUMIFS(TileTable[Olsen_Cost],TileTable[Section],$C206,TileTable[Level],$D206,TileTable[Item_Name],$E206),""),"")</f>
        <v/>
      </c>
    </row>
    <row r="207" spans="14:14" ht="17.25" hidden="1" customHeight="1" x14ac:dyDescent="0.3">
      <c r="N207" s="87" t="str">
        <f>IF(AND($C207&lt;&gt;"",$D207&lt;&gt;"",$E207&lt;&gt;""),IF(COUNTIFS(TileTable[Section],$C207,TileTable[Level],$D207,TileTable[Item_Name],$E207)&gt;0,SUMIFS(TileTable[Olsen_Cost],TileTable[Section],$C207,TileTable[Level],$D207,TileTable[Item_Name],$E207),""),"")</f>
        <v/>
      </c>
    </row>
    <row r="208" spans="14:14" ht="17.25" hidden="1" customHeight="1" x14ac:dyDescent="0.3">
      <c r="N208" s="87" t="str">
        <f>IF(AND($C208&lt;&gt;"",$D208&lt;&gt;"",$E208&lt;&gt;""),IF(COUNTIFS(TileTable[Section],$C208,TileTable[Level],$D208,TileTable[Item_Name],$E208)&gt;0,SUMIFS(TileTable[Olsen_Cost],TileTable[Section],$C208,TileTable[Level],$D208,TileTable[Item_Name],$E208),""),"")</f>
        <v/>
      </c>
    </row>
    <row r="209" spans="14:14" ht="17.25" hidden="1" customHeight="1" x14ac:dyDescent="0.3">
      <c r="N209" s="87" t="str">
        <f>IF(AND($C209&lt;&gt;"",$D209&lt;&gt;"",$E209&lt;&gt;""),IF(COUNTIFS(TileTable[Section],$C209,TileTable[Level],$D209,TileTable[Item_Name],$E209)&gt;0,SUMIFS(TileTable[Olsen_Cost],TileTable[Section],$C209,TileTable[Level],$D209,TileTable[Item_Name],$E209),""),"")</f>
        <v/>
      </c>
    </row>
    <row r="210" spans="14:14" ht="17.25" hidden="1" customHeight="1" x14ac:dyDescent="0.3">
      <c r="N210" s="87" t="str">
        <f>IF(AND($C210&lt;&gt;"",$D210&lt;&gt;"",$E210&lt;&gt;""),IF(COUNTIFS(TileTable[Section],$C210,TileTable[Level],$D210,TileTable[Item_Name],$E210)&gt;0,SUMIFS(TileTable[Olsen_Cost],TileTable[Section],$C210,TileTable[Level],$D210,TileTable[Item_Name],$E210),""),"")</f>
        <v/>
      </c>
    </row>
    <row r="211" spans="14:14" ht="17.25" hidden="1" customHeight="1" x14ac:dyDescent="0.3">
      <c r="N211" s="87" t="str">
        <f>IF(AND($C211&lt;&gt;"",$D211&lt;&gt;"",$E211&lt;&gt;""),IF(COUNTIFS(TileTable[Section],$C211,TileTable[Level],$D211,TileTable[Item_Name],$E211)&gt;0,SUMIFS(TileTable[Olsen_Cost],TileTable[Section],$C211,TileTable[Level],$D211,TileTable[Item_Name],$E211),""),"")</f>
        <v/>
      </c>
    </row>
    <row r="212" spans="14:14" ht="17.25" hidden="1" customHeight="1" x14ac:dyDescent="0.3">
      <c r="N212" s="87" t="str">
        <f>IF(AND($C212&lt;&gt;"",$D212&lt;&gt;"",$E212&lt;&gt;""),IF(COUNTIFS(TileTable[Section],$C212,TileTable[Level],$D212,TileTable[Item_Name],$E212)&gt;0,SUMIFS(TileTable[Olsen_Cost],TileTable[Section],$C212,TileTable[Level],$D212,TileTable[Item_Name],$E212),""),"")</f>
        <v/>
      </c>
    </row>
    <row r="213" spans="14:14" ht="17.25" hidden="1" customHeight="1" x14ac:dyDescent="0.3">
      <c r="N213" s="87" t="str">
        <f>IF(AND($C213&lt;&gt;"",$D213&lt;&gt;"",$E213&lt;&gt;""),IF(COUNTIFS(TileTable[Section],$C213,TileTable[Level],$D213,TileTable[Item_Name],$E213)&gt;0,SUMIFS(TileTable[Olsen_Cost],TileTable[Section],$C213,TileTable[Level],$D213,TileTable[Item_Name],$E213),""),"")</f>
        <v/>
      </c>
    </row>
    <row r="214" spans="14:14" ht="17.25" hidden="1" customHeight="1" x14ac:dyDescent="0.3">
      <c r="N214" s="87" t="str">
        <f>IF(AND($C214&lt;&gt;"",$D214&lt;&gt;"",$E214&lt;&gt;""),IF(COUNTIFS(TileTable[Section],$C214,TileTable[Level],$D214,TileTable[Item_Name],$E214)&gt;0,SUMIFS(TileTable[Olsen_Cost],TileTable[Section],$C214,TileTable[Level],$D214,TileTable[Item_Name],$E214),""),"")</f>
        <v/>
      </c>
    </row>
    <row r="215" spans="14:14" ht="17.25" hidden="1" customHeight="1" x14ac:dyDescent="0.3">
      <c r="N215" s="87" t="str">
        <f>IF(AND($C215&lt;&gt;"",$D215&lt;&gt;"",$E215&lt;&gt;""),IF(COUNTIFS(TileTable[Section],$C215,TileTable[Level],$D215,TileTable[Item_Name],$E215)&gt;0,SUMIFS(TileTable[Olsen_Cost],TileTable[Section],$C215,TileTable[Level],$D215,TileTable[Item_Name],$E215),""),"")</f>
        <v/>
      </c>
    </row>
    <row r="216" spans="14:14" ht="17.25" hidden="1" customHeight="1" x14ac:dyDescent="0.3">
      <c r="N216" s="87" t="str">
        <f>IF(AND($C216&lt;&gt;"",$D216&lt;&gt;"",$E216&lt;&gt;""),IF(COUNTIFS(TileTable[Section],$C216,TileTable[Level],$D216,TileTable[Item_Name],$E216)&gt;0,SUMIFS(TileTable[Olsen_Cost],TileTable[Section],$C216,TileTable[Level],$D216,TileTable[Item_Name],$E216),""),"")</f>
        <v/>
      </c>
    </row>
    <row r="217" spans="14:14" ht="17.25" hidden="1" customHeight="1" x14ac:dyDescent="0.3">
      <c r="N217" s="87" t="str">
        <f>IF(AND($C217&lt;&gt;"",$D217&lt;&gt;"",$E217&lt;&gt;""),IF(COUNTIFS(TileTable[Section],$C217,TileTable[Level],$D217,TileTable[Item_Name],$E217)&gt;0,SUMIFS(TileTable[Olsen_Cost],TileTable[Section],$C217,TileTable[Level],$D217,TileTable[Item_Name],$E217),""),"")</f>
        <v/>
      </c>
    </row>
    <row r="218" spans="14:14" ht="17.25" hidden="1" customHeight="1" x14ac:dyDescent="0.3">
      <c r="N218" s="87" t="str">
        <f>IF(AND($C218&lt;&gt;"",$D218&lt;&gt;"",$E218&lt;&gt;""),IF(COUNTIFS(TileTable[Section],$C218,TileTable[Level],$D218,TileTable[Item_Name],$E218)&gt;0,SUMIFS(TileTable[Olsen_Cost],TileTable[Section],$C218,TileTable[Level],$D218,TileTable[Item_Name],$E218),""),"")</f>
        <v/>
      </c>
    </row>
    <row r="219" spans="14:14" ht="17.25" hidden="1" customHeight="1" x14ac:dyDescent="0.3">
      <c r="N219" s="87" t="str">
        <f>IF(AND($C219&lt;&gt;"",$D219&lt;&gt;"",$E219&lt;&gt;""),IF(COUNTIFS(TileTable[Section],$C219,TileTable[Level],$D219,TileTable[Item_Name],$E219)&gt;0,SUMIFS(TileTable[Olsen_Cost],TileTable[Section],$C219,TileTable[Level],$D219,TileTable[Item_Name],$E219),""),"")</f>
        <v/>
      </c>
    </row>
    <row r="220" spans="14:14" ht="17.25" hidden="1" customHeight="1" x14ac:dyDescent="0.3">
      <c r="N220" s="87" t="str">
        <f>IF(AND($C220&lt;&gt;"",$D220&lt;&gt;"",$E220&lt;&gt;""),IF(COUNTIFS(TileTable[Section],$C220,TileTable[Level],$D220,TileTable[Item_Name],$E220)&gt;0,SUMIFS(TileTable[Olsen_Cost],TileTable[Section],$C220,TileTable[Level],$D220,TileTable[Item_Name],$E220),""),"")</f>
        <v/>
      </c>
    </row>
    <row r="221" spans="14:14" ht="17.25" hidden="1" customHeight="1" x14ac:dyDescent="0.3">
      <c r="N221" s="87" t="str">
        <f>IF(AND($C221&lt;&gt;"",$D221&lt;&gt;"",$E221&lt;&gt;""),IF(COUNTIFS(TileTable[Section],$C221,TileTable[Level],$D221,TileTable[Item_Name],$E221)&gt;0,SUMIFS(TileTable[Olsen_Cost],TileTable[Section],$C221,TileTable[Level],$D221,TileTable[Item_Name],$E221),""),"")</f>
        <v/>
      </c>
    </row>
    <row r="222" spans="14:14" ht="17.25" hidden="1" customHeight="1" x14ac:dyDescent="0.3">
      <c r="N222" s="87" t="str">
        <f>IF(AND($C222&lt;&gt;"",$D222&lt;&gt;"",$E222&lt;&gt;""),IF(COUNTIFS(TileTable[Section],$C222,TileTable[Level],$D222,TileTable[Item_Name],$E222)&gt;0,SUMIFS(TileTable[Olsen_Cost],TileTable[Section],$C222,TileTable[Level],$D222,TileTable[Item_Name],$E222),""),"")</f>
        <v/>
      </c>
    </row>
    <row r="223" spans="14:14" ht="17.25" hidden="1" customHeight="1" x14ac:dyDescent="0.3">
      <c r="N223" s="87" t="str">
        <f>IF(AND($C223&lt;&gt;"",$D223&lt;&gt;"",$E223&lt;&gt;""),IF(COUNTIFS(TileTable[Section],$C223,TileTable[Level],$D223,TileTable[Item_Name],$E223)&gt;0,SUMIFS(TileTable[Olsen_Cost],TileTable[Section],$C223,TileTable[Level],$D223,TileTable[Item_Name],$E223),""),"")</f>
        <v/>
      </c>
    </row>
    <row r="224" spans="14:14" ht="17.25" hidden="1" customHeight="1" x14ac:dyDescent="0.3">
      <c r="N224" s="87" t="str">
        <f>IF(AND($C224&lt;&gt;"",$D224&lt;&gt;"",$E224&lt;&gt;""),IF(COUNTIFS(TileTable[Section],$C224,TileTable[Level],$D224,TileTable[Item_Name],$E224)&gt;0,SUMIFS(TileTable[Olsen_Cost],TileTable[Section],$C224,TileTable[Level],$D224,TileTable[Item_Name],$E224),""),"")</f>
        <v/>
      </c>
    </row>
    <row r="225" spans="14:14" ht="17.25" hidden="1" customHeight="1" x14ac:dyDescent="0.3">
      <c r="N225" s="87" t="str">
        <f>IF(AND($C225&lt;&gt;"",$D225&lt;&gt;"",$E225&lt;&gt;""),IF(COUNTIFS(TileTable[Section],$C225,TileTable[Level],$D225,TileTable[Item_Name],$E225)&gt;0,SUMIFS(TileTable[Olsen_Cost],TileTable[Section],$C225,TileTable[Level],$D225,TileTable[Item_Name],$E225),""),"")</f>
        <v/>
      </c>
    </row>
    <row r="226" spans="14:14" ht="17.25" hidden="1" customHeight="1" x14ac:dyDescent="0.3">
      <c r="N226" s="87" t="str">
        <f>IF(AND($C226&lt;&gt;"",$D226&lt;&gt;"",$E226&lt;&gt;""),IF(COUNTIFS(TileTable[Section],$C226,TileTable[Level],$D226,TileTable[Item_Name],$E226)&gt;0,SUMIFS(TileTable[Olsen_Cost],TileTable[Section],$C226,TileTable[Level],$D226,TileTable[Item_Name],$E226),""),"")</f>
        <v/>
      </c>
    </row>
    <row r="227" spans="14:14" ht="17.25" hidden="1" customHeight="1" x14ac:dyDescent="0.3">
      <c r="N227" s="87" t="str">
        <f>IF(AND($C227&lt;&gt;"",$D227&lt;&gt;"",$E227&lt;&gt;""),IF(COUNTIFS(TileTable[Section],$C227,TileTable[Level],$D227,TileTable[Item_Name],$E227)&gt;0,SUMIFS(TileTable[Olsen_Cost],TileTable[Section],$C227,TileTable[Level],$D227,TileTable[Item_Name],$E227),""),"")</f>
        <v/>
      </c>
    </row>
    <row r="228" spans="14:14" ht="17.25" hidden="1" customHeight="1" x14ac:dyDescent="0.3">
      <c r="N228" s="87" t="str">
        <f>IF(AND($C228&lt;&gt;"",$D228&lt;&gt;"",$E228&lt;&gt;""),IF(COUNTIFS(TileTable[Section],$C228,TileTable[Level],$D228,TileTable[Item_Name],$E228)&gt;0,SUMIFS(TileTable[Olsen_Cost],TileTable[Section],$C228,TileTable[Level],$D228,TileTable[Item_Name],$E228),""),"")</f>
        <v/>
      </c>
    </row>
    <row r="229" spans="14:14" ht="17.25" hidden="1" customHeight="1" x14ac:dyDescent="0.3">
      <c r="N229" s="87" t="str">
        <f>IF(AND($C229&lt;&gt;"",$D229&lt;&gt;"",$E229&lt;&gt;""),IF(COUNTIFS(TileTable[Section],$C229,TileTable[Level],$D229,TileTable[Item_Name],$E229)&gt;0,SUMIFS(TileTable[Olsen_Cost],TileTable[Section],$C229,TileTable[Level],$D229,TileTable[Item_Name],$E229),""),"")</f>
        <v/>
      </c>
    </row>
    <row r="230" spans="14:14" ht="17.25" hidden="1" customHeight="1" x14ac:dyDescent="0.3">
      <c r="N230" s="87" t="str">
        <f>IF(AND($C230&lt;&gt;"",$D230&lt;&gt;"",$E230&lt;&gt;""),IF(COUNTIFS(TileTable[Section],$C230,TileTable[Level],$D230,TileTable[Item_Name],$E230)&gt;0,SUMIFS(TileTable[Olsen_Cost],TileTable[Section],$C230,TileTable[Level],$D230,TileTable[Item_Name],$E230),""),"")</f>
        <v/>
      </c>
    </row>
    <row r="231" spans="14:14" ht="17.25" hidden="1" customHeight="1" x14ac:dyDescent="0.3">
      <c r="N231" s="87" t="str">
        <f>IF(AND($C231&lt;&gt;"",$D231&lt;&gt;"",$E231&lt;&gt;""),IF(COUNTIFS(TileTable[Section],$C231,TileTable[Level],$D231,TileTable[Item_Name],$E231)&gt;0,SUMIFS(TileTable[Olsen_Cost],TileTable[Section],$C231,TileTable[Level],$D231,TileTable[Item_Name],$E231),""),"")</f>
        <v/>
      </c>
    </row>
    <row r="232" spans="14:14" ht="17.25" hidden="1" customHeight="1" x14ac:dyDescent="0.3">
      <c r="N232" s="87" t="str">
        <f>IF(AND($C232&lt;&gt;"",$D232&lt;&gt;"",$E232&lt;&gt;""),IF(COUNTIFS(TileTable[Section],$C232,TileTable[Level],$D232,TileTable[Item_Name],$E232)&gt;0,SUMIFS(TileTable[Olsen_Cost],TileTable[Section],$C232,TileTable[Level],$D232,TileTable[Item_Name],$E232),""),"")</f>
        <v/>
      </c>
    </row>
    <row r="233" spans="14:14" ht="17.25" hidden="1" customHeight="1" x14ac:dyDescent="0.3">
      <c r="N233" s="87" t="str">
        <f>IF(AND($C233&lt;&gt;"",$D233&lt;&gt;"",$E233&lt;&gt;""),IF(COUNTIFS(TileTable[Section],$C233,TileTable[Level],$D233,TileTable[Item_Name],$E233)&gt;0,SUMIFS(TileTable[Olsen_Cost],TileTable[Section],$C233,TileTable[Level],$D233,TileTable[Item_Name],$E233),""),"")</f>
        <v/>
      </c>
    </row>
    <row r="234" spans="14:14" ht="17.25" hidden="1" customHeight="1" x14ac:dyDescent="0.3">
      <c r="N234" s="87" t="str">
        <f>IF(AND($C234&lt;&gt;"",$D234&lt;&gt;"",$E234&lt;&gt;""),IF(COUNTIFS(TileTable[Section],$C234,TileTable[Level],$D234,TileTable[Item_Name],$E234)&gt;0,SUMIFS(TileTable[Olsen_Cost],TileTable[Section],$C234,TileTable[Level],$D234,TileTable[Item_Name],$E234),""),"")</f>
        <v/>
      </c>
    </row>
    <row r="235" spans="14:14" ht="17.25" hidden="1" customHeight="1" x14ac:dyDescent="0.3">
      <c r="N235" s="87" t="str">
        <f>IF(AND($C235&lt;&gt;"",$D235&lt;&gt;"",$E235&lt;&gt;""),IF(COUNTIFS(TileTable[Section],$C235,TileTable[Level],$D235,TileTable[Item_Name],$E235)&gt;0,SUMIFS(TileTable[Olsen_Cost],TileTable[Section],$C235,TileTable[Level],$D235,TileTable[Item_Name],$E235),""),"")</f>
        <v/>
      </c>
    </row>
    <row r="236" spans="14:14" ht="17.25" hidden="1" customHeight="1" x14ac:dyDescent="0.3">
      <c r="N236" s="87" t="str">
        <f>IF(AND($C236&lt;&gt;"",$D236&lt;&gt;"",$E236&lt;&gt;""),IF(COUNTIFS(TileTable[Section],$C236,TileTable[Level],$D236,TileTable[Item_Name],$E236)&gt;0,SUMIFS(TileTable[Olsen_Cost],TileTable[Section],$C236,TileTable[Level],$D236,TileTable[Item_Name],$E236),""),"")</f>
        <v/>
      </c>
    </row>
    <row r="237" spans="14:14" ht="17.25" hidden="1" customHeight="1" x14ac:dyDescent="0.3">
      <c r="N237" s="87" t="str">
        <f>IF(AND($C237&lt;&gt;"",$D237&lt;&gt;"",$E237&lt;&gt;""),IF(COUNTIFS(TileTable[Section],$C237,TileTable[Level],$D237,TileTable[Item_Name],$E237)&gt;0,SUMIFS(TileTable[Olsen_Cost],TileTable[Section],$C237,TileTable[Level],$D237,TileTable[Item_Name],$E237),""),"")</f>
        <v/>
      </c>
    </row>
    <row r="238" spans="14:14" ht="17.25" hidden="1" customHeight="1" x14ac:dyDescent="0.3">
      <c r="N238" s="87" t="str">
        <f>IF(AND($C238&lt;&gt;"",$D238&lt;&gt;"",$E238&lt;&gt;""),IF(COUNTIFS(TileTable[Section],$C238,TileTable[Level],$D238,TileTable[Item_Name],$E238)&gt;0,SUMIFS(TileTable[Olsen_Cost],TileTable[Section],$C238,TileTable[Level],$D238,TileTable[Item_Name],$E238),""),"")</f>
        <v/>
      </c>
    </row>
    <row r="239" spans="14:14" ht="17.25" hidden="1" customHeight="1" x14ac:dyDescent="0.3">
      <c r="N239" s="87" t="str">
        <f>IF(AND($C239&lt;&gt;"",$D239&lt;&gt;"",$E239&lt;&gt;""),IF(COUNTIFS(TileTable[Section],$C239,TileTable[Level],$D239,TileTable[Item_Name],$E239)&gt;0,SUMIFS(TileTable[Olsen_Cost],TileTable[Section],$C239,TileTable[Level],$D239,TileTable[Item_Name],$E239),""),"")</f>
        <v/>
      </c>
    </row>
    <row r="240" spans="14:14" ht="17.25" hidden="1" customHeight="1" x14ac:dyDescent="0.3">
      <c r="N240" s="87" t="str">
        <f>IF(AND($C240&lt;&gt;"",$D240&lt;&gt;"",$E240&lt;&gt;""),IF(COUNTIFS(TileTable[Section],$C240,TileTable[Level],$D240,TileTable[Item_Name],$E240)&gt;0,SUMIFS(TileTable[Olsen_Cost],TileTable[Section],$C240,TileTable[Level],$D240,TileTable[Item_Name],$E240),""),"")</f>
        <v/>
      </c>
    </row>
    <row r="241" spans="14:14" ht="17.25" hidden="1" customHeight="1" x14ac:dyDescent="0.3">
      <c r="N241" s="87" t="str">
        <f>IF(AND($C241&lt;&gt;"",$D241&lt;&gt;"",$E241&lt;&gt;""),IF(COUNTIFS(TileTable[Section],$C241,TileTable[Level],$D241,TileTable[Item_Name],$E241)&gt;0,SUMIFS(TileTable[Olsen_Cost],TileTable[Section],$C241,TileTable[Level],$D241,TileTable[Item_Name],$E241),""),"")</f>
        <v/>
      </c>
    </row>
    <row r="242" spans="14:14" ht="17.25" hidden="1" customHeight="1" x14ac:dyDescent="0.3">
      <c r="N242" s="87" t="str">
        <f>IF(AND($C242&lt;&gt;"",$D242&lt;&gt;"",$E242&lt;&gt;""),IF(COUNTIFS(TileTable[Section],$C242,TileTable[Level],$D242,TileTable[Item_Name],$E242)&gt;0,SUMIFS(TileTable[Olsen_Cost],TileTable[Section],$C242,TileTable[Level],$D242,TileTable[Item_Name],$E242),""),"")</f>
        <v/>
      </c>
    </row>
    <row r="243" spans="14:14" ht="17.25" hidden="1" customHeight="1" x14ac:dyDescent="0.3">
      <c r="N243" s="87" t="str">
        <f>IF(AND($C243&lt;&gt;"",$D243&lt;&gt;"",$E243&lt;&gt;""),IF(COUNTIFS(TileTable[Section],$C243,TileTable[Level],$D243,TileTable[Item_Name],$E243)&gt;0,SUMIFS(TileTable[Olsen_Cost],TileTable[Section],$C243,TileTable[Level],$D243,TileTable[Item_Name],$E243),""),"")</f>
        <v/>
      </c>
    </row>
    <row r="244" spans="14:14" ht="17.25" hidden="1" customHeight="1" x14ac:dyDescent="0.3">
      <c r="N244" s="87" t="str">
        <f>IF(AND($C244&lt;&gt;"",$D244&lt;&gt;"",$E244&lt;&gt;""),IF(COUNTIFS(TileTable[Section],$C244,TileTable[Level],$D244,TileTable[Item_Name],$E244)&gt;0,SUMIFS(TileTable[Olsen_Cost],TileTable[Section],$C244,TileTable[Level],$D244,TileTable[Item_Name],$E244),""),"")</f>
        <v/>
      </c>
    </row>
    <row r="245" spans="14:14" ht="17.25" hidden="1" customHeight="1" x14ac:dyDescent="0.3">
      <c r="N245" s="87" t="str">
        <f>IF(AND($C245&lt;&gt;"",$D245&lt;&gt;"",$E245&lt;&gt;""),IF(COUNTIFS(TileTable[Section],$C245,TileTable[Level],$D245,TileTable[Item_Name],$E245)&gt;0,SUMIFS(TileTable[Olsen_Cost],TileTable[Section],$C245,TileTable[Level],$D245,TileTable[Item_Name],$E245),""),"")</f>
        <v/>
      </c>
    </row>
    <row r="246" spans="14:14" ht="17.25" hidden="1" customHeight="1" x14ac:dyDescent="0.3">
      <c r="N246" s="87" t="str">
        <f>IF(AND($C246&lt;&gt;"",$D246&lt;&gt;"",$E246&lt;&gt;""),IF(COUNTIFS(TileTable[Section],$C246,TileTable[Level],$D246,TileTable[Item_Name],$E246)&gt;0,SUMIFS(TileTable[Olsen_Cost],TileTable[Section],$C246,TileTable[Level],$D246,TileTable[Item_Name],$E246),""),"")</f>
        <v/>
      </c>
    </row>
    <row r="247" spans="14:14" ht="17.25" hidden="1" customHeight="1" x14ac:dyDescent="0.3">
      <c r="N247" s="87" t="str">
        <f>IF(AND($C247&lt;&gt;"",$D247&lt;&gt;"",$E247&lt;&gt;""),IF(COUNTIFS(TileTable[Section],$C247,TileTable[Level],$D247,TileTable[Item_Name],$E247)&gt;0,SUMIFS(TileTable[Olsen_Cost],TileTable[Section],$C247,TileTable[Level],$D247,TileTable[Item_Name],$E247),""),"")</f>
        <v/>
      </c>
    </row>
    <row r="248" spans="14:14" ht="17.25" hidden="1" customHeight="1" x14ac:dyDescent="0.3">
      <c r="N248" s="87" t="str">
        <f>IF(AND($C248&lt;&gt;"",$D248&lt;&gt;"",$E248&lt;&gt;""),IF(COUNTIFS(TileTable[Section],$C248,TileTable[Level],$D248,TileTable[Item_Name],$E248)&gt;0,SUMIFS(TileTable[Olsen_Cost],TileTable[Section],$C248,TileTable[Level],$D248,TileTable[Item_Name],$E248),""),"")</f>
        <v/>
      </c>
    </row>
    <row r="249" spans="14:14" ht="17.25" hidden="1" customHeight="1" x14ac:dyDescent="0.3">
      <c r="N249" s="87" t="str">
        <f>IF(AND($C249&lt;&gt;"",$D249&lt;&gt;"",$E249&lt;&gt;""),IF(COUNTIFS(TileTable[Section],$C249,TileTable[Level],$D249,TileTable[Item_Name],$E249)&gt;0,SUMIFS(TileTable[Olsen_Cost],TileTable[Section],$C249,TileTable[Level],$D249,TileTable[Item_Name],$E249),""),"")</f>
        <v/>
      </c>
    </row>
    <row r="250" spans="14:14" ht="17.25" hidden="1" customHeight="1" x14ac:dyDescent="0.3">
      <c r="N250" s="87" t="str">
        <f>IF(AND($C250&lt;&gt;"",$D250&lt;&gt;"",$E250&lt;&gt;""),IF(COUNTIFS(TileTable[Section],$C250,TileTable[Level],$D250,TileTable[Item_Name],$E250)&gt;0,SUMIFS(TileTable[Olsen_Cost],TileTable[Section],$C250,TileTable[Level],$D250,TileTable[Item_Name],$E250),""),"")</f>
        <v/>
      </c>
    </row>
    <row r="251" spans="14:14" ht="17.25" hidden="1" customHeight="1" x14ac:dyDescent="0.3">
      <c r="N251" s="87" t="str">
        <f>IF(AND($C251&lt;&gt;"",$D251&lt;&gt;"",$E251&lt;&gt;""),IF(COUNTIFS(TileTable[Section],$C251,TileTable[Level],$D251,TileTable[Item_Name],$E251)&gt;0,SUMIFS(TileTable[Olsen_Cost],TileTable[Section],$C251,TileTable[Level],$D251,TileTable[Item_Name],$E251),""),"")</f>
        <v/>
      </c>
    </row>
    <row r="252" spans="14:14" ht="17.25" hidden="1" customHeight="1" x14ac:dyDescent="0.3">
      <c r="N252" s="87" t="str">
        <f>IF(AND($C252&lt;&gt;"",$D252&lt;&gt;"",$E252&lt;&gt;""),IF(COUNTIFS(TileTable[Section],$C252,TileTable[Level],$D252,TileTable[Item_Name],$E252)&gt;0,SUMIFS(TileTable[Olsen_Cost],TileTable[Section],$C252,TileTable[Level],$D252,TileTable[Item_Name],$E252),""),"")</f>
        <v/>
      </c>
    </row>
    <row r="253" spans="14:14" ht="17.25" hidden="1" customHeight="1" x14ac:dyDescent="0.3">
      <c r="N253" s="87" t="str">
        <f>IF(AND($C253&lt;&gt;"",$D253&lt;&gt;"",$E253&lt;&gt;""),IF(COUNTIFS(TileTable[Section],$C253,TileTable[Level],$D253,TileTable[Item_Name],$E253)&gt;0,SUMIFS(TileTable[Olsen_Cost],TileTable[Section],$C253,TileTable[Level],$D253,TileTable[Item_Name],$E253),""),"")</f>
        <v/>
      </c>
    </row>
    <row r="254" spans="14:14" ht="17.25" hidden="1" customHeight="1" x14ac:dyDescent="0.3">
      <c r="N254" s="87" t="str">
        <f>IF(AND($C254&lt;&gt;"",$D254&lt;&gt;"",$E254&lt;&gt;""),IF(COUNTIFS(TileTable[Section],$C254,TileTable[Level],$D254,TileTable[Item_Name],$E254)&gt;0,SUMIFS(TileTable[Olsen_Cost],TileTable[Section],$C254,TileTable[Level],$D254,TileTable[Item_Name],$E254),""),"")</f>
        <v/>
      </c>
    </row>
    <row r="255" spans="14:14" ht="17.25" hidden="1" customHeight="1" x14ac:dyDescent="0.3">
      <c r="N255" s="87" t="str">
        <f>IF(AND($C255&lt;&gt;"",$D255&lt;&gt;"",$E255&lt;&gt;""),IF(COUNTIFS(TileTable[Section],$C255,TileTable[Level],$D255,TileTable[Item_Name],$E255)&gt;0,SUMIFS(TileTable[Olsen_Cost],TileTable[Section],$C255,TileTable[Level],$D255,TileTable[Item_Name],$E255),""),"")</f>
        <v/>
      </c>
    </row>
    <row r="256" spans="14:14" ht="17.25" hidden="1" customHeight="1" x14ac:dyDescent="0.3">
      <c r="N256" s="87" t="str">
        <f>IF(AND($C256&lt;&gt;"",$D256&lt;&gt;"",$E256&lt;&gt;""),IF(COUNTIFS(TileTable[Section],$C256,TileTable[Level],$D256,TileTable[Item_Name],$E256)&gt;0,SUMIFS(TileTable[Olsen_Cost],TileTable[Section],$C256,TileTable[Level],$D256,TileTable[Item_Name],$E256),""),"")</f>
        <v/>
      </c>
    </row>
    <row r="257" spans="14:14" ht="17.25" hidden="1" customHeight="1" x14ac:dyDescent="0.3">
      <c r="N257" s="87" t="str">
        <f>IF(AND($C257&lt;&gt;"",$D257&lt;&gt;"",$E257&lt;&gt;""),IF(COUNTIFS(TileTable[Section],$C257,TileTable[Level],$D257,TileTable[Item_Name],$E257)&gt;0,SUMIFS(TileTable[Olsen_Cost],TileTable[Section],$C257,TileTable[Level],$D257,TileTable[Item_Name],$E257),""),"")</f>
        <v/>
      </c>
    </row>
    <row r="258" spans="14:14" ht="17.25" hidden="1" customHeight="1" x14ac:dyDescent="0.3">
      <c r="N258" s="87" t="str">
        <f>IF(AND($C258&lt;&gt;"",$D258&lt;&gt;"",$E258&lt;&gt;""),IF(COUNTIFS(TileTable[Section],$C258,TileTable[Level],$D258,TileTable[Item_Name],$E258)&gt;0,SUMIFS(TileTable[Olsen_Cost],TileTable[Section],$C258,TileTable[Level],$D258,TileTable[Item_Name],$E258),""),"")</f>
        <v/>
      </c>
    </row>
    <row r="259" spans="14:14" ht="17.25" hidden="1" customHeight="1" x14ac:dyDescent="0.3">
      <c r="N259" s="87" t="str">
        <f>IF(AND($C259&lt;&gt;"",$D259&lt;&gt;"",$E259&lt;&gt;""),IF(COUNTIFS(TileTable[Section],$C259,TileTable[Level],$D259,TileTable[Item_Name],$E259)&gt;0,SUMIFS(TileTable[Olsen_Cost],TileTable[Section],$C259,TileTable[Level],$D259,TileTable[Item_Name],$E259),""),"")</f>
        <v/>
      </c>
    </row>
    <row r="260" spans="14:14" ht="17.25" hidden="1" customHeight="1" x14ac:dyDescent="0.3">
      <c r="N260" s="87" t="str">
        <f>IF(AND($C260&lt;&gt;"",$D260&lt;&gt;"",$E260&lt;&gt;""),IF(COUNTIFS(TileTable[Section],$C260,TileTable[Level],$D260,TileTable[Item_Name],$E260)&gt;0,SUMIFS(TileTable[Olsen_Cost],TileTable[Section],$C260,TileTable[Level],$D260,TileTable[Item_Name],$E260),""),"")</f>
        <v/>
      </c>
    </row>
    <row r="261" spans="14:14" ht="17.25" hidden="1" customHeight="1" x14ac:dyDescent="0.3">
      <c r="N261" s="87" t="str">
        <f>IF(AND($C261&lt;&gt;"",$D261&lt;&gt;"",$E261&lt;&gt;""),IF(COUNTIFS(TileTable[Section],$C261,TileTable[Level],$D261,TileTable[Item_Name],$E261)&gt;0,SUMIFS(TileTable[Olsen_Cost],TileTable[Section],$C261,TileTable[Level],$D261,TileTable[Item_Name],$E261),""),"")</f>
        <v/>
      </c>
    </row>
    <row r="262" spans="14:14" ht="17.25" hidden="1" customHeight="1" x14ac:dyDescent="0.3">
      <c r="N262" s="87" t="str">
        <f>IF(AND($C262&lt;&gt;"",$D262&lt;&gt;"",$E262&lt;&gt;""),IF(COUNTIFS(TileTable[Section],$C262,TileTable[Level],$D262,TileTable[Item_Name],$E262)&gt;0,SUMIFS(TileTable[Olsen_Cost],TileTable[Section],$C262,TileTable[Level],$D262,TileTable[Item_Name],$E262),""),"")</f>
        <v/>
      </c>
    </row>
    <row r="263" spans="14:14" ht="17.25" hidden="1" customHeight="1" x14ac:dyDescent="0.3">
      <c r="N263" s="87" t="str">
        <f>IF(AND($C263&lt;&gt;"",$D263&lt;&gt;"",$E263&lt;&gt;""),IF(COUNTIFS(TileTable[Section],$C263,TileTable[Level],$D263,TileTable[Item_Name],$E263)&gt;0,SUMIFS(TileTable[Olsen_Cost],TileTable[Section],$C263,TileTable[Level],$D263,TileTable[Item_Name],$E263),""),"")</f>
        <v/>
      </c>
    </row>
    <row r="264" spans="14:14" ht="17.25" hidden="1" customHeight="1" x14ac:dyDescent="0.3">
      <c r="N264" s="87" t="str">
        <f>IF(AND($C264&lt;&gt;"",$D264&lt;&gt;"",$E264&lt;&gt;""),IF(COUNTIFS(TileTable[Section],$C264,TileTable[Level],$D264,TileTable[Item_Name],$E264)&gt;0,SUMIFS(TileTable[Olsen_Cost],TileTable[Section],$C264,TileTable[Level],$D264,TileTable[Item_Name],$E264),""),"")</f>
        <v/>
      </c>
    </row>
    <row r="265" spans="14:14" ht="17.25" hidden="1" customHeight="1" x14ac:dyDescent="0.3">
      <c r="N265" s="87" t="str">
        <f>IF(AND($C265&lt;&gt;"",$D265&lt;&gt;"",$E265&lt;&gt;""),IF(COUNTIFS(TileTable[Section],$C265,TileTable[Level],$D265,TileTable[Item_Name],$E265)&gt;0,SUMIFS(TileTable[Olsen_Cost],TileTable[Section],$C265,TileTable[Level],$D265,TileTable[Item_Name],$E265),""),"")</f>
        <v/>
      </c>
    </row>
    <row r="266" spans="14:14" ht="17.25" hidden="1" customHeight="1" x14ac:dyDescent="0.3">
      <c r="N266" s="87" t="str">
        <f>IF(AND($C266&lt;&gt;"",$D266&lt;&gt;"",$E266&lt;&gt;""),IF(COUNTIFS(TileTable[Section],$C266,TileTable[Level],$D266,TileTable[Item_Name],$E266)&gt;0,SUMIFS(TileTable[Olsen_Cost],TileTable[Section],$C266,TileTable[Level],$D266,TileTable[Item_Name],$E266),""),"")</f>
        <v/>
      </c>
    </row>
    <row r="267" spans="14:14" ht="17.25" hidden="1" customHeight="1" x14ac:dyDescent="0.3">
      <c r="N267" s="87" t="str">
        <f>IF(AND($C267&lt;&gt;"",$D267&lt;&gt;"",$E267&lt;&gt;""),IF(COUNTIFS(TileTable[Section],$C267,TileTable[Level],$D267,TileTable[Item_Name],$E267)&gt;0,SUMIFS(TileTable[Olsen_Cost],TileTable[Section],$C267,TileTable[Level],$D267,TileTable[Item_Name],$E267),""),"")</f>
        <v/>
      </c>
    </row>
    <row r="268" spans="14:14" ht="17.25" hidden="1" customHeight="1" x14ac:dyDescent="0.3">
      <c r="N268" s="87" t="str">
        <f>IF(AND($C268&lt;&gt;"",$D268&lt;&gt;"",$E268&lt;&gt;""),IF(COUNTIFS(TileTable[Section],$C268,TileTable[Level],$D268,TileTable[Item_Name],$E268)&gt;0,SUMIFS(TileTable[Olsen_Cost],TileTable[Section],$C268,TileTable[Level],$D268,TileTable[Item_Name],$E268),""),"")</f>
        <v/>
      </c>
    </row>
    <row r="269" spans="14:14" ht="17.25" hidden="1" customHeight="1" x14ac:dyDescent="0.3">
      <c r="N269" s="87" t="str">
        <f>IF(AND($C269&lt;&gt;"",$D269&lt;&gt;"",$E269&lt;&gt;""),IF(COUNTIFS(TileTable[Section],$C269,TileTable[Level],$D269,TileTable[Item_Name],$E269)&gt;0,SUMIFS(TileTable[Olsen_Cost],TileTable[Section],$C269,TileTable[Level],$D269,TileTable[Item_Name],$E269),""),"")</f>
        <v/>
      </c>
    </row>
    <row r="270" spans="14:14" ht="17.25" hidden="1" customHeight="1" x14ac:dyDescent="0.3">
      <c r="N270" s="87" t="str">
        <f>IF(AND($C270&lt;&gt;"",$D270&lt;&gt;"",$E270&lt;&gt;""),IF(COUNTIFS(TileTable[Section],$C270,TileTable[Level],$D270,TileTable[Item_Name],$E270)&gt;0,SUMIFS(TileTable[Olsen_Cost],TileTable[Section],$C270,TileTable[Level],$D270,TileTable[Item_Name],$E270),""),"")</f>
        <v/>
      </c>
    </row>
    <row r="271" spans="14:14" ht="17.25" hidden="1" customHeight="1" x14ac:dyDescent="0.3">
      <c r="N271" s="87" t="str">
        <f>IF(AND($C271&lt;&gt;"",$D271&lt;&gt;"",$E271&lt;&gt;""),IF(COUNTIFS(TileTable[Section],$C271,TileTable[Level],$D271,TileTable[Item_Name],$E271)&gt;0,SUMIFS(TileTable[Olsen_Cost],TileTable[Section],$C271,TileTable[Level],$D271,TileTable[Item_Name],$E271),""),"")</f>
        <v/>
      </c>
    </row>
    <row r="272" spans="14:14" ht="17.25" hidden="1" customHeight="1" x14ac:dyDescent="0.3">
      <c r="N272" s="87" t="str">
        <f>IF(AND($C272&lt;&gt;"",$D272&lt;&gt;"",$E272&lt;&gt;""),IF(COUNTIFS(TileTable[Section],$C272,TileTable[Level],$D272,TileTable[Item_Name],$E272)&gt;0,SUMIFS(TileTable[Olsen_Cost],TileTable[Section],$C272,TileTable[Level],$D272,TileTable[Item_Name],$E272),""),"")</f>
        <v/>
      </c>
    </row>
    <row r="273" spans="14:14" ht="17.25" hidden="1" customHeight="1" x14ac:dyDescent="0.3">
      <c r="N273" s="87" t="str">
        <f>IF(AND($C273&lt;&gt;"",$D273&lt;&gt;"",$E273&lt;&gt;""),IF(COUNTIFS(TileTable[Section],$C273,TileTable[Level],$D273,TileTable[Item_Name],$E273)&gt;0,SUMIFS(TileTable[Olsen_Cost],TileTable[Section],$C273,TileTable[Level],$D273,TileTable[Item_Name],$E273),""),"")</f>
        <v/>
      </c>
    </row>
    <row r="274" spans="14:14" ht="17.25" hidden="1" customHeight="1" x14ac:dyDescent="0.3">
      <c r="N274" s="87" t="str">
        <f>IF(AND($C274&lt;&gt;"",$D274&lt;&gt;"",$E274&lt;&gt;""),IF(COUNTIFS(TileTable[Section],$C274,TileTable[Level],$D274,TileTable[Item_Name],$E274)&gt;0,SUMIFS(TileTable[Olsen_Cost],TileTable[Section],$C274,TileTable[Level],$D274,TileTable[Item_Name],$E274),""),"")</f>
        <v/>
      </c>
    </row>
    <row r="275" spans="14:14" ht="17.25" hidden="1" customHeight="1" x14ac:dyDescent="0.3">
      <c r="N275" s="87" t="str">
        <f>IF(AND($C275&lt;&gt;"",$D275&lt;&gt;"",$E275&lt;&gt;""),IF(COUNTIFS(TileTable[Section],$C275,TileTable[Level],$D275,TileTable[Item_Name],$E275)&gt;0,SUMIFS(TileTable[Olsen_Cost],TileTable[Section],$C275,TileTable[Level],$D275,TileTable[Item_Name],$E275),""),"")</f>
        <v/>
      </c>
    </row>
    <row r="276" spans="14:14" ht="17.25" hidden="1" customHeight="1" x14ac:dyDescent="0.3">
      <c r="N276" s="87" t="str">
        <f>IF(AND($C276&lt;&gt;"",$D276&lt;&gt;"",$E276&lt;&gt;""),IF(COUNTIFS(TileTable[Section],$C276,TileTable[Level],$D276,TileTable[Item_Name],$E276)&gt;0,SUMIFS(TileTable[Olsen_Cost],TileTable[Section],$C276,TileTable[Level],$D276,TileTable[Item_Name],$E276),""),"")</f>
        <v/>
      </c>
    </row>
    <row r="277" spans="14:14" ht="17.25" hidden="1" customHeight="1" x14ac:dyDescent="0.3">
      <c r="N277" s="87" t="str">
        <f>IF(AND($C277&lt;&gt;"",$D277&lt;&gt;"",$E277&lt;&gt;""),IF(COUNTIFS(TileTable[Section],$C277,TileTable[Level],$D277,TileTable[Item_Name],$E277)&gt;0,SUMIFS(TileTable[Olsen_Cost],TileTable[Section],$C277,TileTable[Level],$D277,TileTable[Item_Name],$E277),""),"")</f>
        <v/>
      </c>
    </row>
    <row r="278" spans="14:14" ht="17.25" hidden="1" customHeight="1" x14ac:dyDescent="0.3">
      <c r="N278" s="87" t="str">
        <f>IF(AND($C278&lt;&gt;"",$D278&lt;&gt;"",$E278&lt;&gt;""),IF(COUNTIFS(TileTable[Section],$C278,TileTable[Level],$D278,TileTable[Item_Name],$E278)&gt;0,SUMIFS(TileTable[Olsen_Cost],TileTable[Section],$C278,TileTable[Level],$D278,TileTable[Item_Name],$E278),""),"")</f>
        <v/>
      </c>
    </row>
    <row r="279" spans="14:14" ht="17.25" hidden="1" customHeight="1" x14ac:dyDescent="0.3">
      <c r="N279" s="87" t="str">
        <f>IF(AND($C279&lt;&gt;"",$D279&lt;&gt;"",$E279&lt;&gt;""),IF(COUNTIFS(TileTable[Section],$C279,TileTable[Level],$D279,TileTable[Item_Name],$E279)&gt;0,SUMIFS(TileTable[Olsen_Cost],TileTable[Section],$C279,TileTable[Level],$D279,TileTable[Item_Name],$E279),""),"")</f>
        <v/>
      </c>
    </row>
    <row r="280" spans="14:14" ht="17.25" hidden="1" customHeight="1" x14ac:dyDescent="0.3">
      <c r="N280" s="87" t="str">
        <f>IF(AND($C280&lt;&gt;"",$D280&lt;&gt;"",$E280&lt;&gt;""),IF(COUNTIFS(TileTable[Section],$C280,TileTable[Level],$D280,TileTable[Item_Name],$E280)&gt;0,SUMIFS(TileTable[Olsen_Cost],TileTable[Section],$C280,TileTable[Level],$D280,TileTable[Item_Name],$E280),""),"")</f>
        <v/>
      </c>
    </row>
    <row r="281" spans="14:14" ht="17.25" hidden="1" customHeight="1" x14ac:dyDescent="0.3">
      <c r="N281" s="87" t="str">
        <f>IF(AND($C281&lt;&gt;"",$D281&lt;&gt;"",$E281&lt;&gt;""),IF(COUNTIFS(TileTable[Section],$C281,TileTable[Level],$D281,TileTable[Item_Name],$E281)&gt;0,SUMIFS(TileTable[Olsen_Cost],TileTable[Section],$C281,TileTable[Level],$D281,TileTable[Item_Name],$E281),""),"")</f>
        <v/>
      </c>
    </row>
    <row r="282" spans="14:14" ht="17.25" hidden="1" customHeight="1" x14ac:dyDescent="0.3">
      <c r="N282" s="87" t="str">
        <f>IF(AND($C282&lt;&gt;"",$D282&lt;&gt;"",$E282&lt;&gt;""),IF(COUNTIFS(TileTable[Section],$C282,TileTable[Level],$D282,TileTable[Item_Name],$E282)&gt;0,SUMIFS(TileTable[Olsen_Cost],TileTable[Section],$C282,TileTable[Level],$D282,TileTable[Item_Name],$E282),""),"")</f>
        <v/>
      </c>
    </row>
    <row r="283" spans="14:14" ht="17.25" hidden="1" customHeight="1" x14ac:dyDescent="0.3">
      <c r="N283" s="87" t="str">
        <f>IF(AND($C283&lt;&gt;"",$D283&lt;&gt;"",$E283&lt;&gt;""),IF(COUNTIFS(TileTable[Section],$C283,TileTable[Level],$D283,TileTable[Item_Name],$E283)&gt;0,SUMIFS(TileTable[Olsen_Cost],TileTable[Section],$C283,TileTable[Level],$D283,TileTable[Item_Name],$E283),""),"")</f>
        <v/>
      </c>
    </row>
    <row r="284" spans="14:14" ht="17.25" hidden="1" customHeight="1" x14ac:dyDescent="0.3">
      <c r="N284" s="87" t="str">
        <f>IF(AND($C284&lt;&gt;"",$D284&lt;&gt;"",$E284&lt;&gt;""),IF(COUNTIFS(TileTable[Section],$C284,TileTable[Level],$D284,TileTable[Item_Name],$E284)&gt;0,SUMIFS(TileTable[Olsen_Cost],TileTable[Section],$C284,TileTable[Level],$D284,TileTable[Item_Name],$E284),""),"")</f>
        <v/>
      </c>
    </row>
    <row r="285" spans="14:14" ht="17.25" hidden="1" customHeight="1" x14ac:dyDescent="0.3">
      <c r="N285" s="87" t="str">
        <f>IF(AND($C285&lt;&gt;"",$D285&lt;&gt;"",$E285&lt;&gt;""),IF(COUNTIFS(TileTable[Section],$C285,TileTable[Level],$D285,TileTable[Item_Name],$E285)&gt;0,SUMIFS(TileTable[Olsen_Cost],TileTable[Section],$C285,TileTable[Level],$D285,TileTable[Item_Name],$E285),""),"")</f>
        <v/>
      </c>
    </row>
    <row r="286" spans="14:14" ht="17.25" hidden="1" customHeight="1" x14ac:dyDescent="0.3">
      <c r="N286" s="87" t="str">
        <f>IF(AND($C286&lt;&gt;"",$D286&lt;&gt;"",$E286&lt;&gt;""),IF(COUNTIFS(TileTable[Section],$C286,TileTable[Level],$D286,TileTable[Item_Name],$E286)&gt;0,SUMIFS(TileTable[Olsen_Cost],TileTable[Section],$C286,TileTable[Level],$D286,TileTable[Item_Name],$E286),""),"")</f>
        <v/>
      </c>
    </row>
    <row r="287" spans="14:14" ht="17.25" hidden="1" customHeight="1" x14ac:dyDescent="0.3">
      <c r="N287" s="87" t="str">
        <f>IF(AND($C287&lt;&gt;"",$D287&lt;&gt;"",$E287&lt;&gt;""),IF(COUNTIFS(TileTable[Section],$C287,TileTable[Level],$D287,TileTable[Item_Name],$E287)&gt;0,SUMIFS(TileTable[Olsen_Cost],TileTable[Section],$C287,TileTable[Level],$D287,TileTable[Item_Name],$E287),""),"")</f>
        <v/>
      </c>
    </row>
    <row r="288" spans="14:14" ht="17.25" hidden="1" customHeight="1" x14ac:dyDescent="0.3">
      <c r="N288" s="87" t="str">
        <f>IF(AND($C288&lt;&gt;"",$D288&lt;&gt;"",$E288&lt;&gt;""),IF(COUNTIFS(TileTable[Section],$C288,TileTable[Level],$D288,TileTable[Item_Name],$E288)&gt;0,SUMIFS(TileTable[Olsen_Cost],TileTable[Section],$C288,TileTable[Level],$D288,TileTable[Item_Name],$E288),""),"")</f>
        <v/>
      </c>
    </row>
    <row r="289" spans="14:14" ht="17.25" hidden="1" customHeight="1" x14ac:dyDescent="0.3">
      <c r="N289" s="87" t="str">
        <f>IF(AND($C289&lt;&gt;"",$D289&lt;&gt;"",$E289&lt;&gt;""),IF(COUNTIFS(TileTable[Section],$C289,TileTable[Level],$D289,TileTable[Item_Name],$E289)&gt;0,SUMIFS(TileTable[Olsen_Cost],TileTable[Section],$C289,TileTable[Level],$D289,TileTable[Item_Name],$E289),""),"")</f>
        <v/>
      </c>
    </row>
    <row r="290" spans="14:14" ht="17.25" hidden="1" customHeight="1" x14ac:dyDescent="0.3">
      <c r="N290" s="87" t="str">
        <f>IF(AND($C290&lt;&gt;"",$D290&lt;&gt;"",$E290&lt;&gt;""),IF(COUNTIFS(TileTable[Section],$C290,TileTable[Level],$D290,TileTable[Item_Name],$E290)&gt;0,SUMIFS(TileTable[Olsen_Cost],TileTable[Section],$C290,TileTable[Level],$D290,TileTable[Item_Name],$E290),""),"")</f>
        <v/>
      </c>
    </row>
    <row r="291" spans="14:14" ht="17.25" hidden="1" customHeight="1" x14ac:dyDescent="0.3">
      <c r="N291" s="87" t="str">
        <f>IF(AND($C291&lt;&gt;"",$D291&lt;&gt;"",$E291&lt;&gt;""),IF(COUNTIFS(TileTable[Section],$C291,TileTable[Level],$D291,TileTable[Item_Name],$E291)&gt;0,SUMIFS(TileTable[Olsen_Cost],TileTable[Section],$C291,TileTable[Level],$D291,TileTable[Item_Name],$E291),""),"")</f>
        <v/>
      </c>
    </row>
    <row r="292" spans="14:14" ht="17.25" hidden="1" customHeight="1" x14ac:dyDescent="0.3">
      <c r="N292" s="87" t="str">
        <f>IF(AND($C292&lt;&gt;"",$D292&lt;&gt;"",$E292&lt;&gt;""),IF(COUNTIFS(TileTable[Section],$C292,TileTable[Level],$D292,TileTable[Item_Name],$E292)&gt;0,SUMIFS(TileTable[Olsen_Cost],TileTable[Section],$C292,TileTable[Level],$D292,TileTable[Item_Name],$E292),""),"")</f>
        <v/>
      </c>
    </row>
    <row r="293" spans="14:14" ht="17.25" hidden="1" customHeight="1" x14ac:dyDescent="0.3">
      <c r="N293" s="87" t="str">
        <f>IF(AND($C293&lt;&gt;"",$D293&lt;&gt;"",$E293&lt;&gt;""),IF(COUNTIFS(TileTable[Section],$C293,TileTable[Level],$D293,TileTable[Item_Name],$E293)&gt;0,SUMIFS(TileTable[Olsen_Cost],TileTable[Section],$C293,TileTable[Level],$D293,TileTable[Item_Name],$E293),""),"")</f>
        <v/>
      </c>
    </row>
    <row r="294" spans="14:14" ht="17.25" hidden="1" customHeight="1" x14ac:dyDescent="0.3">
      <c r="N294" s="87" t="str">
        <f>IF(AND($C294&lt;&gt;"",$D294&lt;&gt;"",$E294&lt;&gt;""),IF(COUNTIFS(TileTable[Section],$C294,TileTable[Level],$D294,TileTable[Item_Name],$E294)&gt;0,SUMIFS(TileTable[Olsen_Cost],TileTable[Section],$C294,TileTable[Level],$D294,TileTable[Item_Name],$E294),""),"")</f>
        <v/>
      </c>
    </row>
    <row r="295" spans="14:14" ht="17.25" hidden="1" customHeight="1" x14ac:dyDescent="0.3">
      <c r="N295" s="87" t="str">
        <f>IF(AND($C295&lt;&gt;"",$D295&lt;&gt;"",$E295&lt;&gt;""),IF(COUNTIFS(TileTable[Section],$C295,TileTable[Level],$D295,TileTable[Item_Name],$E295)&gt;0,SUMIFS(TileTable[Olsen_Cost],TileTable[Section],$C295,TileTable[Level],$D295,TileTable[Item_Name],$E295),""),"")</f>
        <v/>
      </c>
    </row>
    <row r="296" spans="14:14" ht="17.25" hidden="1" customHeight="1" x14ac:dyDescent="0.3">
      <c r="N296" s="87" t="str">
        <f>IF(AND($C296&lt;&gt;"",$D296&lt;&gt;"",$E296&lt;&gt;""),IF(COUNTIFS(TileTable[Section],$C296,TileTable[Level],$D296,TileTable[Item_Name],$E296)&gt;0,SUMIFS(TileTable[Olsen_Cost],TileTable[Section],$C296,TileTable[Level],$D296,TileTable[Item_Name],$E296),""),"")</f>
        <v/>
      </c>
    </row>
    <row r="297" spans="14:14" ht="17.25" hidden="1" customHeight="1" x14ac:dyDescent="0.3">
      <c r="N297" s="87" t="str">
        <f>IF(AND($C297&lt;&gt;"",$D297&lt;&gt;"",$E297&lt;&gt;""),IF(COUNTIFS(TileTable[Section],$C297,TileTable[Level],$D297,TileTable[Item_Name],$E297)&gt;0,SUMIFS(TileTable[Olsen_Cost],TileTable[Section],$C297,TileTable[Level],$D297,TileTable[Item_Name],$E297),""),"")</f>
        <v/>
      </c>
    </row>
    <row r="298" spans="14:14" ht="17.25" hidden="1" customHeight="1" x14ac:dyDescent="0.3">
      <c r="N298" s="87" t="str">
        <f>IF(AND($C298&lt;&gt;"",$D298&lt;&gt;"",$E298&lt;&gt;""),IF(COUNTIFS(TileTable[Section],$C298,TileTable[Level],$D298,TileTable[Item_Name],$E298)&gt;0,SUMIFS(TileTable[Olsen_Cost],TileTable[Section],$C298,TileTable[Level],$D298,TileTable[Item_Name],$E298),""),"")</f>
        <v/>
      </c>
    </row>
    <row r="299" spans="14:14" ht="17.25" hidden="1" customHeight="1" x14ac:dyDescent="0.3">
      <c r="N299" s="87" t="str">
        <f>IF(AND($C299&lt;&gt;"",$D299&lt;&gt;"",$E299&lt;&gt;""),IF(COUNTIFS(TileTable[Section],$C299,TileTable[Level],$D299,TileTable[Item_Name],$E299)&gt;0,SUMIFS(TileTable[Olsen_Cost],TileTable[Section],$C299,TileTable[Level],$D299,TileTable[Item_Name],$E299),""),"")</f>
        <v/>
      </c>
    </row>
    <row r="300" spans="14:14" ht="17.25" hidden="1" customHeight="1" x14ac:dyDescent="0.3">
      <c r="N300" s="87" t="str">
        <f>IF(AND($C300&lt;&gt;"",$D300&lt;&gt;"",$E300&lt;&gt;""),IF(COUNTIFS(TileTable[Section],$C300,TileTable[Level],$D300,TileTable[Item_Name],$E300)&gt;0,SUMIFS(TileTable[Olsen_Cost],TileTable[Section],$C300,TileTable[Level],$D300,TileTable[Item_Name],$E300),""),"")</f>
        <v/>
      </c>
    </row>
    <row r="301" spans="14:14" ht="17.25" hidden="1" customHeight="1" x14ac:dyDescent="0.3">
      <c r="N301" s="87" t="str">
        <f>IF(AND($C301&lt;&gt;"",$D301&lt;&gt;"",$E301&lt;&gt;""),IF(COUNTIFS(TileTable[Section],$C301,TileTable[Level],$D301,TileTable[Item_Name],$E301)&gt;0,SUMIFS(TileTable[Olsen_Cost],TileTable[Section],$C301,TileTable[Level],$D301,TileTable[Item_Name],$E301),""),"")</f>
        <v/>
      </c>
    </row>
    <row r="302" spans="14:14" ht="17.25" hidden="1" customHeight="1" x14ac:dyDescent="0.3">
      <c r="N302" s="87" t="str">
        <f>IF(AND($C302&lt;&gt;"",$D302&lt;&gt;"",$E302&lt;&gt;""),IF(COUNTIFS(TileTable[Section],$C302,TileTable[Level],$D302,TileTable[Item_Name],$E302)&gt;0,SUMIFS(TileTable[Olsen_Cost],TileTable[Section],$C302,TileTable[Level],$D302,TileTable[Item_Name],$E302),""),"")</f>
        <v/>
      </c>
    </row>
    <row r="303" spans="14:14" ht="17.25" hidden="1" customHeight="1" x14ac:dyDescent="0.3">
      <c r="N303" s="87" t="str">
        <f>IF(AND($C303&lt;&gt;"",$D303&lt;&gt;"",$E303&lt;&gt;""),IF(COUNTIFS(TileTable[Section],$C303,TileTable[Level],$D303,TileTable[Item_Name],$E303)&gt;0,SUMIFS(TileTable[Olsen_Cost],TileTable[Section],$C303,TileTable[Level],$D303,TileTable[Item_Name],$E303),""),"")</f>
        <v/>
      </c>
    </row>
    <row r="304" spans="14:14" ht="17.25" hidden="1" customHeight="1" x14ac:dyDescent="0.3">
      <c r="N304" s="87" t="str">
        <f>IF(AND($C304&lt;&gt;"",$D304&lt;&gt;"",$E304&lt;&gt;""),IF(COUNTIFS(TileTable[Section],$C304,TileTable[Level],$D304,TileTable[Item_Name],$E304)&gt;0,SUMIFS(TileTable[Olsen_Cost],TileTable[Section],$C304,TileTable[Level],$D304,TileTable[Item_Name],$E304),""),"")</f>
        <v/>
      </c>
    </row>
    <row r="305" spans="14:14" ht="17.25" hidden="1" customHeight="1" x14ac:dyDescent="0.3">
      <c r="N305" s="87" t="str">
        <f>IF(AND($C305&lt;&gt;"",$D305&lt;&gt;"",$E305&lt;&gt;""),IF(COUNTIFS(TileTable[Section],$C305,TileTable[Level],$D305,TileTable[Item_Name],$E305)&gt;0,SUMIFS(TileTable[Olsen_Cost],TileTable[Section],$C305,TileTable[Level],$D305,TileTable[Item_Name],$E305),""),"")</f>
        <v/>
      </c>
    </row>
    <row r="306" spans="14:14" ht="17.25" hidden="1" customHeight="1" x14ac:dyDescent="0.3">
      <c r="N306" s="87" t="str">
        <f>IF(AND($C306&lt;&gt;"",$D306&lt;&gt;"",$E306&lt;&gt;""),IF(COUNTIFS(TileTable[Section],$C306,TileTable[Level],$D306,TileTable[Item_Name],$E306)&gt;0,SUMIFS(TileTable[Olsen_Cost],TileTable[Section],$C306,TileTable[Level],$D306,TileTable[Item_Name],$E306),""),"")</f>
        <v/>
      </c>
    </row>
    <row r="307" spans="14:14" ht="17.25" hidden="1" customHeight="1" x14ac:dyDescent="0.3">
      <c r="N307" s="87" t="str">
        <f>IF(AND($C307&lt;&gt;"",$D307&lt;&gt;"",$E307&lt;&gt;""),IF(COUNTIFS(TileTable[Section],$C307,TileTable[Level],$D307,TileTable[Item_Name],$E307)&gt;0,SUMIFS(TileTable[Olsen_Cost],TileTable[Section],$C307,TileTable[Level],$D307,TileTable[Item_Name],$E307),""),"")</f>
        <v/>
      </c>
    </row>
    <row r="308" spans="14:14" ht="17.25" hidden="1" customHeight="1" x14ac:dyDescent="0.3">
      <c r="N308" s="87" t="str">
        <f>IF(AND($C308&lt;&gt;"",$D308&lt;&gt;"",$E308&lt;&gt;""),IF(COUNTIFS(TileTable[Section],$C308,TileTable[Level],$D308,TileTable[Item_Name],$E308)&gt;0,SUMIFS(TileTable[Olsen_Cost],TileTable[Section],$C308,TileTable[Level],$D308,TileTable[Item_Name],$E308),""),"")</f>
        <v/>
      </c>
    </row>
    <row r="309" spans="14:14" ht="17.25" hidden="1" customHeight="1" x14ac:dyDescent="0.3">
      <c r="N309" s="87" t="str">
        <f>IF(AND($C309&lt;&gt;"",$D309&lt;&gt;"",$E309&lt;&gt;""),IF(COUNTIFS(TileTable[Section],$C309,TileTable[Level],$D309,TileTable[Item_Name],$E309)&gt;0,SUMIFS(TileTable[Olsen_Cost],TileTable[Section],$C309,TileTable[Level],$D309,TileTable[Item_Name],$E309),""),"")</f>
        <v/>
      </c>
    </row>
    <row r="310" spans="14:14" ht="17.25" hidden="1" customHeight="1" x14ac:dyDescent="0.3">
      <c r="N310" s="87" t="str">
        <f>IF(AND($C310&lt;&gt;"",$D310&lt;&gt;"",$E310&lt;&gt;""),IF(COUNTIFS(TileTable[Section],$C310,TileTable[Level],$D310,TileTable[Item_Name],$E310)&gt;0,SUMIFS(TileTable[Olsen_Cost],TileTable[Section],$C310,TileTable[Level],$D310,TileTable[Item_Name],$E310),""),"")</f>
        <v/>
      </c>
    </row>
    <row r="311" spans="14:14" ht="17.25" hidden="1" customHeight="1" x14ac:dyDescent="0.3">
      <c r="N311" s="87" t="str">
        <f>IF(AND($C311&lt;&gt;"",$D311&lt;&gt;"",$E311&lt;&gt;""),IF(COUNTIFS(TileTable[Section],$C311,TileTable[Level],$D311,TileTable[Item_Name],$E311)&gt;0,SUMIFS(TileTable[Olsen_Cost],TileTable[Section],$C311,TileTable[Level],$D311,TileTable[Item_Name],$E311),""),"")</f>
        <v/>
      </c>
    </row>
    <row r="312" spans="14:14" ht="17.25" hidden="1" customHeight="1" x14ac:dyDescent="0.3">
      <c r="N312" s="87" t="str">
        <f>IF(AND($C312&lt;&gt;"",$D312&lt;&gt;"",$E312&lt;&gt;""),IF(COUNTIFS(TileTable[Section],$C312,TileTable[Level],$D312,TileTable[Item_Name],$E312)&gt;0,SUMIFS(TileTable[Olsen_Cost],TileTable[Section],$C312,TileTable[Level],$D312,TileTable[Item_Name],$E312),""),"")</f>
        <v/>
      </c>
    </row>
    <row r="313" spans="14:14" ht="17.25" hidden="1" customHeight="1" x14ac:dyDescent="0.3">
      <c r="N313" s="87" t="str">
        <f>IF(AND($C313&lt;&gt;"",$D313&lt;&gt;"",$E313&lt;&gt;""),IF(COUNTIFS(TileTable[Section],$C313,TileTable[Level],$D313,TileTable[Item_Name],$E313)&gt;0,SUMIFS(TileTable[Olsen_Cost],TileTable[Section],$C313,TileTable[Level],$D313,TileTable[Item_Name],$E313),""),"")</f>
        <v/>
      </c>
    </row>
    <row r="314" spans="14:14" ht="17.25" hidden="1" customHeight="1" x14ac:dyDescent="0.3">
      <c r="N314" s="87" t="str">
        <f>IF(AND($C314&lt;&gt;"",$D314&lt;&gt;"",$E314&lt;&gt;""),IF(COUNTIFS(TileTable[Section],$C314,TileTable[Level],$D314,TileTable[Item_Name],$E314)&gt;0,SUMIFS(TileTable[Olsen_Cost],TileTable[Section],$C314,TileTable[Level],$D314,TileTable[Item_Name],$E314),""),"")</f>
        <v/>
      </c>
    </row>
    <row r="315" spans="14:14" ht="17.25" hidden="1" customHeight="1" x14ac:dyDescent="0.3">
      <c r="N315" s="87" t="str">
        <f>IF(AND($C315&lt;&gt;"",$D315&lt;&gt;"",$E315&lt;&gt;""),IF(COUNTIFS(TileTable[Section],$C315,TileTable[Level],$D315,TileTable[Item_Name],$E315)&gt;0,SUMIFS(TileTable[Olsen_Cost],TileTable[Section],$C315,TileTable[Level],$D315,TileTable[Item_Name],$E315),""),"")</f>
        <v/>
      </c>
    </row>
    <row r="316" spans="14:14" ht="17.25" hidden="1" customHeight="1" x14ac:dyDescent="0.3">
      <c r="N316" s="87" t="str">
        <f>IF(AND($C316&lt;&gt;"",$D316&lt;&gt;"",$E316&lt;&gt;""),IF(COUNTIFS(TileTable[Section],$C316,TileTable[Level],$D316,TileTable[Item_Name],$E316)&gt;0,SUMIFS(TileTable[Olsen_Cost],TileTable[Section],$C316,TileTable[Level],$D316,TileTable[Item_Name],$E316),""),"")</f>
        <v/>
      </c>
    </row>
    <row r="317" spans="14:14" ht="17.25" hidden="1" customHeight="1" x14ac:dyDescent="0.3">
      <c r="N317" s="87" t="str">
        <f>IF(AND($C317&lt;&gt;"",$D317&lt;&gt;"",$E317&lt;&gt;""),IF(COUNTIFS(TileTable[Section],$C317,TileTable[Level],$D317,TileTable[Item_Name],$E317)&gt;0,SUMIFS(TileTable[Olsen_Cost],TileTable[Section],$C317,TileTable[Level],$D317,TileTable[Item_Name],$E317),""),"")</f>
        <v/>
      </c>
    </row>
    <row r="318" spans="14:14" ht="17.25" hidden="1" customHeight="1" x14ac:dyDescent="0.3">
      <c r="N318" s="87" t="str">
        <f>IF(AND($C318&lt;&gt;"",$D318&lt;&gt;"",$E318&lt;&gt;""),IF(COUNTIFS(TileTable[Section],$C318,TileTable[Level],$D318,TileTable[Item_Name],$E318)&gt;0,SUMIFS(TileTable[Olsen_Cost],TileTable[Section],$C318,TileTable[Level],$D318,TileTable[Item_Name],$E318),""),"")</f>
        <v/>
      </c>
    </row>
    <row r="319" spans="14:14" ht="17.25" hidden="1" customHeight="1" x14ac:dyDescent="0.3">
      <c r="N319" s="87" t="str">
        <f>IF(AND($C319&lt;&gt;"",$D319&lt;&gt;"",$E319&lt;&gt;""),IF(COUNTIFS(TileTable[Section],$C319,TileTable[Level],$D319,TileTable[Item_Name],$E319)&gt;0,SUMIFS(TileTable[Olsen_Cost],TileTable[Section],$C319,TileTable[Level],$D319,TileTable[Item_Name],$E319),""),"")</f>
        <v/>
      </c>
    </row>
    <row r="320" spans="14:14" ht="17.25" hidden="1" customHeight="1" x14ac:dyDescent="0.3">
      <c r="N320" s="87" t="str">
        <f>IF(AND($C320&lt;&gt;"",$D320&lt;&gt;"",$E320&lt;&gt;""),IF(COUNTIFS(TileTable[Section],$C320,TileTable[Level],$D320,TileTable[Item_Name],$E320)&gt;0,SUMIFS(TileTable[Olsen_Cost],TileTable[Section],$C320,TileTable[Level],$D320,TileTable[Item_Name],$E320),""),"")</f>
        <v/>
      </c>
    </row>
    <row r="321" spans="14:14" ht="17.25" hidden="1" customHeight="1" x14ac:dyDescent="0.3">
      <c r="N321" s="87" t="str">
        <f>IF(AND($C321&lt;&gt;"",$D321&lt;&gt;"",$E321&lt;&gt;""),IF(COUNTIFS(TileTable[Section],$C321,TileTable[Level],$D321,TileTable[Item_Name],$E321)&gt;0,SUMIFS(TileTable[Olsen_Cost],TileTable[Section],$C321,TileTable[Level],$D321,TileTable[Item_Name],$E321),""),"")</f>
        <v/>
      </c>
    </row>
    <row r="322" spans="14:14" ht="17.25" hidden="1" customHeight="1" x14ac:dyDescent="0.3">
      <c r="N322" s="87" t="str">
        <f>IF(AND($C322&lt;&gt;"",$D322&lt;&gt;"",$E322&lt;&gt;""),IF(COUNTIFS(TileTable[Section],$C322,TileTable[Level],$D322,TileTable[Item_Name],$E322)&gt;0,SUMIFS(TileTable[Olsen_Cost],TileTable[Section],$C322,TileTable[Level],$D322,TileTable[Item_Name],$E322),""),"")</f>
        <v/>
      </c>
    </row>
    <row r="323" spans="14:14" ht="17.25" hidden="1" customHeight="1" x14ac:dyDescent="0.3">
      <c r="N323" s="87" t="str">
        <f>IF(AND($C323&lt;&gt;"",$D323&lt;&gt;"",$E323&lt;&gt;""),IF(COUNTIFS(TileTable[Section],$C323,TileTable[Level],$D323,TileTable[Item_Name],$E323)&gt;0,SUMIFS(TileTable[Olsen_Cost],TileTable[Section],$C323,TileTable[Level],$D323,TileTable[Item_Name],$E323),""),"")</f>
        <v/>
      </c>
    </row>
    <row r="324" spans="14:14" ht="17.25" hidden="1" customHeight="1" x14ac:dyDescent="0.3">
      <c r="N324" s="87" t="str">
        <f>IF(AND($C324&lt;&gt;"",$D324&lt;&gt;"",$E324&lt;&gt;""),IF(COUNTIFS(TileTable[Section],$C324,TileTable[Level],$D324,TileTable[Item_Name],$E324)&gt;0,SUMIFS(TileTable[Olsen_Cost],TileTable[Section],$C324,TileTable[Level],$D324,TileTable[Item_Name],$E324),""),"")</f>
        <v/>
      </c>
    </row>
    <row r="325" spans="14:14" ht="17.25" hidden="1" customHeight="1" x14ac:dyDescent="0.3">
      <c r="N325" s="87" t="str">
        <f>IF(AND($C325&lt;&gt;"",$D325&lt;&gt;"",$E325&lt;&gt;""),IF(COUNTIFS(TileTable[Section],$C325,TileTable[Level],$D325,TileTable[Item_Name],$E325)&gt;0,SUMIFS(TileTable[Olsen_Cost],TileTable[Section],$C325,TileTable[Level],$D325,TileTable[Item_Name],$E325),""),"")</f>
        <v/>
      </c>
    </row>
    <row r="326" spans="14:14" ht="17.25" hidden="1" customHeight="1" x14ac:dyDescent="0.3">
      <c r="N326" s="87" t="str">
        <f>IF(AND($C326&lt;&gt;"",$D326&lt;&gt;"",$E326&lt;&gt;""),IF(COUNTIFS(TileTable[Section],$C326,TileTable[Level],$D326,TileTable[Item_Name],$E326)&gt;0,SUMIFS(TileTable[Olsen_Cost],TileTable[Section],$C326,TileTable[Level],$D326,TileTable[Item_Name],$E326),""),"")</f>
        <v/>
      </c>
    </row>
    <row r="327" spans="14:14" ht="17.25" hidden="1" customHeight="1" x14ac:dyDescent="0.3">
      <c r="N327" s="87" t="str">
        <f>IF(AND($C327&lt;&gt;"",$D327&lt;&gt;"",$E327&lt;&gt;""),IF(COUNTIFS(TileTable[Section],$C327,TileTable[Level],$D327,TileTable[Item_Name],$E327)&gt;0,SUMIFS(TileTable[Olsen_Cost],TileTable[Section],$C327,TileTable[Level],$D327,TileTable[Item_Name],$E327),""),"")</f>
        <v/>
      </c>
    </row>
    <row r="328" spans="14:14" ht="17.25" hidden="1" customHeight="1" x14ac:dyDescent="0.3">
      <c r="N328" s="87" t="str">
        <f>IF(AND($C328&lt;&gt;"",$D328&lt;&gt;"",$E328&lt;&gt;""),IF(COUNTIFS(TileTable[Section],$C328,TileTable[Level],$D328,TileTable[Item_Name],$E328)&gt;0,SUMIFS(TileTable[Olsen_Cost],TileTable[Section],$C328,TileTable[Level],$D328,TileTable[Item_Name],$E328),""),"")</f>
        <v/>
      </c>
    </row>
    <row r="329" spans="14:14" ht="17.25" hidden="1" customHeight="1" x14ac:dyDescent="0.3">
      <c r="N329" s="87" t="str">
        <f>IF(AND($C329&lt;&gt;"",$D329&lt;&gt;"",$E329&lt;&gt;""),IF(COUNTIFS(TileTable[Section],$C329,TileTable[Level],$D329,TileTable[Item_Name],$E329)&gt;0,SUMIFS(TileTable[Olsen_Cost],TileTable[Section],$C329,TileTable[Level],$D329,TileTable[Item_Name],$E329),""),"")</f>
        <v/>
      </c>
    </row>
    <row r="330" spans="14:14" ht="17.25" hidden="1" customHeight="1" x14ac:dyDescent="0.3">
      <c r="N330" s="87" t="str">
        <f>IF(AND($C330&lt;&gt;"",$D330&lt;&gt;"",$E330&lt;&gt;""),IF(COUNTIFS(TileTable[Section],$C330,TileTable[Level],$D330,TileTable[Item_Name],$E330)&gt;0,SUMIFS(TileTable[Olsen_Cost],TileTable[Section],$C330,TileTable[Level],$D330,TileTable[Item_Name],$E330),""),"")</f>
        <v/>
      </c>
    </row>
    <row r="331" spans="14:14" ht="17.25" hidden="1" customHeight="1" x14ac:dyDescent="0.3">
      <c r="N331" s="87" t="str">
        <f>IF(AND($C331&lt;&gt;"",$D331&lt;&gt;"",$E331&lt;&gt;""),IF(COUNTIFS(TileTable[Section],$C331,TileTable[Level],$D331,TileTable[Item_Name],$E331)&gt;0,SUMIFS(TileTable[Olsen_Cost],TileTable[Section],$C331,TileTable[Level],$D331,TileTable[Item_Name],$E331),""),"")</f>
        <v/>
      </c>
    </row>
    <row r="332" spans="14:14" ht="17.25" hidden="1" customHeight="1" x14ac:dyDescent="0.3">
      <c r="N332" s="87" t="str">
        <f>IF(AND($C332&lt;&gt;"",$D332&lt;&gt;"",$E332&lt;&gt;""),IF(COUNTIFS(TileTable[Section],$C332,TileTable[Level],$D332,TileTable[Item_Name],$E332)&gt;0,SUMIFS(TileTable[Olsen_Cost],TileTable[Section],$C332,TileTable[Level],$D332,TileTable[Item_Name],$E332),""),"")</f>
        <v/>
      </c>
    </row>
    <row r="333" spans="14:14" ht="17.25" hidden="1" customHeight="1" x14ac:dyDescent="0.3">
      <c r="N333" s="87" t="str">
        <f>IF(AND($C333&lt;&gt;"",$D333&lt;&gt;"",$E333&lt;&gt;""),IF(COUNTIFS(TileTable[Section],$C333,TileTable[Level],$D333,TileTable[Item_Name],$E333)&gt;0,SUMIFS(TileTable[Olsen_Cost],TileTable[Section],$C333,TileTable[Level],$D333,TileTable[Item_Name],$E333),""),"")</f>
        <v/>
      </c>
    </row>
    <row r="334" spans="14:14" ht="17.25" hidden="1" customHeight="1" x14ac:dyDescent="0.3">
      <c r="N334" s="87" t="str">
        <f>IF(AND($C334&lt;&gt;"",$D334&lt;&gt;"",$E334&lt;&gt;""),IF(COUNTIFS(TileTable[Section],$C334,TileTable[Level],$D334,TileTable[Item_Name],$E334)&gt;0,SUMIFS(TileTable[Olsen_Cost],TileTable[Section],$C334,TileTable[Level],$D334,TileTable[Item_Name],$E334),""),"")</f>
        <v/>
      </c>
    </row>
    <row r="335" spans="14:14" ht="17.25" hidden="1" customHeight="1" x14ac:dyDescent="0.3">
      <c r="N335" s="87" t="str">
        <f>IF(AND($C335&lt;&gt;"",$D335&lt;&gt;"",$E335&lt;&gt;""),IF(COUNTIFS(TileTable[Section],$C335,TileTable[Level],$D335,TileTable[Item_Name],$E335)&gt;0,SUMIFS(TileTable[Olsen_Cost],TileTable[Section],$C335,TileTable[Level],$D335,TileTable[Item_Name],$E335),""),"")</f>
        <v/>
      </c>
    </row>
    <row r="336" spans="14:14" ht="17.25" hidden="1" customHeight="1" x14ac:dyDescent="0.3">
      <c r="N336" s="87" t="str">
        <f>IF(AND($C336&lt;&gt;"",$D336&lt;&gt;"",$E336&lt;&gt;""),IF(COUNTIFS(TileTable[Section],$C336,TileTable[Level],$D336,TileTable[Item_Name],$E336)&gt;0,SUMIFS(TileTable[Olsen_Cost],TileTable[Section],$C336,TileTable[Level],$D336,TileTable[Item_Name],$E336),""),"")</f>
        <v/>
      </c>
    </row>
    <row r="337" spans="14:14" ht="17.25" hidden="1" customHeight="1" x14ac:dyDescent="0.3">
      <c r="N337" s="87" t="str">
        <f>IF(AND($C337&lt;&gt;"",$D337&lt;&gt;"",$E337&lt;&gt;""),IF(COUNTIFS(TileTable[Section],$C337,TileTable[Level],$D337,TileTable[Item_Name],$E337)&gt;0,SUMIFS(TileTable[Olsen_Cost],TileTable[Section],$C337,TileTable[Level],$D337,TileTable[Item_Name],$E337),""),"")</f>
        <v/>
      </c>
    </row>
    <row r="338" spans="14:14" ht="17.25" hidden="1" customHeight="1" x14ac:dyDescent="0.3">
      <c r="N338" s="87" t="str">
        <f>IF(AND($C338&lt;&gt;"",$D338&lt;&gt;"",$E338&lt;&gt;""),IF(COUNTIFS(TileTable[Section],$C338,TileTable[Level],$D338,TileTable[Item_Name],$E338)&gt;0,SUMIFS(TileTable[Olsen_Cost],TileTable[Section],$C338,TileTable[Level],$D338,TileTable[Item_Name],$E338),""),"")</f>
        <v/>
      </c>
    </row>
    <row r="339" spans="14:14" ht="17.25" hidden="1" customHeight="1" x14ac:dyDescent="0.3">
      <c r="N339" s="87" t="str">
        <f>IF(AND($C339&lt;&gt;"",$D339&lt;&gt;"",$E339&lt;&gt;""),IF(COUNTIFS(TileTable[Section],$C339,TileTable[Level],$D339,TileTable[Item_Name],$E339)&gt;0,SUMIFS(TileTable[Olsen_Cost],TileTable[Section],$C339,TileTable[Level],$D339,TileTable[Item_Name],$E339),""),"")</f>
        <v/>
      </c>
    </row>
    <row r="340" spans="14:14" ht="17.25" hidden="1" customHeight="1" x14ac:dyDescent="0.3">
      <c r="N340" s="87" t="str">
        <f>IF(AND($C340&lt;&gt;"",$D340&lt;&gt;"",$E340&lt;&gt;""),IF(COUNTIFS(TileTable[Section],$C340,TileTable[Level],$D340,TileTable[Item_Name],$E340)&gt;0,SUMIFS(TileTable[Olsen_Cost],TileTable[Section],$C340,TileTable[Level],$D340,TileTable[Item_Name],$E340),""),"")</f>
        <v/>
      </c>
    </row>
    <row r="341" spans="14:14" ht="17.25" hidden="1" customHeight="1" x14ac:dyDescent="0.3">
      <c r="N341" s="87" t="str">
        <f>IF(AND($C341&lt;&gt;"",$D341&lt;&gt;"",$E341&lt;&gt;""),IF(COUNTIFS(TileTable[Section],$C341,TileTable[Level],$D341,TileTable[Item_Name],$E341)&gt;0,SUMIFS(TileTable[Olsen_Cost],TileTable[Section],$C341,TileTable[Level],$D341,TileTable[Item_Name],$E341),""),"")</f>
        <v/>
      </c>
    </row>
    <row r="342" spans="14:14" ht="17.25" hidden="1" customHeight="1" x14ac:dyDescent="0.3">
      <c r="N342" s="87" t="str">
        <f>IF(AND($C342&lt;&gt;"",$D342&lt;&gt;"",$E342&lt;&gt;""),IF(COUNTIFS(TileTable[Section],$C342,TileTable[Level],$D342,TileTable[Item_Name],$E342)&gt;0,SUMIFS(TileTable[Olsen_Cost],TileTable[Section],$C342,TileTable[Level],$D342,TileTable[Item_Name],$E342),""),"")</f>
        <v/>
      </c>
    </row>
    <row r="343" spans="14:14" ht="17.25" hidden="1" customHeight="1" x14ac:dyDescent="0.3">
      <c r="N343" s="87" t="str">
        <f>IF(AND($C343&lt;&gt;"",$D343&lt;&gt;"",$E343&lt;&gt;""),IF(COUNTIFS(TileTable[Section],$C343,TileTable[Level],$D343,TileTable[Item_Name],$E343)&gt;0,SUMIFS(TileTable[Olsen_Cost],TileTable[Section],$C343,TileTable[Level],$D343,TileTable[Item_Name],$E343),""),"")</f>
        <v/>
      </c>
    </row>
    <row r="344" spans="14:14" ht="17.25" hidden="1" customHeight="1" x14ac:dyDescent="0.3">
      <c r="N344" s="87" t="str">
        <f>IF(AND($C344&lt;&gt;"",$D344&lt;&gt;"",$E344&lt;&gt;""),IF(COUNTIFS(TileTable[Section],$C344,TileTable[Level],$D344,TileTable[Item_Name],$E344)&gt;0,SUMIFS(TileTable[Olsen_Cost],TileTable[Section],$C344,TileTable[Level],$D344,TileTable[Item_Name],$E344),""),"")</f>
        <v/>
      </c>
    </row>
    <row r="345" spans="14:14" ht="17.25" hidden="1" customHeight="1" x14ac:dyDescent="0.3">
      <c r="N345" s="87" t="str">
        <f>IF(AND($C345&lt;&gt;"",$D345&lt;&gt;"",$E345&lt;&gt;""),IF(COUNTIFS(TileTable[Section],$C345,TileTable[Level],$D345,TileTable[Item_Name],$E345)&gt;0,SUMIFS(TileTable[Olsen_Cost],TileTable[Section],$C345,TileTable[Level],$D345,TileTable[Item_Name],$E345),""),"")</f>
        <v/>
      </c>
    </row>
    <row r="346" spans="14:14" ht="17.25" hidden="1" customHeight="1" x14ac:dyDescent="0.3">
      <c r="N346" s="87" t="str">
        <f>IF(AND($C346&lt;&gt;"",$D346&lt;&gt;"",$E346&lt;&gt;""),IF(COUNTIFS(TileTable[Section],$C346,TileTable[Level],$D346,TileTable[Item_Name],$E346)&gt;0,SUMIFS(TileTable[Olsen_Cost],TileTable[Section],$C346,TileTable[Level],$D346,TileTable[Item_Name],$E346),""),"")</f>
        <v/>
      </c>
    </row>
    <row r="347" spans="14:14" ht="17.25" hidden="1" customHeight="1" x14ac:dyDescent="0.3">
      <c r="N347" s="87" t="str">
        <f>IF(AND($C347&lt;&gt;"",$D347&lt;&gt;"",$E347&lt;&gt;""),IF(COUNTIFS(TileTable[Section],$C347,TileTable[Level],$D347,TileTable[Item_Name],$E347)&gt;0,SUMIFS(TileTable[Olsen_Cost],TileTable[Section],$C347,TileTable[Level],$D347,TileTable[Item_Name],$E347),""),"")</f>
        <v/>
      </c>
    </row>
    <row r="348" spans="14:14" ht="17.25" hidden="1" customHeight="1" x14ac:dyDescent="0.3">
      <c r="N348" s="87" t="str">
        <f>IF(AND($C348&lt;&gt;"",$D348&lt;&gt;"",$E348&lt;&gt;""),IF(COUNTIFS(TileTable[Section],$C348,TileTable[Level],$D348,TileTable[Item_Name],$E348)&gt;0,SUMIFS(TileTable[Olsen_Cost],TileTable[Section],$C348,TileTable[Level],$D348,TileTable[Item_Name],$E348),""),"")</f>
        <v/>
      </c>
    </row>
    <row r="349" spans="14:14" ht="17.25" hidden="1" customHeight="1" x14ac:dyDescent="0.3">
      <c r="N349" s="87" t="str">
        <f>IF(AND($C349&lt;&gt;"",$D349&lt;&gt;"",$E349&lt;&gt;""),IF(COUNTIFS(TileTable[Section],$C349,TileTable[Level],$D349,TileTable[Item_Name],$E349)&gt;0,SUMIFS(TileTable[Olsen_Cost],TileTable[Section],$C349,TileTable[Level],$D349,TileTable[Item_Name],$E349),""),"")</f>
        <v/>
      </c>
    </row>
    <row r="350" spans="14:14" ht="17.25" hidden="1" customHeight="1" x14ac:dyDescent="0.3">
      <c r="N350" s="87" t="str">
        <f>IF(AND($C350&lt;&gt;"",$D350&lt;&gt;"",$E350&lt;&gt;""),IF(COUNTIFS(TileTable[Section],$C350,TileTable[Level],$D350,TileTable[Item_Name],$E350)&gt;0,SUMIFS(TileTable[Olsen_Cost],TileTable[Section],$C350,TileTable[Level],$D350,TileTable[Item_Name],$E350),""),"")</f>
        <v/>
      </c>
    </row>
    <row r="351" spans="14:14" ht="17.25" hidden="1" customHeight="1" x14ac:dyDescent="0.3">
      <c r="N351" s="87" t="str">
        <f>IF(AND($C351&lt;&gt;"",$D351&lt;&gt;"",$E351&lt;&gt;""),IF(COUNTIFS(TileTable[Section],$C351,TileTable[Level],$D351,TileTable[Item_Name],$E351)&gt;0,SUMIFS(TileTable[Olsen_Cost],TileTable[Section],$C351,TileTable[Level],$D351,TileTable[Item_Name],$E351),""),"")</f>
        <v/>
      </c>
    </row>
    <row r="352" spans="14:14" ht="17.25" hidden="1" customHeight="1" x14ac:dyDescent="0.3">
      <c r="N352" s="87" t="str">
        <f>IF(AND($C352&lt;&gt;"",$D352&lt;&gt;"",$E352&lt;&gt;""),IF(COUNTIFS(TileTable[Section],$C352,TileTable[Level],$D352,TileTable[Item_Name],$E352)&gt;0,SUMIFS(TileTable[Olsen_Cost],TileTable[Section],$C352,TileTable[Level],$D352,TileTable[Item_Name],$E352),""),"")</f>
        <v/>
      </c>
    </row>
    <row r="353" spans="14:14" ht="17.25" hidden="1" customHeight="1" x14ac:dyDescent="0.3">
      <c r="N353" s="87" t="str">
        <f>IF(AND($C353&lt;&gt;"",$D353&lt;&gt;"",$E353&lt;&gt;""),IF(COUNTIFS(TileTable[Section],$C353,TileTable[Level],$D353,TileTable[Item_Name],$E353)&gt;0,SUMIFS(TileTable[Olsen_Cost],TileTable[Section],$C353,TileTable[Level],$D353,TileTable[Item_Name],$E353),""),"")</f>
        <v/>
      </c>
    </row>
    <row r="354" spans="14:14" ht="17.25" hidden="1" customHeight="1" x14ac:dyDescent="0.3">
      <c r="N354" s="87" t="str">
        <f>IF(AND($C354&lt;&gt;"",$D354&lt;&gt;"",$E354&lt;&gt;""),IF(COUNTIFS(TileTable[Section],$C354,TileTable[Level],$D354,TileTable[Item_Name],$E354)&gt;0,SUMIFS(TileTable[Olsen_Cost],TileTable[Section],$C354,TileTable[Level],$D354,TileTable[Item_Name],$E354),""),"")</f>
        <v/>
      </c>
    </row>
    <row r="355" spans="14:14" ht="17.25" hidden="1" customHeight="1" x14ac:dyDescent="0.3">
      <c r="N355" s="87" t="str">
        <f>IF(AND($C355&lt;&gt;"",$D355&lt;&gt;"",$E355&lt;&gt;""),IF(COUNTIFS(TileTable[Section],$C355,TileTable[Level],$D355,TileTable[Item_Name],$E355)&gt;0,SUMIFS(TileTable[Olsen_Cost],TileTable[Section],$C355,TileTable[Level],$D355,TileTable[Item_Name],$E355),""),"")</f>
        <v/>
      </c>
    </row>
    <row r="356" spans="14:14" ht="17.25" hidden="1" customHeight="1" x14ac:dyDescent="0.3">
      <c r="N356" s="87" t="str">
        <f>IF(AND($C356&lt;&gt;"",$D356&lt;&gt;"",$E356&lt;&gt;""),IF(COUNTIFS(TileTable[Section],$C356,TileTable[Level],$D356,TileTable[Item_Name],$E356)&gt;0,SUMIFS(TileTable[Olsen_Cost],TileTable[Section],$C356,TileTable[Level],$D356,TileTable[Item_Name],$E356),""),"")</f>
        <v/>
      </c>
    </row>
    <row r="357" spans="14:14" ht="17.25" hidden="1" customHeight="1" x14ac:dyDescent="0.3">
      <c r="N357" s="87" t="str">
        <f>IF(AND($C357&lt;&gt;"",$D357&lt;&gt;"",$E357&lt;&gt;""),IF(COUNTIFS(TileTable[Section],$C357,TileTable[Level],$D357,TileTable[Item_Name],$E357)&gt;0,SUMIFS(TileTable[Olsen_Cost],TileTable[Section],$C357,TileTable[Level],$D357,TileTable[Item_Name],$E357),""),"")</f>
        <v/>
      </c>
    </row>
    <row r="358" spans="14:14" ht="17.25" hidden="1" customHeight="1" x14ac:dyDescent="0.3">
      <c r="N358" s="87" t="str">
        <f>IF(AND($C358&lt;&gt;"",$D358&lt;&gt;"",$E358&lt;&gt;""),IF(COUNTIFS(TileTable[Section],$C358,TileTable[Level],$D358,TileTable[Item_Name],$E358)&gt;0,SUMIFS(TileTable[Olsen_Cost],TileTable[Section],$C358,TileTable[Level],$D358,TileTable[Item_Name],$E358),""),"")</f>
        <v/>
      </c>
    </row>
    <row r="359" spans="14:14" ht="17.25" hidden="1" customHeight="1" x14ac:dyDescent="0.3">
      <c r="N359" s="87" t="str">
        <f>IF(AND($C359&lt;&gt;"",$D359&lt;&gt;"",$E359&lt;&gt;""),IF(COUNTIFS(TileTable[Section],$C359,TileTable[Level],$D359,TileTable[Item_Name],$E359)&gt;0,SUMIFS(TileTable[Olsen_Cost],TileTable[Section],$C359,TileTable[Level],$D359,TileTable[Item_Name],$E359),""),"")</f>
        <v/>
      </c>
    </row>
    <row r="360" spans="14:14" ht="17.25" hidden="1" customHeight="1" x14ac:dyDescent="0.3">
      <c r="N360" s="87" t="str">
        <f>IF(AND($C360&lt;&gt;"",$D360&lt;&gt;"",$E360&lt;&gt;""),IF(COUNTIFS(TileTable[Section],$C360,TileTable[Level],$D360,TileTable[Item_Name],$E360)&gt;0,SUMIFS(TileTable[Olsen_Cost],TileTable[Section],$C360,TileTable[Level],$D360,TileTable[Item_Name],$E360),""),"")</f>
        <v/>
      </c>
    </row>
    <row r="361" spans="14:14" ht="17.25" hidden="1" customHeight="1" x14ac:dyDescent="0.3">
      <c r="N361" s="87" t="str">
        <f>IF(AND($C361&lt;&gt;"",$D361&lt;&gt;"",$E361&lt;&gt;""),IF(COUNTIFS(TileTable[Section],$C361,TileTable[Level],$D361,TileTable[Item_Name],$E361)&gt;0,SUMIFS(TileTable[Olsen_Cost],TileTable[Section],$C361,TileTable[Level],$D361,TileTable[Item_Name],$E361),""),"")</f>
        <v/>
      </c>
    </row>
    <row r="362" spans="14:14" ht="17.25" hidden="1" customHeight="1" x14ac:dyDescent="0.3">
      <c r="N362" s="87" t="str">
        <f>IF(AND($C362&lt;&gt;"",$D362&lt;&gt;"",$E362&lt;&gt;""),IF(COUNTIFS(TileTable[Section],$C362,TileTable[Level],$D362,TileTable[Item_Name],$E362)&gt;0,SUMIFS(TileTable[Olsen_Cost],TileTable[Section],$C362,TileTable[Level],$D362,TileTable[Item_Name],$E362),""),"")</f>
        <v/>
      </c>
    </row>
    <row r="363" spans="14:14" ht="17.25" hidden="1" customHeight="1" x14ac:dyDescent="0.3">
      <c r="N363" s="87" t="str">
        <f>IF(AND($C363&lt;&gt;"",$D363&lt;&gt;"",$E363&lt;&gt;""),IF(COUNTIFS(TileTable[Section],$C363,TileTable[Level],$D363,TileTable[Item_Name],$E363)&gt;0,SUMIFS(TileTable[Olsen_Cost],TileTable[Section],$C363,TileTable[Level],$D363,TileTable[Item_Name],$E363),""),"")</f>
        <v/>
      </c>
    </row>
    <row r="364" spans="14:14" ht="17.25" hidden="1" customHeight="1" x14ac:dyDescent="0.3">
      <c r="N364" s="87" t="str">
        <f>IF(AND($C364&lt;&gt;"",$D364&lt;&gt;"",$E364&lt;&gt;""),IF(COUNTIFS(TileTable[Section],$C364,TileTable[Level],$D364,TileTable[Item_Name],$E364)&gt;0,SUMIFS(TileTable[Olsen_Cost],TileTable[Section],$C364,TileTable[Level],$D364,TileTable[Item_Name],$E364),""),"")</f>
        <v/>
      </c>
    </row>
    <row r="365" spans="14:14" ht="17.25" hidden="1" customHeight="1" x14ac:dyDescent="0.3">
      <c r="N365" s="87" t="str">
        <f>IF(AND($C365&lt;&gt;"",$D365&lt;&gt;"",$E365&lt;&gt;""),IF(COUNTIFS(TileTable[Section],$C365,TileTable[Level],$D365,TileTable[Item_Name],$E365)&gt;0,SUMIFS(TileTable[Olsen_Cost],TileTable[Section],$C365,TileTable[Level],$D365,TileTable[Item_Name],$E365),""),"")</f>
        <v/>
      </c>
    </row>
    <row r="366" spans="14:14" ht="17.25" hidden="1" customHeight="1" x14ac:dyDescent="0.3">
      <c r="N366" s="87" t="str">
        <f>IF(AND($C366&lt;&gt;"",$D366&lt;&gt;"",$E366&lt;&gt;""),IF(COUNTIFS(TileTable[Section],$C366,TileTable[Level],$D366,TileTable[Item_Name],$E366)&gt;0,SUMIFS(TileTable[Olsen_Cost],TileTable[Section],$C366,TileTable[Level],$D366,TileTable[Item_Name],$E366),""),"")</f>
        <v/>
      </c>
    </row>
    <row r="367" spans="14:14" ht="17.25" hidden="1" customHeight="1" x14ac:dyDescent="0.3">
      <c r="N367" s="87" t="str">
        <f>IF(AND($C367&lt;&gt;"",$D367&lt;&gt;"",$E367&lt;&gt;""),IF(COUNTIFS(TileTable[Section],$C367,TileTable[Level],$D367,TileTable[Item_Name],$E367)&gt;0,SUMIFS(TileTable[Olsen_Cost],TileTable[Section],$C367,TileTable[Level],$D367,TileTable[Item_Name],$E367),""),"")</f>
        <v/>
      </c>
    </row>
    <row r="368" spans="14:14" ht="17.25" hidden="1" customHeight="1" x14ac:dyDescent="0.3">
      <c r="N368" s="87" t="str">
        <f>IF(AND($C368&lt;&gt;"",$D368&lt;&gt;"",$E368&lt;&gt;""),IF(COUNTIFS(TileTable[Section],$C368,TileTable[Level],$D368,TileTable[Item_Name],$E368)&gt;0,SUMIFS(TileTable[Olsen_Cost],TileTable[Section],$C368,TileTable[Level],$D368,TileTable[Item_Name],$E368),""),"")</f>
        <v/>
      </c>
    </row>
    <row r="369" spans="14:14" ht="17.25" hidden="1" customHeight="1" x14ac:dyDescent="0.3">
      <c r="N369" s="87" t="str">
        <f>IF(AND($C369&lt;&gt;"",$D369&lt;&gt;"",$E369&lt;&gt;""),IF(COUNTIFS(TileTable[Section],$C369,TileTable[Level],$D369,TileTable[Item_Name],$E369)&gt;0,SUMIFS(TileTable[Olsen_Cost],TileTable[Section],$C369,TileTable[Level],$D369,TileTable[Item_Name],$E369),""),"")</f>
        <v/>
      </c>
    </row>
    <row r="370" spans="14:14" ht="17.25" hidden="1" customHeight="1" x14ac:dyDescent="0.3">
      <c r="N370" s="87" t="str">
        <f>IF(AND($C370&lt;&gt;"",$D370&lt;&gt;"",$E370&lt;&gt;""),IF(COUNTIFS(TileTable[Section],$C370,TileTable[Level],$D370,TileTable[Item_Name],$E370)&gt;0,SUMIFS(TileTable[Olsen_Cost],TileTable[Section],$C370,TileTable[Level],$D370,TileTable[Item_Name],$E370),""),"")</f>
        <v/>
      </c>
    </row>
    <row r="371" spans="14:14" ht="17.25" hidden="1" customHeight="1" x14ac:dyDescent="0.3">
      <c r="N371" s="87" t="str">
        <f>IF(AND($C371&lt;&gt;"",$D371&lt;&gt;"",$E371&lt;&gt;""),IF(COUNTIFS(TileTable[Section],$C371,TileTable[Level],$D371,TileTable[Item_Name],$E371)&gt;0,SUMIFS(TileTable[Olsen_Cost],TileTable[Section],$C371,TileTable[Level],$D371,TileTable[Item_Name],$E371),""),"")</f>
        <v/>
      </c>
    </row>
    <row r="372" spans="14:14" ht="17.25" hidden="1" customHeight="1" x14ac:dyDescent="0.3">
      <c r="N372" s="87" t="str">
        <f>IF(AND($C372&lt;&gt;"",$D372&lt;&gt;"",$E372&lt;&gt;""),IF(COUNTIFS(TileTable[Section],$C372,TileTable[Level],$D372,TileTable[Item_Name],$E372)&gt;0,SUMIFS(TileTable[Olsen_Cost],TileTable[Section],$C372,TileTable[Level],$D372,TileTable[Item_Name],$E372),""),"")</f>
        <v/>
      </c>
    </row>
    <row r="373" spans="14:14" ht="17.25" hidden="1" customHeight="1" x14ac:dyDescent="0.3">
      <c r="N373" s="87" t="str">
        <f>IF(AND($C373&lt;&gt;"",$D373&lt;&gt;"",$E373&lt;&gt;""),IF(COUNTIFS(TileTable[Section],$C373,TileTable[Level],$D373,TileTable[Item_Name],$E373)&gt;0,SUMIFS(TileTable[Olsen_Cost],TileTable[Section],$C373,TileTable[Level],$D373,TileTable[Item_Name],$E373),""),"")</f>
        <v/>
      </c>
    </row>
    <row r="374" spans="14:14" ht="17.25" hidden="1" customHeight="1" x14ac:dyDescent="0.3">
      <c r="N374" s="87" t="str">
        <f>IF(AND($C374&lt;&gt;"",$D374&lt;&gt;"",$E374&lt;&gt;""),IF(COUNTIFS(TileTable[Section],$C374,TileTable[Level],$D374,TileTable[Item_Name],$E374)&gt;0,SUMIFS(TileTable[Olsen_Cost],TileTable[Section],$C374,TileTable[Level],$D374,TileTable[Item_Name],$E374),""),"")</f>
        <v/>
      </c>
    </row>
    <row r="375" spans="14:14" ht="17.25" hidden="1" customHeight="1" x14ac:dyDescent="0.3">
      <c r="N375" s="87" t="str">
        <f>IF(AND($C375&lt;&gt;"",$D375&lt;&gt;"",$E375&lt;&gt;""),IF(COUNTIFS(TileTable[Section],$C375,TileTable[Level],$D375,TileTable[Item_Name],$E375)&gt;0,SUMIFS(TileTable[Olsen_Cost],TileTable[Section],$C375,TileTable[Level],$D375,TileTable[Item_Name],$E375),""),"")</f>
        <v/>
      </c>
    </row>
    <row r="376" spans="14:14" ht="17.25" hidden="1" customHeight="1" x14ac:dyDescent="0.3">
      <c r="N376" s="87" t="str">
        <f>IF(AND($C376&lt;&gt;"",$D376&lt;&gt;"",$E376&lt;&gt;""),IF(COUNTIFS(TileTable[Section],$C376,TileTable[Level],$D376,TileTable[Item_Name],$E376)&gt;0,SUMIFS(TileTable[Olsen_Cost],TileTable[Section],$C376,TileTable[Level],$D376,TileTable[Item_Name],$E376),""),"")</f>
        <v/>
      </c>
    </row>
    <row r="377" spans="14:14" ht="17.25" hidden="1" customHeight="1" x14ac:dyDescent="0.3">
      <c r="N377" s="87" t="str">
        <f>IF(AND($C377&lt;&gt;"",$D377&lt;&gt;"",$E377&lt;&gt;""),IF(COUNTIFS(TileTable[Section],$C377,TileTable[Level],$D377,TileTable[Item_Name],$E377)&gt;0,SUMIFS(TileTable[Olsen_Cost],TileTable[Section],$C377,TileTable[Level],$D377,TileTable[Item_Name],$E377),""),"")</f>
        <v/>
      </c>
    </row>
    <row r="378" spans="14:14" ht="17.25" hidden="1" customHeight="1" x14ac:dyDescent="0.3">
      <c r="N378" s="87" t="str">
        <f>IF(AND($C378&lt;&gt;"",$D378&lt;&gt;"",$E378&lt;&gt;""),IF(COUNTIFS(TileTable[Section],$C378,TileTable[Level],$D378,TileTable[Item_Name],$E378)&gt;0,SUMIFS(TileTable[Olsen_Cost],TileTable[Section],$C378,TileTable[Level],$D378,TileTable[Item_Name],$E378),""),"")</f>
        <v/>
      </c>
    </row>
    <row r="379" spans="14:14" ht="17.25" hidden="1" customHeight="1" x14ac:dyDescent="0.3">
      <c r="N379" s="87" t="str">
        <f>IF(AND($C379&lt;&gt;"",$D379&lt;&gt;"",$E379&lt;&gt;""),IF(COUNTIFS(TileTable[Section],$C379,TileTable[Level],$D379,TileTable[Item_Name],$E379)&gt;0,SUMIFS(TileTable[Olsen_Cost],TileTable[Section],$C379,TileTable[Level],$D379,TileTable[Item_Name],$E379),""),"")</f>
        <v/>
      </c>
    </row>
    <row r="380" spans="14:14" ht="17.25" hidden="1" customHeight="1" x14ac:dyDescent="0.3">
      <c r="N380" s="87" t="str">
        <f>IF(AND($C380&lt;&gt;"",$D380&lt;&gt;"",$E380&lt;&gt;""),IF(COUNTIFS(TileTable[Section],$C380,TileTable[Level],$D380,TileTable[Item_Name],$E380)&gt;0,SUMIFS(TileTable[Olsen_Cost],TileTable[Section],$C380,TileTable[Level],$D380,TileTable[Item_Name],$E380),""),"")</f>
        <v/>
      </c>
    </row>
    <row r="381" spans="14:14" ht="17.25" hidden="1" customHeight="1" x14ac:dyDescent="0.3">
      <c r="N381" s="87" t="str">
        <f>IF(AND($C381&lt;&gt;"",$D381&lt;&gt;"",$E381&lt;&gt;""),IF(COUNTIFS(TileTable[Section],$C381,TileTable[Level],$D381,TileTable[Item_Name],$E381)&gt;0,SUMIFS(TileTable[Olsen_Cost],TileTable[Section],$C381,TileTable[Level],$D381,TileTable[Item_Name],$E381),""),"")</f>
        <v/>
      </c>
    </row>
    <row r="382" spans="14:14" ht="17.25" hidden="1" customHeight="1" x14ac:dyDescent="0.3">
      <c r="N382" s="87" t="str">
        <f>IF(AND($C382&lt;&gt;"",$D382&lt;&gt;"",$E382&lt;&gt;""),IF(COUNTIFS(TileTable[Section],$C382,TileTable[Level],$D382,TileTable[Item_Name],$E382)&gt;0,SUMIFS(TileTable[Olsen_Cost],TileTable[Section],$C382,TileTable[Level],$D382,TileTable[Item_Name],$E382),""),"")</f>
        <v/>
      </c>
    </row>
    <row r="383" spans="14:14" ht="17.25" hidden="1" customHeight="1" x14ac:dyDescent="0.3">
      <c r="N383" s="87" t="str">
        <f>IF(AND($C383&lt;&gt;"",$D383&lt;&gt;"",$E383&lt;&gt;""),IF(COUNTIFS(TileTable[Section],$C383,TileTable[Level],$D383,TileTable[Item_Name],$E383)&gt;0,SUMIFS(TileTable[Olsen_Cost],TileTable[Section],$C383,TileTable[Level],$D383,TileTable[Item_Name],$E383),""),"")</f>
        <v/>
      </c>
    </row>
    <row r="384" spans="14:14" ht="17.25" hidden="1" customHeight="1" x14ac:dyDescent="0.3">
      <c r="N384" s="87" t="str">
        <f>IF(AND($C384&lt;&gt;"",$D384&lt;&gt;"",$E384&lt;&gt;""),IF(COUNTIFS(TileTable[Section],$C384,TileTable[Level],$D384,TileTable[Item_Name],$E384)&gt;0,SUMIFS(TileTable[Olsen_Cost],TileTable[Section],$C384,TileTable[Level],$D384,TileTable[Item_Name],$E384),""),"")</f>
        <v/>
      </c>
    </row>
    <row r="385" spans="14:14" ht="17.25" hidden="1" customHeight="1" x14ac:dyDescent="0.3">
      <c r="N385" s="87" t="str">
        <f>IF(AND($C385&lt;&gt;"",$D385&lt;&gt;"",$E385&lt;&gt;""),IF(COUNTIFS(TileTable[Section],$C385,TileTable[Level],$D385,TileTable[Item_Name],$E385)&gt;0,SUMIFS(TileTable[Olsen_Cost],TileTable[Section],$C385,TileTable[Level],$D385,TileTable[Item_Name],$E385),""),"")</f>
        <v/>
      </c>
    </row>
    <row r="386" spans="14:14" ht="17.25" hidden="1" customHeight="1" x14ac:dyDescent="0.3">
      <c r="N386" s="87" t="str">
        <f>IF(AND($C386&lt;&gt;"",$D386&lt;&gt;"",$E386&lt;&gt;""),IF(COUNTIFS(TileTable[Section],$C386,TileTable[Level],$D386,TileTable[Item_Name],$E386)&gt;0,SUMIFS(TileTable[Olsen_Cost],TileTable[Section],$C386,TileTable[Level],$D386,TileTable[Item_Name],$E386),""),"")</f>
        <v/>
      </c>
    </row>
    <row r="387" spans="14:14" ht="17.25" hidden="1" customHeight="1" x14ac:dyDescent="0.3">
      <c r="N387" s="87" t="str">
        <f>IF(AND($C387&lt;&gt;"",$D387&lt;&gt;"",$E387&lt;&gt;""),IF(COUNTIFS(TileTable[Section],$C387,TileTable[Level],$D387,TileTable[Item_Name],$E387)&gt;0,SUMIFS(TileTable[Olsen_Cost],TileTable[Section],$C387,TileTable[Level],$D387,TileTable[Item_Name],$E387),""),"")</f>
        <v/>
      </c>
    </row>
    <row r="388" spans="14:14" ht="17.25" hidden="1" customHeight="1" x14ac:dyDescent="0.3">
      <c r="N388" s="87" t="str">
        <f>IF(AND($C388&lt;&gt;"",$D388&lt;&gt;"",$E388&lt;&gt;""),IF(COUNTIFS(TileTable[Section],$C388,TileTable[Level],$D388,TileTable[Item_Name],$E388)&gt;0,SUMIFS(TileTable[Olsen_Cost],TileTable[Section],$C388,TileTable[Level],$D388,TileTable[Item_Name],$E388),""),"")</f>
        <v/>
      </c>
    </row>
    <row r="389" spans="14:14" ht="17.25" hidden="1" customHeight="1" x14ac:dyDescent="0.3">
      <c r="N389" s="87" t="str">
        <f>IF(AND($C389&lt;&gt;"",$D389&lt;&gt;"",$E389&lt;&gt;""),IF(COUNTIFS(TileTable[Section],$C389,TileTable[Level],$D389,TileTable[Item_Name],$E389)&gt;0,SUMIFS(TileTable[Olsen_Cost],TileTable[Section],$C389,TileTable[Level],$D389,TileTable[Item_Name],$E389),""),"")</f>
        <v/>
      </c>
    </row>
    <row r="390" spans="14:14" ht="17.25" hidden="1" customHeight="1" x14ac:dyDescent="0.3">
      <c r="N390" s="87" t="str">
        <f>IF(AND($C390&lt;&gt;"",$D390&lt;&gt;"",$E390&lt;&gt;""),IF(COUNTIFS(TileTable[Section],$C390,TileTable[Level],$D390,TileTable[Item_Name],$E390)&gt;0,SUMIFS(TileTable[Olsen_Cost],TileTable[Section],$C390,TileTable[Level],$D390,TileTable[Item_Name],$E390),""),"")</f>
        <v/>
      </c>
    </row>
    <row r="391" spans="14:14" ht="17.25" hidden="1" customHeight="1" x14ac:dyDescent="0.3">
      <c r="N391" s="87" t="str">
        <f>IF(AND($C391&lt;&gt;"",$D391&lt;&gt;"",$E391&lt;&gt;""),IF(COUNTIFS(TileTable[Section],$C391,TileTable[Level],$D391,TileTable[Item_Name],$E391)&gt;0,SUMIFS(TileTable[Olsen_Cost],TileTable[Section],$C391,TileTable[Level],$D391,TileTable[Item_Name],$E391),""),"")</f>
        <v/>
      </c>
    </row>
    <row r="392" spans="14:14" ht="17.25" hidden="1" customHeight="1" x14ac:dyDescent="0.3">
      <c r="N392" s="87" t="str">
        <f>IF(AND($C392&lt;&gt;"",$D392&lt;&gt;"",$E392&lt;&gt;""),IF(COUNTIFS(TileTable[Section],$C392,TileTable[Level],$D392,TileTable[Item_Name],$E392)&gt;0,SUMIFS(TileTable[Olsen_Cost],TileTable[Section],$C392,TileTable[Level],$D392,TileTable[Item_Name],$E392),""),"")</f>
        <v/>
      </c>
    </row>
    <row r="393" spans="14:14" ht="17.25" hidden="1" customHeight="1" x14ac:dyDescent="0.3">
      <c r="N393" s="87" t="str">
        <f>IF(AND($C393&lt;&gt;"",$D393&lt;&gt;"",$E393&lt;&gt;""),IF(COUNTIFS(TileTable[Section],$C393,TileTable[Level],$D393,TileTable[Item_Name],$E393)&gt;0,SUMIFS(TileTable[Olsen_Cost],TileTable[Section],$C393,TileTable[Level],$D393,TileTable[Item_Name],$E393),""),"")</f>
        <v/>
      </c>
    </row>
    <row r="394" spans="14:14" ht="17.25" hidden="1" customHeight="1" x14ac:dyDescent="0.3">
      <c r="N394" s="87" t="str">
        <f>IF(AND($C394&lt;&gt;"",$D394&lt;&gt;"",$E394&lt;&gt;""),IF(COUNTIFS(TileTable[Section],$C394,TileTable[Level],$D394,TileTable[Item_Name],$E394)&gt;0,SUMIFS(TileTable[Olsen_Cost],TileTable[Section],$C394,TileTable[Level],$D394,TileTable[Item_Name],$E394),""),"")</f>
        <v/>
      </c>
    </row>
    <row r="395" spans="14:14" ht="17.25" hidden="1" customHeight="1" x14ac:dyDescent="0.3">
      <c r="N395" s="87" t="str">
        <f>IF(AND($C395&lt;&gt;"",$D395&lt;&gt;"",$E395&lt;&gt;""),IF(COUNTIFS(TileTable[Section],$C395,TileTable[Level],$D395,TileTable[Item_Name],$E395)&gt;0,SUMIFS(TileTable[Olsen_Cost],TileTable[Section],$C395,TileTable[Level],$D395,TileTable[Item_Name],$E395),""),"")</f>
        <v/>
      </c>
    </row>
    <row r="396" spans="14:14" ht="17.25" hidden="1" customHeight="1" x14ac:dyDescent="0.3">
      <c r="N396" s="87" t="str">
        <f>IF(AND($C396&lt;&gt;"",$D396&lt;&gt;"",$E396&lt;&gt;""),IF(COUNTIFS(TileTable[Section],$C396,TileTable[Level],$D396,TileTable[Item_Name],$E396)&gt;0,SUMIFS(TileTable[Olsen_Cost],TileTable[Section],$C396,TileTable[Level],$D396,TileTable[Item_Name],$E396),""),"")</f>
        <v/>
      </c>
    </row>
    <row r="397" spans="14:14" ht="17.25" hidden="1" customHeight="1" x14ac:dyDescent="0.3">
      <c r="N397" s="87" t="str">
        <f>IF(AND($C397&lt;&gt;"",$D397&lt;&gt;"",$E397&lt;&gt;""),IF(COUNTIFS(TileTable[Section],$C397,TileTable[Level],$D397,TileTable[Item_Name],$E397)&gt;0,SUMIFS(TileTable[Olsen_Cost],TileTable[Section],$C397,TileTable[Level],$D397,TileTable[Item_Name],$E397),""),"")</f>
        <v/>
      </c>
    </row>
    <row r="398" spans="14:14" ht="17.25" hidden="1" customHeight="1" x14ac:dyDescent="0.3">
      <c r="N398" s="87" t="str">
        <f>IF(AND($C398&lt;&gt;"",$D398&lt;&gt;"",$E398&lt;&gt;""),IF(COUNTIFS(TileTable[Section],$C398,TileTable[Level],$D398,TileTable[Item_Name],$E398)&gt;0,SUMIFS(TileTable[Olsen_Cost],TileTable[Section],$C398,TileTable[Level],$D398,TileTable[Item_Name],$E398),""),"")</f>
        <v/>
      </c>
    </row>
    <row r="399" spans="14:14" ht="17.25" hidden="1" customHeight="1" x14ac:dyDescent="0.3">
      <c r="N399" s="87" t="str">
        <f>IF(AND($C399&lt;&gt;"",$D399&lt;&gt;"",$E399&lt;&gt;""),IF(COUNTIFS(TileTable[Section],$C399,TileTable[Level],$D399,TileTable[Item_Name],$E399)&gt;0,SUMIFS(TileTable[Olsen_Cost],TileTable[Section],$C399,TileTable[Level],$D399,TileTable[Item_Name],$E399),""),"")</f>
        <v/>
      </c>
    </row>
    <row r="400" spans="14:14" ht="17.25" customHeight="1" x14ac:dyDescent="0.3">
      <c r="N400" s="87" t="str">
        <f>IF(AND($C400&lt;&gt;"",$D400&lt;&gt;"",$E400&lt;&gt;""),IF(COUNTIFS(TileTable[Section],$C400,TileTable[Level],$D400,TileTable[Item_Name],$E400)&gt;0,SUMIFS(TileTable[Olsen_Cost],TileTable[Section],$C400,TileTable[Level],$D400,TileTable[Item_Name],$E400),""),"")</f>
        <v/>
      </c>
    </row>
    <row r="401" spans="2:19" ht="28.5" x14ac:dyDescent="0.45">
      <c r="B401" s="376" t="s">
        <v>705</v>
      </c>
      <c r="C401" s="376"/>
      <c r="D401" s="376"/>
      <c r="E401" s="376"/>
      <c r="F401" s="376"/>
      <c r="G401" s="376"/>
      <c r="H401" s="376"/>
      <c r="I401" s="376"/>
      <c r="J401" s="376"/>
      <c r="K401" s="376"/>
      <c r="L401" s="376"/>
      <c r="M401" s="376"/>
      <c r="N401" s="376"/>
      <c r="O401" s="376"/>
      <c r="P401" s="376"/>
      <c r="Q401" s="376"/>
      <c r="R401" s="376"/>
      <c r="S401" s="376"/>
    </row>
    <row r="402" spans="2:19" x14ac:dyDescent="0.3">
      <c r="B402" s="392" t="s">
        <v>27</v>
      </c>
      <c r="C402" s="392"/>
      <c r="D402" s="392"/>
      <c r="E402" s="392"/>
      <c r="F402" s="392"/>
      <c r="G402" s="392"/>
      <c r="H402" s="392"/>
      <c r="I402" s="393" t="s">
        <v>28</v>
      </c>
      <c r="J402" s="393"/>
      <c r="K402" s="393"/>
      <c r="L402" s="393"/>
      <c r="M402" s="393"/>
      <c r="N402" s="394" t="s">
        <v>29</v>
      </c>
      <c r="O402" s="394"/>
      <c r="P402" s="394"/>
      <c r="Q402" s="394"/>
      <c r="R402" s="394"/>
      <c r="S402" s="394"/>
    </row>
    <row r="403" spans="2:19" x14ac:dyDescent="0.3">
      <c r="B403" s="73" t="s">
        <v>30</v>
      </c>
      <c r="C403" s="73" t="s">
        <v>2</v>
      </c>
      <c r="D403" s="73" t="s">
        <v>6</v>
      </c>
      <c r="E403" s="73" t="s">
        <v>7</v>
      </c>
      <c r="F403" s="73" t="s">
        <v>8</v>
      </c>
      <c r="G403" s="73" t="s">
        <v>31</v>
      </c>
      <c r="H403" s="73" t="s">
        <v>32</v>
      </c>
      <c r="I403" s="73" t="s">
        <v>33</v>
      </c>
      <c r="J403" s="73" t="s">
        <v>6</v>
      </c>
      <c r="K403" s="73" t="s">
        <v>2</v>
      </c>
      <c r="L403" s="350"/>
      <c r="M403" s="73" t="s">
        <v>34</v>
      </c>
      <c r="N403" s="73" t="s">
        <v>35</v>
      </c>
      <c r="O403" s="73" t="s">
        <v>2</v>
      </c>
      <c r="P403" s="73" t="s">
        <v>36</v>
      </c>
      <c r="Q403" s="73" t="s">
        <v>33</v>
      </c>
      <c r="R403" s="73" t="s">
        <v>37</v>
      </c>
      <c r="S403" s="73" t="s">
        <v>33</v>
      </c>
    </row>
    <row r="404" spans="2:19" x14ac:dyDescent="0.3">
      <c r="B404" s="44" t="s">
        <v>15</v>
      </c>
      <c r="C404" s="44" t="s">
        <v>16</v>
      </c>
      <c r="D404" s="44" t="s">
        <v>38</v>
      </c>
      <c r="E404" s="44" t="s">
        <v>39</v>
      </c>
      <c r="F404" s="44" t="s">
        <v>40</v>
      </c>
      <c r="G404" s="44" t="s">
        <v>41</v>
      </c>
      <c r="H404" s="44" t="s">
        <v>42</v>
      </c>
      <c r="I404" s="44" t="s">
        <v>43</v>
      </c>
      <c r="J404" s="44" t="s">
        <v>38</v>
      </c>
      <c r="K404" s="44" t="s">
        <v>44</v>
      </c>
      <c r="M404" s="44" t="s">
        <v>45</v>
      </c>
      <c r="N404" s="44" t="s">
        <v>15</v>
      </c>
      <c r="O404" s="44" t="s">
        <v>46</v>
      </c>
      <c r="P404" s="44" t="s">
        <v>47</v>
      </c>
      <c r="Q404" s="44" t="s">
        <v>48</v>
      </c>
      <c r="R404" s="44" t="s">
        <v>38</v>
      </c>
      <c r="S404" s="44" t="s">
        <v>49</v>
      </c>
    </row>
    <row r="405" spans="2:19" x14ac:dyDescent="0.3">
      <c r="B405" s="44" t="s">
        <v>50</v>
      </c>
      <c r="C405" s="44" t="s">
        <v>20</v>
      </c>
      <c r="D405" s="44" t="s">
        <v>51</v>
      </c>
      <c r="E405" s="44" t="s">
        <v>52</v>
      </c>
      <c r="F405" s="44" t="s">
        <v>53</v>
      </c>
      <c r="G405" s="44" t="s">
        <v>54</v>
      </c>
      <c r="H405" s="44" t="s">
        <v>55</v>
      </c>
      <c r="I405" s="44" t="s">
        <v>56</v>
      </c>
      <c r="J405" s="44" t="s">
        <v>51</v>
      </c>
      <c r="K405" s="44" t="s">
        <v>57</v>
      </c>
      <c r="M405" s="44" t="s">
        <v>44</v>
      </c>
      <c r="N405" s="44" t="s">
        <v>50</v>
      </c>
      <c r="O405" s="44" t="s">
        <v>58</v>
      </c>
      <c r="P405" s="44" t="s">
        <v>59</v>
      </c>
      <c r="Q405" s="44" t="s">
        <v>60</v>
      </c>
      <c r="R405" s="44" t="s">
        <v>61</v>
      </c>
      <c r="S405" s="44" t="s">
        <v>62</v>
      </c>
    </row>
    <row r="406" spans="2:19" x14ac:dyDescent="0.3">
      <c r="B406" s="44" t="s">
        <v>63</v>
      </c>
      <c r="C406" s="44" t="s">
        <v>64</v>
      </c>
      <c r="D406" s="44" t="s">
        <v>65</v>
      </c>
      <c r="E406" s="44" t="s">
        <v>51</v>
      </c>
      <c r="F406" s="44" t="s">
        <v>66</v>
      </c>
      <c r="G406" s="44" t="s">
        <v>67</v>
      </c>
      <c r="I406" s="44" t="s">
        <v>68</v>
      </c>
      <c r="J406" s="44" t="s">
        <v>69</v>
      </c>
      <c r="K406" s="44" t="s">
        <v>70</v>
      </c>
      <c r="M406" s="44" t="s">
        <v>71</v>
      </c>
      <c r="N406" s="44" t="s">
        <v>63</v>
      </c>
      <c r="O406" s="44" t="s">
        <v>72</v>
      </c>
      <c r="P406" s="44" t="s">
        <v>73</v>
      </c>
      <c r="Q406" s="44" t="s">
        <v>74</v>
      </c>
      <c r="R406" s="44" t="s">
        <v>75</v>
      </c>
      <c r="S406" s="44" t="s">
        <v>76</v>
      </c>
    </row>
    <row r="407" spans="2:19" x14ac:dyDescent="0.3">
      <c r="B407" s="44" t="s">
        <v>77</v>
      </c>
      <c r="C407" s="44" t="s">
        <v>78</v>
      </c>
      <c r="D407" s="44" t="s">
        <v>69</v>
      </c>
      <c r="F407" s="44" t="s">
        <v>79</v>
      </c>
      <c r="I407" s="44" t="s">
        <v>80</v>
      </c>
      <c r="J407" s="44" t="s">
        <v>81</v>
      </c>
      <c r="K407" s="44" t="s">
        <v>82</v>
      </c>
      <c r="M407" s="44" t="s">
        <v>83</v>
      </c>
      <c r="N407" s="44" t="s">
        <v>77</v>
      </c>
      <c r="P407" s="44" t="s">
        <v>84</v>
      </c>
      <c r="Q407" s="44" t="s">
        <v>85</v>
      </c>
      <c r="R407" s="44" t="s">
        <v>51</v>
      </c>
    </row>
    <row r="408" spans="2:19" x14ac:dyDescent="0.3">
      <c r="B408" s="44" t="s">
        <v>86</v>
      </c>
      <c r="C408" s="44" t="s">
        <v>87</v>
      </c>
      <c r="D408" s="44" t="s">
        <v>88</v>
      </c>
      <c r="F408" s="44" t="s">
        <v>89</v>
      </c>
      <c r="I408" s="44" t="s">
        <v>90</v>
      </c>
      <c r="J408" s="44" t="s">
        <v>91</v>
      </c>
      <c r="K408" s="44" t="s">
        <v>92</v>
      </c>
      <c r="N408" s="44" t="s">
        <v>86</v>
      </c>
      <c r="Q408" s="44" t="s">
        <v>93</v>
      </c>
      <c r="R408" s="44" t="s">
        <v>94</v>
      </c>
    </row>
    <row r="409" spans="2:19" x14ac:dyDescent="0.3">
      <c r="B409" s="44" t="s">
        <v>95</v>
      </c>
      <c r="C409" s="44" t="s">
        <v>96</v>
      </c>
      <c r="D409" s="44" t="s">
        <v>97</v>
      </c>
      <c r="F409" s="44" t="s">
        <v>98</v>
      </c>
      <c r="I409" s="44" t="s">
        <v>99</v>
      </c>
      <c r="J409" s="44" t="s">
        <v>100</v>
      </c>
      <c r="K409" s="44" t="s">
        <v>101</v>
      </c>
      <c r="N409" s="44" t="s">
        <v>95</v>
      </c>
      <c r="Q409" s="44" t="s">
        <v>102</v>
      </c>
      <c r="R409" s="44" t="s">
        <v>69</v>
      </c>
    </row>
    <row r="410" spans="2:19" x14ac:dyDescent="0.3">
      <c r="B410" s="44" t="s">
        <v>103</v>
      </c>
      <c r="C410" s="44" t="s">
        <v>109</v>
      </c>
      <c r="D410" s="44" t="s">
        <v>104</v>
      </c>
      <c r="F410" s="44" t="s">
        <v>105</v>
      </c>
      <c r="I410" s="44" t="s">
        <v>106</v>
      </c>
      <c r="J410" s="44" t="s">
        <v>107</v>
      </c>
      <c r="N410" s="44" t="s">
        <v>103</v>
      </c>
      <c r="Q410" s="44" t="s">
        <v>108</v>
      </c>
      <c r="R410" s="44" t="s">
        <v>81</v>
      </c>
    </row>
    <row r="411" spans="2:19" x14ac:dyDescent="0.3">
      <c r="B411" s="44" t="s">
        <v>21</v>
      </c>
      <c r="C411" s="44" t="s">
        <v>115</v>
      </c>
      <c r="F411" s="44" t="s">
        <v>110</v>
      </c>
      <c r="I411" s="44" t="s">
        <v>111</v>
      </c>
      <c r="J411" s="44" t="s">
        <v>112</v>
      </c>
      <c r="N411" s="44" t="s">
        <v>21</v>
      </c>
      <c r="Q411" s="44" t="s">
        <v>113</v>
      </c>
      <c r="R411" s="44" t="s">
        <v>91</v>
      </c>
    </row>
    <row r="412" spans="2:19" x14ac:dyDescent="0.3">
      <c r="B412" s="44" t="s">
        <v>114</v>
      </c>
      <c r="C412" s="44" t="s">
        <v>121</v>
      </c>
      <c r="F412" s="44" t="s">
        <v>116</v>
      </c>
      <c r="I412" s="44" t="s">
        <v>117</v>
      </c>
      <c r="J412" s="44" t="s">
        <v>118</v>
      </c>
      <c r="N412" s="44" t="s">
        <v>114</v>
      </c>
      <c r="R412" s="44" t="s">
        <v>119</v>
      </c>
    </row>
    <row r="413" spans="2:19" x14ac:dyDescent="0.3">
      <c r="B413" s="44" t="s">
        <v>120</v>
      </c>
      <c r="C413" s="44" t="s">
        <v>126</v>
      </c>
      <c r="F413" s="44" t="s">
        <v>122</v>
      </c>
      <c r="I413" s="44" t="s">
        <v>123</v>
      </c>
      <c r="J413" s="44" t="s">
        <v>124</v>
      </c>
      <c r="M413" s="74" t="s">
        <v>125</v>
      </c>
      <c r="N413" s="44" t="s">
        <v>120</v>
      </c>
      <c r="R413" s="44" t="s">
        <v>112</v>
      </c>
    </row>
    <row r="414" spans="2:19" x14ac:dyDescent="0.3">
      <c r="B414" s="44" t="s">
        <v>22</v>
      </c>
      <c r="C414" s="44" t="s">
        <v>131</v>
      </c>
      <c r="F414" s="44" t="s">
        <v>127</v>
      </c>
      <c r="I414" s="44" t="s">
        <v>128</v>
      </c>
      <c r="J414" s="44" t="s">
        <v>129</v>
      </c>
      <c r="M414" s="44" t="s">
        <v>82</v>
      </c>
      <c r="N414" s="44" t="s">
        <v>22</v>
      </c>
      <c r="R414" s="44" t="s">
        <v>130</v>
      </c>
    </row>
    <row r="415" spans="2:19" x14ac:dyDescent="0.3">
      <c r="B415" s="44" t="s">
        <v>23</v>
      </c>
      <c r="C415" s="44" t="s">
        <v>136</v>
      </c>
      <c r="F415" s="44" t="s">
        <v>132</v>
      </c>
      <c r="I415" s="44" t="s">
        <v>23</v>
      </c>
      <c r="J415" s="44" t="s">
        <v>130</v>
      </c>
      <c r="M415" s="44" t="s">
        <v>133</v>
      </c>
      <c r="N415" s="44" t="s">
        <v>23</v>
      </c>
      <c r="R415" s="44" t="s">
        <v>134</v>
      </c>
    </row>
    <row r="416" spans="2:19" x14ac:dyDescent="0.3">
      <c r="B416" s="44" t="s">
        <v>135</v>
      </c>
      <c r="C416" s="44" t="s">
        <v>927</v>
      </c>
      <c r="F416" s="44" t="s">
        <v>137</v>
      </c>
      <c r="I416" s="44" t="s">
        <v>138</v>
      </c>
      <c r="J416" s="44" t="s">
        <v>134</v>
      </c>
      <c r="M416" s="44" t="s">
        <v>71</v>
      </c>
      <c r="N416" s="44" t="s">
        <v>139</v>
      </c>
      <c r="R416" s="44" t="s">
        <v>88</v>
      </c>
    </row>
    <row r="417" spans="2:14" x14ac:dyDescent="0.3">
      <c r="B417" s="44" t="s">
        <v>140</v>
      </c>
      <c r="C417" s="44" t="s">
        <v>927</v>
      </c>
      <c r="F417" s="44" t="s">
        <v>142</v>
      </c>
      <c r="I417" s="44" t="s">
        <v>143</v>
      </c>
      <c r="J417" s="44" t="s">
        <v>88</v>
      </c>
      <c r="N417" s="44" t="s">
        <v>140</v>
      </c>
    </row>
    <row r="418" spans="2:14" x14ac:dyDescent="0.3">
      <c r="B418" s="44" t="s">
        <v>144</v>
      </c>
      <c r="F418" s="44" t="s">
        <v>145</v>
      </c>
      <c r="I418" s="44" t="s">
        <v>146</v>
      </c>
      <c r="J418" s="44" t="s">
        <v>147</v>
      </c>
      <c r="N418" s="44" t="s">
        <v>144</v>
      </c>
    </row>
    <row r="419" spans="2:14" x14ac:dyDescent="0.3">
      <c r="B419" s="44" t="s">
        <v>148</v>
      </c>
      <c r="C419" s="74" t="s">
        <v>3</v>
      </c>
      <c r="D419" s="74" t="s">
        <v>149</v>
      </c>
      <c r="E419" s="74"/>
      <c r="F419" s="44" t="s">
        <v>150</v>
      </c>
      <c r="J419" s="44" t="s">
        <v>151</v>
      </c>
      <c r="M419" s="74" t="s">
        <v>34</v>
      </c>
      <c r="N419" s="44" t="s">
        <v>148</v>
      </c>
    </row>
    <row r="420" spans="2:14" x14ac:dyDescent="0.3">
      <c r="B420" s="44" t="s">
        <v>152</v>
      </c>
      <c r="C420" s="44" t="s">
        <v>153</v>
      </c>
      <c r="D420" s="44" t="s">
        <v>154</v>
      </c>
      <c r="F420" s="44" t="s">
        <v>155</v>
      </c>
      <c r="J420" s="44" t="s">
        <v>156</v>
      </c>
      <c r="M420" s="44" t="s">
        <v>157</v>
      </c>
      <c r="N420" s="44" t="s">
        <v>152</v>
      </c>
    </row>
    <row r="421" spans="2:14" x14ac:dyDescent="0.3">
      <c r="B421" s="44" t="s">
        <v>158</v>
      </c>
      <c r="C421" s="44" t="s">
        <v>17</v>
      </c>
      <c r="D421" s="44" t="s">
        <v>159</v>
      </c>
      <c r="F421" s="44" t="s">
        <v>160</v>
      </c>
      <c r="M421" s="44" t="s">
        <v>161</v>
      </c>
      <c r="N421" s="44" t="s">
        <v>158</v>
      </c>
    </row>
    <row r="422" spans="2:14" x14ac:dyDescent="0.3">
      <c r="B422" s="44" t="s">
        <v>162</v>
      </c>
      <c r="C422" s="44" t="s">
        <v>163</v>
      </c>
      <c r="D422" s="44" t="s">
        <v>164</v>
      </c>
      <c r="F422" s="44" t="s">
        <v>165</v>
      </c>
      <c r="M422" s="44" t="s">
        <v>166</v>
      </c>
      <c r="N422" s="44" t="s">
        <v>162</v>
      </c>
    </row>
    <row r="423" spans="2:14" x14ac:dyDescent="0.3">
      <c r="B423" s="44" t="s">
        <v>167</v>
      </c>
      <c r="C423" s="44" t="s">
        <v>19</v>
      </c>
      <c r="D423" s="44" t="s">
        <v>168</v>
      </c>
      <c r="F423" s="44" t="s">
        <v>169</v>
      </c>
      <c r="M423" s="44" t="s">
        <v>170</v>
      </c>
      <c r="N423" s="44" t="s">
        <v>167</v>
      </c>
    </row>
    <row r="424" spans="2:14" x14ac:dyDescent="0.3">
      <c r="B424" s="44" t="s">
        <v>171</v>
      </c>
      <c r="C424" s="44" t="s">
        <v>172</v>
      </c>
      <c r="D424" s="44" t="s">
        <v>173</v>
      </c>
      <c r="F424" s="44" t="s">
        <v>174</v>
      </c>
      <c r="M424" s="44" t="s">
        <v>175</v>
      </c>
      <c r="N424" s="44" t="s">
        <v>171</v>
      </c>
    </row>
    <row r="425" spans="2:14" x14ac:dyDescent="0.3">
      <c r="B425" s="44" t="s">
        <v>655</v>
      </c>
      <c r="C425" s="44" t="s">
        <v>176</v>
      </c>
      <c r="D425" s="44" t="s">
        <v>177</v>
      </c>
      <c r="F425" s="44" t="s">
        <v>178</v>
      </c>
      <c r="M425" s="44" t="s">
        <v>179</v>
      </c>
      <c r="N425" s="44" t="s">
        <v>25</v>
      </c>
    </row>
    <row r="426" spans="2:14" x14ac:dyDescent="0.3">
      <c r="B426" s="44" t="s">
        <v>656</v>
      </c>
      <c r="C426" s="44" t="s">
        <v>181</v>
      </c>
      <c r="D426" s="44" t="s">
        <v>182</v>
      </c>
      <c r="F426" s="44" t="s">
        <v>183</v>
      </c>
      <c r="M426" s="44" t="s">
        <v>184</v>
      </c>
      <c r="N426" s="44" t="s">
        <v>180</v>
      </c>
    </row>
    <row r="427" spans="2:14" x14ac:dyDescent="0.3">
      <c r="B427" s="44" t="s">
        <v>657</v>
      </c>
      <c r="C427" s="44" t="s">
        <v>186</v>
      </c>
      <c r="F427" s="44" t="s">
        <v>187</v>
      </c>
      <c r="M427" s="44" t="s">
        <v>188</v>
      </c>
      <c r="N427" s="44" t="s">
        <v>185</v>
      </c>
    </row>
    <row r="428" spans="2:14" x14ac:dyDescent="0.3">
      <c r="B428" s="44" t="s">
        <v>90</v>
      </c>
      <c r="C428" s="44" t="s">
        <v>190</v>
      </c>
      <c r="F428" s="44" t="s">
        <v>191</v>
      </c>
      <c r="N428" s="44" t="s">
        <v>189</v>
      </c>
    </row>
    <row r="429" spans="2:14" x14ac:dyDescent="0.3">
      <c r="B429" s="44" t="s">
        <v>659</v>
      </c>
      <c r="C429" s="44" t="s">
        <v>193</v>
      </c>
      <c r="F429" s="44" t="s">
        <v>194</v>
      </c>
      <c r="N429" s="44" t="s">
        <v>192</v>
      </c>
    </row>
    <row r="430" spans="2:14" x14ac:dyDescent="0.3">
      <c r="B430" s="44" t="s">
        <v>658</v>
      </c>
      <c r="C430" s="44" t="s">
        <v>196</v>
      </c>
      <c r="F430" s="44" t="s">
        <v>197</v>
      </c>
      <c r="N430" s="44" t="s">
        <v>195</v>
      </c>
    </row>
    <row r="431" spans="2:14" x14ac:dyDescent="0.3">
      <c r="B431" s="44" t="s">
        <v>661</v>
      </c>
      <c r="C431" s="44" t="s">
        <v>199</v>
      </c>
      <c r="F431" s="44" t="s">
        <v>200</v>
      </c>
      <c r="N431" s="44" t="s">
        <v>198</v>
      </c>
    </row>
    <row r="432" spans="2:14" x14ac:dyDescent="0.3">
      <c r="B432" s="44" t="s">
        <v>72</v>
      </c>
      <c r="C432" s="44" t="s">
        <v>202</v>
      </c>
      <c r="F432" s="44" t="s">
        <v>203</v>
      </c>
      <c r="N432" s="44" t="s">
        <v>201</v>
      </c>
    </row>
    <row r="433" spans="2:14" x14ac:dyDescent="0.3">
      <c r="B433" s="44" t="s">
        <v>46</v>
      </c>
      <c r="C433" s="44" t="s">
        <v>204</v>
      </c>
      <c r="F433" s="44" t="s">
        <v>205</v>
      </c>
      <c r="N433" s="44" t="s">
        <v>164</v>
      </c>
    </row>
    <row r="434" spans="2:14" x14ac:dyDescent="0.3">
      <c r="B434" s="44" t="s">
        <v>180</v>
      </c>
      <c r="C434" s="44" t="s">
        <v>207</v>
      </c>
      <c r="F434" s="44" t="s">
        <v>208</v>
      </c>
      <c r="N434" s="44" t="s">
        <v>206</v>
      </c>
    </row>
    <row r="435" spans="2:14" x14ac:dyDescent="0.3">
      <c r="B435" s="44" t="s">
        <v>654</v>
      </c>
      <c r="C435" s="44" t="s">
        <v>210</v>
      </c>
      <c r="F435" s="44" t="s">
        <v>211</v>
      </c>
      <c r="N435" s="44" t="s">
        <v>209</v>
      </c>
    </row>
    <row r="436" spans="2:14" x14ac:dyDescent="0.3">
      <c r="B436" s="44" t="s">
        <v>185</v>
      </c>
      <c r="F436" s="44" t="s">
        <v>213</v>
      </c>
      <c r="N436" s="44" t="s">
        <v>214</v>
      </c>
    </row>
    <row r="437" spans="2:14" x14ac:dyDescent="0.3">
      <c r="B437" s="44" t="s">
        <v>189</v>
      </c>
      <c r="C437" s="74" t="s">
        <v>5</v>
      </c>
      <c r="F437" s="44" t="s">
        <v>216</v>
      </c>
      <c r="N437" s="44" t="s">
        <v>138</v>
      </c>
    </row>
    <row r="438" spans="2:14" x14ac:dyDescent="0.3">
      <c r="B438" s="44" t="s">
        <v>192</v>
      </c>
      <c r="C438" s="44" t="s">
        <v>218</v>
      </c>
      <c r="F438" s="44" t="s">
        <v>219</v>
      </c>
      <c r="N438" s="44" t="s">
        <v>220</v>
      </c>
    </row>
    <row r="439" spans="2:14" x14ac:dyDescent="0.3">
      <c r="B439" s="44" t="s">
        <v>195</v>
      </c>
      <c r="C439" s="44" t="s">
        <v>222</v>
      </c>
      <c r="F439" s="44" t="s">
        <v>223</v>
      </c>
    </row>
    <row r="440" spans="2:14" x14ac:dyDescent="0.3">
      <c r="B440" s="44" t="s">
        <v>198</v>
      </c>
      <c r="F440" s="44" t="s">
        <v>225</v>
      </c>
    </row>
    <row r="441" spans="2:14" x14ac:dyDescent="0.3">
      <c r="B441" s="44" t="s">
        <v>201</v>
      </c>
      <c r="F441" s="44" t="s">
        <v>227</v>
      </c>
    </row>
    <row r="442" spans="2:14" x14ac:dyDescent="0.3">
      <c r="B442" s="44" t="s">
        <v>164</v>
      </c>
      <c r="F442" s="44" t="s">
        <v>229</v>
      </c>
    </row>
    <row r="443" spans="2:14" x14ac:dyDescent="0.3">
      <c r="B443" s="44" t="s">
        <v>206</v>
      </c>
      <c r="F443" s="44" t="s">
        <v>231</v>
      </c>
    </row>
    <row r="444" spans="2:14" x14ac:dyDescent="0.3">
      <c r="B444" s="44" t="s">
        <v>209</v>
      </c>
    </row>
    <row r="445" spans="2:14" x14ac:dyDescent="0.3">
      <c r="B445" s="44" t="s">
        <v>212</v>
      </c>
    </row>
    <row r="446" spans="2:14" x14ac:dyDescent="0.3">
      <c r="B446" s="44" t="s">
        <v>215</v>
      </c>
    </row>
    <row r="447" spans="2:14" x14ac:dyDescent="0.3">
      <c r="B447" s="44" t="s">
        <v>217</v>
      </c>
    </row>
    <row r="448" spans="2:14" x14ac:dyDescent="0.3">
      <c r="B448" s="44" t="s">
        <v>221</v>
      </c>
    </row>
    <row r="449" spans="2:2" x14ac:dyDescent="0.3">
      <c r="B449" s="44" t="s">
        <v>224</v>
      </c>
    </row>
    <row r="450" spans="2:2" x14ac:dyDescent="0.3">
      <c r="B450" s="44" t="s">
        <v>226</v>
      </c>
    </row>
    <row r="451" spans="2:2" x14ac:dyDescent="0.3">
      <c r="B451" s="44" t="s">
        <v>228</v>
      </c>
    </row>
    <row r="452" spans="2:2" x14ac:dyDescent="0.3">
      <c r="B452" s="44" t="s">
        <v>230</v>
      </c>
    </row>
    <row r="453" spans="2:2" x14ac:dyDescent="0.3">
      <c r="B453" s="44" t="s">
        <v>232</v>
      </c>
    </row>
    <row r="454" spans="2:2" x14ac:dyDescent="0.3">
      <c r="B454" s="44" t="s">
        <v>233</v>
      </c>
    </row>
    <row r="455" spans="2:2" x14ac:dyDescent="0.3">
      <c r="B455" s="44" t="s">
        <v>234</v>
      </c>
    </row>
    <row r="501" spans="2:27" ht="33.75" x14ac:dyDescent="0.5">
      <c r="B501" s="395" t="s">
        <v>694</v>
      </c>
      <c r="C501" s="395"/>
      <c r="D501" s="395"/>
      <c r="E501" s="395"/>
      <c r="F501" s="395"/>
      <c r="G501" s="395"/>
      <c r="H501" s="395"/>
      <c r="I501" s="395"/>
      <c r="M501" s="397" t="s">
        <v>700</v>
      </c>
      <c r="N501" s="397"/>
      <c r="O501" s="397"/>
      <c r="P501" s="397"/>
      <c r="Q501" s="397"/>
      <c r="R501" s="397"/>
    </row>
    <row r="502" spans="2:27" ht="26.25" x14ac:dyDescent="0.4">
      <c r="B502" s="396" t="s">
        <v>695</v>
      </c>
      <c r="C502" s="396"/>
      <c r="D502" s="396"/>
      <c r="E502" s="396"/>
      <c r="F502" s="396"/>
      <c r="G502" s="396"/>
      <c r="H502" s="396"/>
      <c r="I502" s="396"/>
      <c r="M502" s="398" t="s">
        <v>699</v>
      </c>
      <c r="N502" s="398"/>
      <c r="O502" s="398"/>
      <c r="P502" s="398"/>
      <c r="Q502" s="398"/>
      <c r="R502" s="398"/>
    </row>
    <row r="503" spans="2:27" ht="30" customHeight="1" x14ac:dyDescent="0.3">
      <c r="B503" s="75" t="s">
        <v>235</v>
      </c>
      <c r="C503" s="75" t="s">
        <v>236</v>
      </c>
      <c r="D503" s="75" t="s">
        <v>3</v>
      </c>
      <c r="E503" s="75" t="s">
        <v>237</v>
      </c>
      <c r="F503" s="75" t="s">
        <v>238</v>
      </c>
      <c r="G503" s="75" t="s">
        <v>239</v>
      </c>
      <c r="H503" s="75" t="s">
        <v>240</v>
      </c>
      <c r="I503" s="75" t="s">
        <v>241</v>
      </c>
      <c r="M503" s="385" t="s">
        <v>701</v>
      </c>
      <c r="N503" s="385"/>
      <c r="O503" s="385"/>
      <c r="P503" s="385"/>
      <c r="Q503" s="385"/>
      <c r="R503" s="385"/>
    </row>
    <row r="504" spans="2:27" ht="42.75" customHeight="1" x14ac:dyDescent="0.3">
      <c r="B504" s="76" t="s">
        <v>16</v>
      </c>
      <c r="C504" s="76" t="s">
        <v>242</v>
      </c>
      <c r="D504" s="76" t="s">
        <v>153</v>
      </c>
      <c r="E504" s="76" t="s">
        <v>243</v>
      </c>
      <c r="F504" s="77">
        <v>12.5</v>
      </c>
      <c r="G504" s="76" t="s">
        <v>18</v>
      </c>
      <c r="H504" s="78"/>
      <c r="I504" s="76"/>
      <c r="M504" s="113" t="s">
        <v>702</v>
      </c>
      <c r="N504" s="113"/>
      <c r="O504" s="113"/>
      <c r="P504" s="113"/>
      <c r="Q504" s="113"/>
      <c r="R504" s="113"/>
      <c r="S504" s="80"/>
      <c r="T504" s="80"/>
      <c r="U504" s="80"/>
      <c r="V504" s="80"/>
      <c r="W504" s="80"/>
      <c r="X504" s="80"/>
      <c r="Y504" s="80"/>
      <c r="Z504" s="333"/>
      <c r="AA504" s="80"/>
    </row>
    <row r="505" spans="2:27" ht="42.75" customHeight="1" x14ac:dyDescent="0.3">
      <c r="B505" s="76" t="s">
        <v>16</v>
      </c>
      <c r="C505" s="76" t="s">
        <v>244</v>
      </c>
      <c r="D505" s="76" t="s">
        <v>17</v>
      </c>
      <c r="E505" s="76" t="s">
        <v>243</v>
      </c>
      <c r="F505" s="77">
        <v>13.75</v>
      </c>
      <c r="G505" s="76" t="s">
        <v>18</v>
      </c>
      <c r="H505" s="78"/>
      <c r="I505" s="76"/>
      <c r="M505" s="113" t="s">
        <v>703</v>
      </c>
      <c r="N505" s="113"/>
      <c r="O505" s="113"/>
      <c r="P505" s="113"/>
      <c r="Q505" s="113"/>
      <c r="R505" s="113"/>
    </row>
    <row r="506" spans="2:27" ht="57" customHeight="1" x14ac:dyDescent="0.3">
      <c r="B506" s="76" t="s">
        <v>16</v>
      </c>
      <c r="C506" s="76" t="s">
        <v>245</v>
      </c>
      <c r="D506" s="76" t="s">
        <v>17</v>
      </c>
      <c r="E506" s="76" t="s">
        <v>243</v>
      </c>
      <c r="F506" s="77">
        <v>13.75</v>
      </c>
      <c r="G506" s="76" t="s">
        <v>18</v>
      </c>
      <c r="H506" s="78"/>
      <c r="I506" s="76"/>
      <c r="M506" s="369" t="s">
        <v>704</v>
      </c>
      <c r="N506" s="369"/>
      <c r="O506" s="369"/>
      <c r="P506" s="369"/>
      <c r="Q506" s="369"/>
      <c r="R506" s="369"/>
    </row>
    <row r="507" spans="2:27" ht="57" customHeight="1" x14ac:dyDescent="0.3">
      <c r="B507" s="76" t="s">
        <v>16</v>
      </c>
      <c r="C507" s="76" t="s">
        <v>246</v>
      </c>
      <c r="D507" s="76" t="s">
        <v>163</v>
      </c>
      <c r="E507" s="76" t="s">
        <v>243</v>
      </c>
      <c r="F507" s="77">
        <v>16.52</v>
      </c>
      <c r="G507" s="76" t="s">
        <v>18</v>
      </c>
      <c r="H507" s="78"/>
      <c r="I507" s="76"/>
      <c r="M507" s="113"/>
      <c r="N507" s="113"/>
      <c r="O507" s="113"/>
      <c r="P507" s="113"/>
      <c r="Q507" s="113"/>
      <c r="R507" s="113"/>
    </row>
    <row r="508" spans="2:27" ht="42.75" customHeight="1" x14ac:dyDescent="0.3">
      <c r="B508" s="76" t="s">
        <v>16</v>
      </c>
      <c r="C508" s="76" t="s">
        <v>247</v>
      </c>
      <c r="D508" s="76" t="s">
        <v>163</v>
      </c>
      <c r="E508" s="76" t="s">
        <v>243</v>
      </c>
      <c r="F508" s="77">
        <v>16.52</v>
      </c>
      <c r="G508" s="76" t="s">
        <v>18</v>
      </c>
      <c r="H508" s="78"/>
      <c r="I508" s="76"/>
      <c r="M508" s="113"/>
      <c r="N508" s="113"/>
      <c r="O508" s="113"/>
      <c r="P508" s="113"/>
      <c r="Q508" s="113"/>
      <c r="R508" s="113"/>
    </row>
    <row r="509" spans="2:27" ht="42.75" customHeight="1" x14ac:dyDescent="0.3">
      <c r="B509" s="76" t="s">
        <v>16</v>
      </c>
      <c r="C509" s="76" t="s">
        <v>248</v>
      </c>
      <c r="D509" s="76" t="s">
        <v>19</v>
      </c>
      <c r="E509" s="76" t="s">
        <v>243</v>
      </c>
      <c r="F509" s="77">
        <v>20.72</v>
      </c>
      <c r="G509" s="76" t="s">
        <v>18</v>
      </c>
      <c r="H509" s="78"/>
      <c r="I509" s="76"/>
      <c r="M509" s="368"/>
      <c r="N509" s="368"/>
      <c r="O509" s="368"/>
      <c r="P509" s="368"/>
      <c r="Q509" s="368"/>
      <c r="R509" s="368"/>
    </row>
    <row r="510" spans="2:27" ht="28.5" customHeight="1" x14ac:dyDescent="0.3">
      <c r="B510" s="76" t="s">
        <v>16</v>
      </c>
      <c r="C510" s="76" t="s">
        <v>249</v>
      </c>
      <c r="D510" s="76" t="s">
        <v>19</v>
      </c>
      <c r="E510" s="76" t="s">
        <v>243</v>
      </c>
      <c r="F510" s="77">
        <v>20.72</v>
      </c>
      <c r="G510" s="76" t="s">
        <v>18</v>
      </c>
      <c r="H510" s="78"/>
      <c r="I510" s="76"/>
    </row>
    <row r="511" spans="2:27" ht="28.5" customHeight="1" x14ac:dyDescent="0.3">
      <c r="B511" s="76" t="s">
        <v>16</v>
      </c>
      <c r="C511" s="76" t="s">
        <v>250</v>
      </c>
      <c r="D511" s="76" t="s">
        <v>19</v>
      </c>
      <c r="E511" s="76" t="s">
        <v>243</v>
      </c>
      <c r="F511" s="77">
        <v>20.72</v>
      </c>
      <c r="G511" s="76" t="s">
        <v>18</v>
      </c>
      <c r="H511" s="78"/>
      <c r="I511" s="76"/>
    </row>
    <row r="512" spans="2:27" ht="28.5" customHeight="1" x14ac:dyDescent="0.3">
      <c r="B512" s="76" t="s">
        <v>16</v>
      </c>
      <c r="C512" s="76" t="s">
        <v>251</v>
      </c>
      <c r="D512" s="76" t="s">
        <v>19</v>
      </c>
      <c r="E512" s="76" t="s">
        <v>243</v>
      </c>
      <c r="F512" s="77">
        <v>20.72</v>
      </c>
      <c r="G512" s="76" t="s">
        <v>18</v>
      </c>
      <c r="H512" s="78"/>
      <c r="I512" s="76"/>
    </row>
    <row r="513" spans="2:19" ht="42.75" customHeight="1" x14ac:dyDescent="0.3">
      <c r="B513" s="76" t="s">
        <v>16</v>
      </c>
      <c r="C513" s="76" t="s">
        <v>252</v>
      </c>
      <c r="D513" s="76" t="s">
        <v>19</v>
      </c>
      <c r="E513" s="76" t="s">
        <v>243</v>
      </c>
      <c r="F513" s="77">
        <v>20.72</v>
      </c>
      <c r="G513" s="76" t="s">
        <v>18</v>
      </c>
      <c r="H513" s="78"/>
      <c r="I513" s="76"/>
      <c r="S513" s="80"/>
    </row>
    <row r="514" spans="2:19" ht="42.75" customHeight="1" x14ac:dyDescent="0.3">
      <c r="B514" s="76" t="s">
        <v>16</v>
      </c>
      <c r="C514" s="76" t="s">
        <v>253</v>
      </c>
      <c r="D514" s="76" t="s">
        <v>19</v>
      </c>
      <c r="E514" s="76" t="s">
        <v>243</v>
      </c>
      <c r="F514" s="77">
        <v>20.72</v>
      </c>
      <c r="G514" s="76" t="s">
        <v>18</v>
      </c>
      <c r="H514" s="78"/>
      <c r="I514" s="76"/>
      <c r="S514" s="80"/>
    </row>
    <row r="515" spans="2:19" ht="28.5" customHeight="1" x14ac:dyDescent="0.3">
      <c r="B515" s="76" t="s">
        <v>16</v>
      </c>
      <c r="C515" s="76" t="s">
        <v>254</v>
      </c>
      <c r="D515" s="76" t="s">
        <v>19</v>
      </c>
      <c r="E515" s="76" t="s">
        <v>243</v>
      </c>
      <c r="F515" s="77">
        <v>20.72</v>
      </c>
      <c r="G515" s="76" t="s">
        <v>18</v>
      </c>
      <c r="H515" s="78"/>
      <c r="I515" s="76"/>
      <c r="S515" s="80"/>
    </row>
    <row r="516" spans="2:19" ht="42.75" customHeight="1" x14ac:dyDescent="0.3">
      <c r="B516" s="76" t="s">
        <v>16</v>
      </c>
      <c r="C516" s="76" t="s">
        <v>255</v>
      </c>
      <c r="D516" s="76" t="s">
        <v>19</v>
      </c>
      <c r="E516" s="76" t="s">
        <v>243</v>
      </c>
      <c r="F516" s="77">
        <v>20.72</v>
      </c>
      <c r="G516" s="76" t="s">
        <v>18</v>
      </c>
      <c r="H516" s="78"/>
      <c r="I516" s="76"/>
      <c r="S516" s="80"/>
    </row>
    <row r="517" spans="2:19" ht="28.5" customHeight="1" x14ac:dyDescent="0.3">
      <c r="B517" s="76" t="s">
        <v>16</v>
      </c>
      <c r="C517" s="76" t="s">
        <v>256</v>
      </c>
      <c r="D517" s="76" t="s">
        <v>19</v>
      </c>
      <c r="E517" s="76" t="s">
        <v>243</v>
      </c>
      <c r="F517" s="77">
        <v>20.72</v>
      </c>
      <c r="G517" s="76" t="s">
        <v>18</v>
      </c>
      <c r="H517" s="78"/>
      <c r="I517" s="76"/>
      <c r="S517" s="80"/>
    </row>
    <row r="518" spans="2:19" ht="42.75" customHeight="1" x14ac:dyDescent="0.3">
      <c r="B518" s="76" t="s">
        <v>16</v>
      </c>
      <c r="C518" s="76" t="s">
        <v>257</v>
      </c>
      <c r="D518" s="76" t="s">
        <v>19</v>
      </c>
      <c r="E518" s="76" t="s">
        <v>243</v>
      </c>
      <c r="F518" s="77">
        <v>20.72</v>
      </c>
      <c r="G518" s="76" t="s">
        <v>18</v>
      </c>
      <c r="H518" s="78"/>
      <c r="I518" s="76"/>
      <c r="S518" s="80"/>
    </row>
    <row r="519" spans="2:19" ht="42.75" customHeight="1" x14ac:dyDescent="0.3">
      <c r="B519" s="76" t="s">
        <v>16</v>
      </c>
      <c r="C519" s="76" t="s">
        <v>258</v>
      </c>
      <c r="D519" s="76" t="s">
        <v>19</v>
      </c>
      <c r="E519" s="76" t="s">
        <v>243</v>
      </c>
      <c r="F519" s="77">
        <v>20.72</v>
      </c>
      <c r="G519" s="76" t="s">
        <v>18</v>
      </c>
      <c r="H519" s="78"/>
      <c r="I519" s="76"/>
      <c r="S519" s="80"/>
    </row>
    <row r="520" spans="2:19" ht="28.5" customHeight="1" x14ac:dyDescent="0.3">
      <c r="B520" s="76" t="s">
        <v>16</v>
      </c>
      <c r="C520" s="76" t="s">
        <v>259</v>
      </c>
      <c r="D520" s="76" t="s">
        <v>19</v>
      </c>
      <c r="E520" s="76" t="s">
        <v>243</v>
      </c>
      <c r="F520" s="77">
        <v>20.72</v>
      </c>
      <c r="G520" s="76" t="s">
        <v>18</v>
      </c>
      <c r="H520" s="78"/>
      <c r="I520" s="76"/>
      <c r="S520" s="80"/>
    </row>
    <row r="521" spans="2:19" ht="28.5" customHeight="1" x14ac:dyDescent="0.3">
      <c r="B521" s="76" t="s">
        <v>16</v>
      </c>
      <c r="C521" s="76" t="s">
        <v>260</v>
      </c>
      <c r="D521" s="76" t="s">
        <v>19</v>
      </c>
      <c r="E521" s="76" t="s">
        <v>243</v>
      </c>
      <c r="F521" s="77">
        <v>20.72</v>
      </c>
      <c r="G521" s="76" t="s">
        <v>18</v>
      </c>
      <c r="H521" s="78"/>
      <c r="I521" s="76"/>
      <c r="S521" s="80"/>
    </row>
    <row r="522" spans="2:19" ht="28.5" customHeight="1" x14ac:dyDescent="0.3">
      <c r="B522" s="76" t="s">
        <v>16</v>
      </c>
      <c r="C522" s="76" t="s">
        <v>261</v>
      </c>
      <c r="D522" s="76" t="s">
        <v>19</v>
      </c>
      <c r="E522" s="76" t="s">
        <v>243</v>
      </c>
      <c r="F522" s="77">
        <v>20.72</v>
      </c>
      <c r="G522" s="76" t="s">
        <v>18</v>
      </c>
      <c r="H522" s="78"/>
      <c r="I522" s="76"/>
      <c r="S522" s="80"/>
    </row>
    <row r="523" spans="2:19" ht="28.5" customHeight="1" x14ac:dyDescent="0.3">
      <c r="B523" s="76" t="s">
        <v>16</v>
      </c>
      <c r="C523" s="76" t="s">
        <v>262</v>
      </c>
      <c r="D523" s="76" t="s">
        <v>19</v>
      </c>
      <c r="E523" s="76" t="s">
        <v>243</v>
      </c>
      <c r="F523" s="77">
        <v>20.72</v>
      </c>
      <c r="G523" s="76" t="s">
        <v>18</v>
      </c>
      <c r="H523" s="78"/>
      <c r="I523" s="76"/>
      <c r="S523" s="80"/>
    </row>
    <row r="524" spans="2:19" ht="42.75" customHeight="1" x14ac:dyDescent="0.3">
      <c r="B524" s="76" t="s">
        <v>16</v>
      </c>
      <c r="C524" s="76" t="s">
        <v>263</v>
      </c>
      <c r="D524" s="76" t="s">
        <v>19</v>
      </c>
      <c r="E524" s="76" t="s">
        <v>243</v>
      </c>
      <c r="F524" s="77">
        <v>20.72</v>
      </c>
      <c r="G524" s="76" t="s">
        <v>18</v>
      </c>
      <c r="H524" s="78"/>
      <c r="I524" s="76"/>
      <c r="S524" s="80"/>
    </row>
    <row r="525" spans="2:19" ht="42.75" customHeight="1" x14ac:dyDescent="0.3">
      <c r="B525" s="76" t="s">
        <v>16</v>
      </c>
      <c r="C525" s="76" t="s">
        <v>264</v>
      </c>
      <c r="D525" s="76" t="s">
        <v>172</v>
      </c>
      <c r="E525" s="76" t="s">
        <v>243</v>
      </c>
      <c r="F525" s="77">
        <v>18.5</v>
      </c>
      <c r="G525" s="76" t="s">
        <v>18</v>
      </c>
      <c r="H525" s="78"/>
      <c r="I525" s="76" t="s">
        <v>265</v>
      </c>
      <c r="S525" s="80"/>
    </row>
    <row r="526" spans="2:19" ht="42.75" customHeight="1" x14ac:dyDescent="0.3">
      <c r="B526" s="76" t="s">
        <v>16</v>
      </c>
      <c r="C526" s="76" t="s">
        <v>266</v>
      </c>
      <c r="D526" s="76" t="s">
        <v>172</v>
      </c>
      <c r="E526" s="76" t="s">
        <v>243</v>
      </c>
      <c r="F526" s="77">
        <v>18.498778591033851</v>
      </c>
      <c r="G526" s="76" t="s">
        <v>18</v>
      </c>
      <c r="H526" s="78"/>
      <c r="I526" s="76"/>
      <c r="S526" s="80"/>
    </row>
    <row r="527" spans="2:19" ht="42.75" customHeight="1" x14ac:dyDescent="0.3">
      <c r="B527" s="76" t="s">
        <v>16</v>
      </c>
      <c r="C527" s="76" t="s">
        <v>267</v>
      </c>
      <c r="D527" s="76" t="s">
        <v>172</v>
      </c>
      <c r="E527" s="76" t="s">
        <v>243</v>
      </c>
      <c r="F527" s="77">
        <v>18.498778591033851</v>
      </c>
      <c r="G527" s="76" t="s">
        <v>18</v>
      </c>
      <c r="H527" s="78"/>
      <c r="I527" s="76"/>
      <c r="S527" s="80"/>
    </row>
    <row r="528" spans="2:19" ht="28.5" customHeight="1" x14ac:dyDescent="0.3">
      <c r="B528" s="76" t="s">
        <v>16</v>
      </c>
      <c r="C528" s="76" t="s">
        <v>268</v>
      </c>
      <c r="D528" s="76" t="s">
        <v>172</v>
      </c>
      <c r="E528" s="76" t="s">
        <v>243</v>
      </c>
      <c r="F528" s="77">
        <v>18.498778591033851</v>
      </c>
      <c r="G528" s="76" t="s">
        <v>18</v>
      </c>
      <c r="H528" s="78"/>
      <c r="I528" s="76"/>
      <c r="S528" s="80"/>
    </row>
    <row r="529" spans="2:19" ht="28.5" customHeight="1" x14ac:dyDescent="0.3">
      <c r="B529" s="76" t="s">
        <v>16</v>
      </c>
      <c r="C529" s="76" t="s">
        <v>269</v>
      </c>
      <c r="D529" s="76" t="s">
        <v>172</v>
      </c>
      <c r="E529" s="76" t="s">
        <v>243</v>
      </c>
      <c r="F529" s="77">
        <v>18.498778591033851</v>
      </c>
      <c r="G529" s="76" t="s">
        <v>18</v>
      </c>
      <c r="H529" s="78"/>
      <c r="I529" s="76"/>
      <c r="S529" s="80"/>
    </row>
    <row r="530" spans="2:19" ht="42.75" customHeight="1" x14ac:dyDescent="0.3">
      <c r="B530" s="76" t="s">
        <v>16</v>
      </c>
      <c r="C530" s="76" t="s">
        <v>270</v>
      </c>
      <c r="D530" s="76" t="s">
        <v>172</v>
      </c>
      <c r="E530" s="76" t="s">
        <v>243</v>
      </c>
      <c r="F530" s="77">
        <v>18.50119306764903</v>
      </c>
      <c r="G530" s="76" t="s">
        <v>18</v>
      </c>
      <c r="H530" s="78"/>
      <c r="I530" s="76"/>
      <c r="S530" s="80"/>
    </row>
    <row r="531" spans="2:19" ht="42.75" customHeight="1" x14ac:dyDescent="0.3">
      <c r="B531" s="76" t="s">
        <v>16</v>
      </c>
      <c r="C531" s="76" t="s">
        <v>271</v>
      </c>
      <c r="D531" s="76" t="s">
        <v>172</v>
      </c>
      <c r="E531" s="76" t="s">
        <v>243</v>
      </c>
      <c r="F531" s="77">
        <v>18.49850257542311</v>
      </c>
      <c r="G531" s="76" t="s">
        <v>18</v>
      </c>
      <c r="H531" s="78"/>
      <c r="I531" s="76"/>
      <c r="S531" s="80"/>
    </row>
    <row r="532" spans="2:19" ht="42.75" customHeight="1" x14ac:dyDescent="0.3">
      <c r="B532" s="76" t="s">
        <v>16</v>
      </c>
      <c r="C532" s="76" t="s">
        <v>272</v>
      </c>
      <c r="D532" s="76" t="s">
        <v>172</v>
      </c>
      <c r="E532" s="76" t="s">
        <v>243</v>
      </c>
      <c r="F532" s="77">
        <v>18.49850257542311</v>
      </c>
      <c r="G532" s="76" t="s">
        <v>18</v>
      </c>
      <c r="H532" s="78"/>
      <c r="I532" s="76"/>
      <c r="S532" s="80"/>
    </row>
    <row r="533" spans="2:19" ht="42.75" customHeight="1" x14ac:dyDescent="0.3">
      <c r="B533" s="76" t="s">
        <v>16</v>
      </c>
      <c r="C533" s="76" t="s">
        <v>273</v>
      </c>
      <c r="D533" s="76" t="s">
        <v>172</v>
      </c>
      <c r="E533" s="76" t="s">
        <v>243</v>
      </c>
      <c r="F533" s="77">
        <v>18.498778591033851</v>
      </c>
      <c r="G533" s="76" t="s">
        <v>18</v>
      </c>
      <c r="H533" s="78"/>
      <c r="I533" s="76"/>
      <c r="S533" s="80"/>
    </row>
    <row r="534" spans="2:19" ht="42.75" customHeight="1" x14ac:dyDescent="0.3">
      <c r="B534" s="76" t="s">
        <v>16</v>
      </c>
      <c r="C534" s="76" t="s">
        <v>274</v>
      </c>
      <c r="D534" s="76" t="s">
        <v>172</v>
      </c>
      <c r="E534" s="76" t="s">
        <v>243</v>
      </c>
      <c r="F534" s="77">
        <v>18.500237826507579</v>
      </c>
      <c r="G534" s="76" t="s">
        <v>18</v>
      </c>
      <c r="H534" s="78"/>
      <c r="I534" s="76"/>
      <c r="S534" s="80"/>
    </row>
    <row r="535" spans="2:19" ht="42.75" customHeight="1" x14ac:dyDescent="0.3">
      <c r="B535" s="76" t="s">
        <v>16</v>
      </c>
      <c r="C535" s="76" t="s">
        <v>275</v>
      </c>
      <c r="D535" s="76" t="s">
        <v>172</v>
      </c>
      <c r="E535" s="76" t="s">
        <v>243</v>
      </c>
      <c r="F535" s="77">
        <v>18.504284172661869</v>
      </c>
      <c r="G535" s="76" t="s">
        <v>18</v>
      </c>
      <c r="H535" s="78"/>
      <c r="I535" s="76"/>
      <c r="S535" s="80"/>
    </row>
    <row r="536" spans="2:19" ht="42.75" customHeight="1" x14ac:dyDescent="0.3">
      <c r="B536" s="76" t="s">
        <v>16</v>
      </c>
      <c r="C536" s="76" t="s">
        <v>276</v>
      </c>
      <c r="D536" s="76" t="s">
        <v>172</v>
      </c>
      <c r="E536" s="76" t="s">
        <v>243</v>
      </c>
      <c r="F536" s="77">
        <v>18.497241784037559</v>
      </c>
      <c r="G536" s="76" t="s">
        <v>18</v>
      </c>
      <c r="H536" s="78"/>
      <c r="I536" s="76"/>
      <c r="S536" s="80"/>
    </row>
    <row r="537" spans="2:19" ht="42.75" customHeight="1" x14ac:dyDescent="0.3">
      <c r="B537" s="76" t="s">
        <v>16</v>
      </c>
      <c r="C537" s="76" t="s">
        <v>277</v>
      </c>
      <c r="D537" s="76" t="s">
        <v>176</v>
      </c>
      <c r="E537" s="76" t="s">
        <v>243</v>
      </c>
      <c r="F537" s="77">
        <v>24</v>
      </c>
      <c r="G537" s="76" t="s">
        <v>18</v>
      </c>
      <c r="H537" s="78"/>
      <c r="I537" s="76"/>
      <c r="S537" s="80"/>
    </row>
    <row r="538" spans="2:19" ht="42.75" customHeight="1" x14ac:dyDescent="0.3">
      <c r="B538" s="76" t="s">
        <v>16</v>
      </c>
      <c r="C538" s="76" t="s">
        <v>278</v>
      </c>
      <c r="D538" s="76" t="s">
        <v>176</v>
      </c>
      <c r="E538" s="76" t="s">
        <v>243</v>
      </c>
      <c r="F538" s="77">
        <v>24.004326032013481</v>
      </c>
      <c r="G538" s="76" t="s">
        <v>18</v>
      </c>
      <c r="H538" s="78"/>
      <c r="I538" s="76"/>
      <c r="S538" s="80"/>
    </row>
    <row r="539" spans="2:19" ht="42.75" customHeight="1" x14ac:dyDescent="0.3">
      <c r="B539" s="76" t="s">
        <v>16</v>
      </c>
      <c r="C539" s="76" t="s">
        <v>279</v>
      </c>
      <c r="D539" s="76" t="s">
        <v>176</v>
      </c>
      <c r="E539" s="76" t="s">
        <v>243</v>
      </c>
      <c r="F539" s="77">
        <v>24.002475041597339</v>
      </c>
      <c r="G539" s="76" t="s">
        <v>18</v>
      </c>
      <c r="H539" s="78"/>
      <c r="I539" s="76"/>
      <c r="S539" s="80"/>
    </row>
    <row r="540" spans="2:19" ht="42.75" customHeight="1" x14ac:dyDescent="0.3">
      <c r="B540" s="76" t="s">
        <v>16</v>
      </c>
      <c r="C540" s="76" t="s">
        <v>280</v>
      </c>
      <c r="D540" s="76" t="s">
        <v>176</v>
      </c>
      <c r="E540" s="76" t="s">
        <v>243</v>
      </c>
      <c r="F540" s="77">
        <v>23.995168384879729</v>
      </c>
      <c r="G540" s="76" t="s">
        <v>18</v>
      </c>
      <c r="H540" s="78"/>
      <c r="I540" s="76"/>
      <c r="S540" s="80"/>
    </row>
    <row r="541" spans="2:19" ht="42.75" customHeight="1" x14ac:dyDescent="0.3">
      <c r="B541" s="76" t="s">
        <v>16</v>
      </c>
      <c r="C541" s="76" t="s">
        <v>281</v>
      </c>
      <c r="D541" s="76" t="s">
        <v>176</v>
      </c>
      <c r="E541" s="76" t="s">
        <v>243</v>
      </c>
      <c r="F541" s="77">
        <v>23.998082049763031</v>
      </c>
      <c r="G541" s="76" t="s">
        <v>18</v>
      </c>
      <c r="H541" s="78"/>
      <c r="I541" s="76"/>
      <c r="S541" s="80"/>
    </row>
    <row r="542" spans="2:19" ht="42.75" customHeight="1" x14ac:dyDescent="0.3">
      <c r="B542" s="76" t="s">
        <v>16</v>
      </c>
      <c r="C542" s="76" t="s">
        <v>282</v>
      </c>
      <c r="D542" s="76" t="s">
        <v>176</v>
      </c>
      <c r="E542" s="76" t="s">
        <v>243</v>
      </c>
      <c r="F542" s="77">
        <v>24.00368160117517</v>
      </c>
      <c r="G542" s="76" t="s">
        <v>18</v>
      </c>
      <c r="H542" s="78"/>
      <c r="I542" s="76"/>
      <c r="S542" s="80"/>
    </row>
    <row r="543" spans="2:19" ht="42.75" customHeight="1" x14ac:dyDescent="0.3">
      <c r="B543" s="76" t="s">
        <v>16</v>
      </c>
      <c r="C543" s="76" t="s">
        <v>283</v>
      </c>
      <c r="D543" s="76" t="s">
        <v>176</v>
      </c>
      <c r="E543" s="76" t="s">
        <v>243</v>
      </c>
      <c r="F543" s="77">
        <v>24.0045311406578</v>
      </c>
      <c r="G543" s="76" t="s">
        <v>18</v>
      </c>
      <c r="H543" s="78"/>
      <c r="I543" s="76"/>
      <c r="S543" s="80"/>
    </row>
    <row r="544" spans="2:19" ht="42.75" customHeight="1" x14ac:dyDescent="0.3">
      <c r="B544" s="76" t="s">
        <v>16</v>
      </c>
      <c r="C544" s="76" t="s">
        <v>284</v>
      </c>
      <c r="D544" s="76" t="s">
        <v>176</v>
      </c>
      <c r="E544" s="76" t="s">
        <v>243</v>
      </c>
      <c r="F544" s="77">
        <v>24.00087509211496</v>
      </c>
      <c r="G544" s="76" t="s">
        <v>18</v>
      </c>
      <c r="H544" s="78"/>
      <c r="I544" s="76"/>
      <c r="S544" s="80"/>
    </row>
    <row r="545" spans="2:19" ht="42.75" customHeight="1" x14ac:dyDescent="0.3">
      <c r="B545" s="76" t="s">
        <v>16</v>
      </c>
      <c r="C545" s="76" t="s">
        <v>285</v>
      </c>
      <c r="D545" s="76" t="s">
        <v>176</v>
      </c>
      <c r="E545" s="76" t="s">
        <v>243</v>
      </c>
      <c r="F545" s="77">
        <v>23.998215324222151</v>
      </c>
      <c r="G545" s="76" t="s">
        <v>18</v>
      </c>
      <c r="H545" s="78"/>
      <c r="I545" s="76"/>
      <c r="S545" s="80"/>
    </row>
    <row r="546" spans="2:19" ht="42.75" customHeight="1" x14ac:dyDescent="0.3">
      <c r="B546" s="76" t="s">
        <v>16</v>
      </c>
      <c r="C546" s="76" t="s">
        <v>286</v>
      </c>
      <c r="D546" s="76" t="s">
        <v>176</v>
      </c>
      <c r="E546" s="76" t="s">
        <v>243</v>
      </c>
      <c r="F546" s="77">
        <v>23.998215324222151</v>
      </c>
      <c r="G546" s="76" t="s">
        <v>18</v>
      </c>
      <c r="H546" s="78"/>
      <c r="I546" s="76"/>
      <c r="S546" s="80"/>
    </row>
    <row r="547" spans="2:19" ht="28.5" customHeight="1" x14ac:dyDescent="0.3">
      <c r="B547" s="76" t="s">
        <v>16</v>
      </c>
      <c r="C547" s="76" t="s">
        <v>287</v>
      </c>
      <c r="D547" s="76" t="s">
        <v>176</v>
      </c>
      <c r="E547" s="76" t="s">
        <v>243</v>
      </c>
      <c r="F547" s="77">
        <v>23.998215324222151</v>
      </c>
      <c r="G547" s="76" t="s">
        <v>18</v>
      </c>
      <c r="H547" s="78"/>
      <c r="I547" s="76"/>
      <c r="S547" s="80"/>
    </row>
    <row r="548" spans="2:19" ht="42.75" customHeight="1" x14ac:dyDescent="0.3">
      <c r="B548" s="76" t="s">
        <v>16</v>
      </c>
      <c r="C548" s="76" t="s">
        <v>288</v>
      </c>
      <c r="D548" s="76" t="s">
        <v>176</v>
      </c>
      <c r="E548" s="76" t="s">
        <v>243</v>
      </c>
      <c r="F548" s="77">
        <v>23.996116633532139</v>
      </c>
      <c r="G548" s="76" t="s">
        <v>18</v>
      </c>
      <c r="H548" s="78"/>
      <c r="I548" s="76"/>
      <c r="S548" s="80"/>
    </row>
    <row r="549" spans="2:19" ht="28.5" customHeight="1" x14ac:dyDescent="0.3">
      <c r="B549" s="76" t="s">
        <v>16</v>
      </c>
      <c r="C549" s="76" t="s">
        <v>289</v>
      </c>
      <c r="D549" s="76" t="s">
        <v>176</v>
      </c>
      <c r="E549" s="76" t="s">
        <v>243</v>
      </c>
      <c r="F549" s="77">
        <v>23.996116633532139</v>
      </c>
      <c r="G549" s="76" t="s">
        <v>18</v>
      </c>
      <c r="H549" s="78"/>
      <c r="I549" s="76"/>
      <c r="S549" s="80"/>
    </row>
    <row r="550" spans="2:19" ht="28.5" customHeight="1" x14ac:dyDescent="0.3">
      <c r="B550" s="76" t="s">
        <v>16</v>
      </c>
      <c r="C550" s="76" t="s">
        <v>290</v>
      </c>
      <c r="D550" s="76" t="s">
        <v>176</v>
      </c>
      <c r="E550" s="76" t="s">
        <v>243</v>
      </c>
      <c r="F550" s="77">
        <v>23.996116633532139</v>
      </c>
      <c r="G550" s="76" t="s">
        <v>18</v>
      </c>
      <c r="H550" s="78"/>
      <c r="I550" s="76"/>
      <c r="S550" s="80"/>
    </row>
    <row r="551" spans="2:19" ht="42.75" customHeight="1" x14ac:dyDescent="0.3">
      <c r="B551" s="76" t="s">
        <v>16</v>
      </c>
      <c r="C551" s="76" t="s">
        <v>291</v>
      </c>
      <c r="D551" s="76" t="s">
        <v>176</v>
      </c>
      <c r="E551" s="76" t="s">
        <v>243</v>
      </c>
      <c r="F551" s="77">
        <v>24</v>
      </c>
      <c r="G551" s="76" t="s">
        <v>18</v>
      </c>
      <c r="H551" s="78"/>
      <c r="I551" s="76"/>
      <c r="S551" s="80"/>
    </row>
    <row r="552" spans="2:19" ht="42.75" customHeight="1" x14ac:dyDescent="0.3">
      <c r="B552" s="76" t="s">
        <v>16</v>
      </c>
      <c r="C552" s="76" t="s">
        <v>292</v>
      </c>
      <c r="D552" s="76" t="s">
        <v>176</v>
      </c>
      <c r="E552" s="76" t="s">
        <v>243</v>
      </c>
      <c r="F552" s="77">
        <v>23.998215324222151</v>
      </c>
      <c r="G552" s="76" t="s">
        <v>18</v>
      </c>
      <c r="H552" s="78"/>
      <c r="I552" s="76"/>
      <c r="S552" s="80"/>
    </row>
    <row r="553" spans="2:19" ht="28.5" customHeight="1" x14ac:dyDescent="0.3">
      <c r="B553" s="76" t="s">
        <v>16</v>
      </c>
      <c r="C553" s="76" t="s">
        <v>293</v>
      </c>
      <c r="D553" s="76" t="s">
        <v>176</v>
      </c>
      <c r="E553" s="76" t="s">
        <v>243</v>
      </c>
      <c r="F553" s="77">
        <v>23.998215324222151</v>
      </c>
      <c r="G553" s="76" t="s">
        <v>18</v>
      </c>
      <c r="H553" s="78"/>
      <c r="I553" s="76"/>
      <c r="S553" s="80"/>
    </row>
    <row r="554" spans="2:19" ht="42.75" customHeight="1" x14ac:dyDescent="0.3">
      <c r="B554" s="76" t="s">
        <v>16</v>
      </c>
      <c r="C554" s="76" t="s">
        <v>294</v>
      </c>
      <c r="D554" s="76" t="s">
        <v>176</v>
      </c>
      <c r="E554" s="76" t="s">
        <v>243</v>
      </c>
      <c r="F554" s="77">
        <v>23.997099660598579</v>
      </c>
      <c r="G554" s="76" t="s">
        <v>18</v>
      </c>
      <c r="H554" s="78"/>
      <c r="I554" s="76"/>
      <c r="S554" s="80"/>
    </row>
    <row r="555" spans="2:19" ht="42.75" customHeight="1" x14ac:dyDescent="0.3">
      <c r="B555" s="76" t="s">
        <v>16</v>
      </c>
      <c r="C555" s="76" t="s">
        <v>295</v>
      </c>
      <c r="D555" s="76" t="s">
        <v>176</v>
      </c>
      <c r="E555" s="76" t="s">
        <v>243</v>
      </c>
      <c r="F555" s="77">
        <v>23.996022957461179</v>
      </c>
      <c r="G555" s="76" t="s">
        <v>18</v>
      </c>
      <c r="H555" s="78"/>
      <c r="I555" s="76"/>
      <c r="S555" s="80"/>
    </row>
    <row r="556" spans="2:19" ht="42.75" customHeight="1" x14ac:dyDescent="0.3">
      <c r="B556" s="76" t="s">
        <v>16</v>
      </c>
      <c r="C556" s="76" t="s">
        <v>296</v>
      </c>
      <c r="D556" s="76" t="s">
        <v>176</v>
      </c>
      <c r="E556" s="76" t="s">
        <v>243</v>
      </c>
      <c r="F556" s="77">
        <v>23.999272790535841</v>
      </c>
      <c r="G556" s="76" t="s">
        <v>18</v>
      </c>
      <c r="H556" s="78"/>
      <c r="I556" s="76"/>
      <c r="S556" s="80"/>
    </row>
    <row r="557" spans="2:19" ht="57" customHeight="1" x14ac:dyDescent="0.3">
      <c r="B557" s="76" t="s">
        <v>16</v>
      </c>
      <c r="C557" s="76" t="s">
        <v>297</v>
      </c>
      <c r="D557" s="76" t="s">
        <v>176</v>
      </c>
      <c r="E557" s="76" t="s">
        <v>243</v>
      </c>
      <c r="F557" s="77">
        <v>24</v>
      </c>
      <c r="G557" s="76" t="s">
        <v>18</v>
      </c>
      <c r="H557" s="78"/>
      <c r="I557" s="76"/>
      <c r="S557" s="80"/>
    </row>
    <row r="558" spans="2:19" ht="42.75" customHeight="1" x14ac:dyDescent="0.3">
      <c r="B558" s="76" t="s">
        <v>16</v>
      </c>
      <c r="C558" s="76" t="s">
        <v>298</v>
      </c>
      <c r="D558" s="76" t="s">
        <v>176</v>
      </c>
      <c r="E558" s="76" t="s">
        <v>243</v>
      </c>
      <c r="F558" s="77">
        <v>23.995168384879729</v>
      </c>
      <c r="G558" s="76" t="s">
        <v>18</v>
      </c>
      <c r="H558" s="78"/>
      <c r="I558" s="76"/>
      <c r="S558" s="80"/>
    </row>
    <row r="559" spans="2:19" ht="42.75" customHeight="1" x14ac:dyDescent="0.3">
      <c r="B559" s="76" t="s">
        <v>16</v>
      </c>
      <c r="C559" s="76" t="s">
        <v>299</v>
      </c>
      <c r="D559" s="76" t="s">
        <v>176</v>
      </c>
      <c r="E559" s="76" t="s">
        <v>243</v>
      </c>
      <c r="F559" s="77">
        <v>24</v>
      </c>
      <c r="G559" s="76" t="s">
        <v>18</v>
      </c>
      <c r="H559" s="78"/>
      <c r="I559" s="76"/>
      <c r="S559" s="80"/>
    </row>
    <row r="560" spans="2:19" ht="42.75" customHeight="1" x14ac:dyDescent="0.3">
      <c r="B560" s="76" t="s">
        <v>16</v>
      </c>
      <c r="C560" s="76" t="s">
        <v>300</v>
      </c>
      <c r="D560" s="76" t="s">
        <v>176</v>
      </c>
      <c r="E560" s="76" t="s">
        <v>243</v>
      </c>
      <c r="F560" s="77">
        <v>23.995168384879729</v>
      </c>
      <c r="G560" s="76" t="s">
        <v>18</v>
      </c>
      <c r="H560" s="78"/>
      <c r="I560" s="76"/>
      <c r="S560" s="80"/>
    </row>
    <row r="561" spans="2:19" ht="42.75" customHeight="1" x14ac:dyDescent="0.3">
      <c r="B561" s="76" t="s">
        <v>16</v>
      </c>
      <c r="C561" s="76" t="s">
        <v>301</v>
      </c>
      <c r="D561" s="76" t="s">
        <v>181</v>
      </c>
      <c r="E561" s="76" t="s">
        <v>243</v>
      </c>
      <c r="F561" s="77">
        <v>27.995172986856019</v>
      </c>
      <c r="G561" s="76" t="s">
        <v>18</v>
      </c>
      <c r="H561" s="78"/>
      <c r="I561" s="76"/>
      <c r="S561" s="80"/>
    </row>
    <row r="562" spans="2:19" ht="42.75" customHeight="1" x14ac:dyDescent="0.3">
      <c r="B562" s="76" t="s">
        <v>16</v>
      </c>
      <c r="C562" s="76" t="s">
        <v>302</v>
      </c>
      <c r="D562" s="76" t="s">
        <v>181</v>
      </c>
      <c r="E562" s="76" t="s">
        <v>243</v>
      </c>
      <c r="F562" s="77">
        <v>27.99544677544678</v>
      </c>
      <c r="G562" s="76" t="s">
        <v>18</v>
      </c>
      <c r="H562" s="78"/>
      <c r="I562" s="76"/>
      <c r="S562" s="80"/>
    </row>
    <row r="563" spans="2:19" ht="42.75" customHeight="1" x14ac:dyDescent="0.3">
      <c r="B563" s="76" t="s">
        <v>16</v>
      </c>
      <c r="C563" s="76" t="s">
        <v>303</v>
      </c>
      <c r="D563" s="76" t="s">
        <v>181</v>
      </c>
      <c r="E563" s="76" t="s">
        <v>243</v>
      </c>
      <c r="F563" s="77">
        <v>27.99544677544678</v>
      </c>
      <c r="G563" s="76" t="s">
        <v>18</v>
      </c>
      <c r="H563" s="78"/>
      <c r="I563" s="76"/>
      <c r="S563" s="80"/>
    </row>
    <row r="564" spans="2:19" ht="42.75" customHeight="1" x14ac:dyDescent="0.3">
      <c r="B564" s="76" t="s">
        <v>16</v>
      </c>
      <c r="C564" s="76" t="s">
        <v>304</v>
      </c>
      <c r="D564" s="76" t="s">
        <v>181</v>
      </c>
      <c r="E564" s="76" t="s">
        <v>243</v>
      </c>
      <c r="F564" s="77">
        <v>27.99544677544678</v>
      </c>
      <c r="G564" s="76" t="s">
        <v>18</v>
      </c>
      <c r="H564" s="78"/>
      <c r="I564" s="76"/>
      <c r="S564" s="80"/>
    </row>
    <row r="565" spans="2:19" ht="42.75" customHeight="1" x14ac:dyDescent="0.3">
      <c r="B565" s="76" t="s">
        <v>16</v>
      </c>
      <c r="C565" s="76" t="s">
        <v>305</v>
      </c>
      <c r="D565" s="76" t="s">
        <v>181</v>
      </c>
      <c r="E565" s="76" t="s">
        <v>243</v>
      </c>
      <c r="F565" s="77">
        <v>28.003044798785119</v>
      </c>
      <c r="G565" s="76" t="s">
        <v>18</v>
      </c>
      <c r="H565" s="78"/>
      <c r="I565" s="76"/>
      <c r="S565" s="80"/>
    </row>
    <row r="566" spans="2:19" ht="42.75" customHeight="1" x14ac:dyDescent="0.3">
      <c r="B566" s="76" t="s">
        <v>16</v>
      </c>
      <c r="C566" s="76" t="s">
        <v>306</v>
      </c>
      <c r="D566" s="76" t="s">
        <v>181</v>
      </c>
      <c r="E566" s="76" t="s">
        <v>243</v>
      </c>
      <c r="F566" s="77">
        <v>28.003044798785119</v>
      </c>
      <c r="G566" s="76" t="s">
        <v>18</v>
      </c>
      <c r="H566" s="78"/>
      <c r="I566" s="76"/>
      <c r="S566" s="80"/>
    </row>
    <row r="567" spans="2:19" ht="42.75" customHeight="1" x14ac:dyDescent="0.3">
      <c r="B567" s="76" t="s">
        <v>16</v>
      </c>
      <c r="C567" s="76" t="s">
        <v>307</v>
      </c>
      <c r="D567" s="76" t="s">
        <v>181</v>
      </c>
      <c r="E567" s="76" t="s">
        <v>243</v>
      </c>
      <c r="F567" s="77">
        <v>28</v>
      </c>
      <c r="G567" s="76" t="s">
        <v>18</v>
      </c>
      <c r="H567" s="78"/>
      <c r="I567" s="76"/>
      <c r="S567" s="80"/>
    </row>
    <row r="568" spans="2:19" ht="42.75" customHeight="1" x14ac:dyDescent="0.3">
      <c r="B568" s="76" t="s">
        <v>16</v>
      </c>
      <c r="C568" s="76" t="s">
        <v>308</v>
      </c>
      <c r="D568" s="76" t="s">
        <v>181</v>
      </c>
      <c r="E568" s="76" t="s">
        <v>243</v>
      </c>
      <c r="F568" s="77">
        <v>28</v>
      </c>
      <c r="G568" s="76" t="s">
        <v>18</v>
      </c>
      <c r="H568" s="78"/>
      <c r="I568" s="76"/>
      <c r="S568" s="80"/>
    </row>
    <row r="569" spans="2:19" ht="28.5" customHeight="1" x14ac:dyDescent="0.3">
      <c r="B569" s="76" t="s">
        <v>16</v>
      </c>
      <c r="C569" s="76" t="s">
        <v>309</v>
      </c>
      <c r="D569" s="76" t="s">
        <v>181</v>
      </c>
      <c r="E569" s="76" t="s">
        <v>243</v>
      </c>
      <c r="F569" s="77">
        <v>28.003044798785119</v>
      </c>
      <c r="G569" s="76" t="s">
        <v>18</v>
      </c>
      <c r="H569" s="78"/>
      <c r="I569" s="76"/>
      <c r="S569" s="80"/>
    </row>
    <row r="570" spans="2:19" ht="42.75" customHeight="1" x14ac:dyDescent="0.3">
      <c r="B570" s="76" t="s">
        <v>16</v>
      </c>
      <c r="C570" s="76" t="s">
        <v>310</v>
      </c>
      <c r="D570" s="76" t="s">
        <v>181</v>
      </c>
      <c r="E570" s="76" t="s">
        <v>243</v>
      </c>
      <c r="F570" s="77">
        <v>27.997412799077541</v>
      </c>
      <c r="G570" s="76" t="s">
        <v>18</v>
      </c>
      <c r="H570" s="78"/>
      <c r="I570" s="76"/>
      <c r="S570" s="80"/>
    </row>
    <row r="571" spans="2:19" ht="42.75" customHeight="1" x14ac:dyDescent="0.3">
      <c r="B571" s="76" t="s">
        <v>16</v>
      </c>
      <c r="C571" s="76" t="s">
        <v>311</v>
      </c>
      <c r="D571" s="76" t="s">
        <v>186</v>
      </c>
      <c r="E571" s="76" t="s">
        <v>243</v>
      </c>
      <c r="F571" s="77">
        <v>32.5</v>
      </c>
      <c r="G571" s="76" t="s">
        <v>18</v>
      </c>
      <c r="H571" s="78"/>
      <c r="I571" s="76"/>
      <c r="S571" s="80"/>
    </row>
    <row r="572" spans="2:19" ht="42.75" customHeight="1" x14ac:dyDescent="0.3">
      <c r="B572" s="76" t="s">
        <v>16</v>
      </c>
      <c r="C572" s="76" t="s">
        <v>312</v>
      </c>
      <c r="D572" s="76" t="s">
        <v>186</v>
      </c>
      <c r="E572" s="76" t="s">
        <v>243</v>
      </c>
      <c r="F572" s="77">
        <v>32.5</v>
      </c>
      <c r="G572" s="76" t="s">
        <v>18</v>
      </c>
      <c r="H572" s="78"/>
      <c r="I572" s="76"/>
      <c r="S572" s="80"/>
    </row>
    <row r="573" spans="2:19" ht="42.75" customHeight="1" x14ac:dyDescent="0.3">
      <c r="B573" s="76" t="s">
        <v>16</v>
      </c>
      <c r="C573" s="76" t="s">
        <v>313</v>
      </c>
      <c r="D573" s="76" t="s">
        <v>186</v>
      </c>
      <c r="E573" s="76" t="s">
        <v>243</v>
      </c>
      <c r="F573" s="77">
        <v>32.5</v>
      </c>
      <c r="G573" s="76" t="s">
        <v>18</v>
      </c>
      <c r="H573" s="78"/>
      <c r="I573" s="76"/>
      <c r="S573" s="80"/>
    </row>
    <row r="574" spans="2:19" ht="42.75" customHeight="1" x14ac:dyDescent="0.3">
      <c r="B574" s="76" t="s">
        <v>16</v>
      </c>
      <c r="C574" s="76" t="s">
        <v>314</v>
      </c>
      <c r="D574" s="76" t="s">
        <v>186</v>
      </c>
      <c r="E574" s="76" t="s">
        <v>243</v>
      </c>
      <c r="F574" s="77">
        <v>32.5</v>
      </c>
      <c r="G574" s="76" t="s">
        <v>18</v>
      </c>
      <c r="H574" s="78"/>
      <c r="I574" s="76"/>
      <c r="S574" s="80"/>
    </row>
    <row r="575" spans="2:19" ht="42.75" customHeight="1" x14ac:dyDescent="0.3">
      <c r="B575" s="76" t="s">
        <v>16</v>
      </c>
      <c r="C575" s="76" t="s">
        <v>315</v>
      </c>
      <c r="D575" s="76" t="s">
        <v>186</v>
      </c>
      <c r="E575" s="76" t="s">
        <v>243</v>
      </c>
      <c r="F575" s="77">
        <v>32.5</v>
      </c>
      <c r="G575" s="76" t="s">
        <v>18</v>
      </c>
      <c r="H575" s="78"/>
      <c r="I575" s="76"/>
      <c r="S575" s="80"/>
    </row>
    <row r="576" spans="2:19" ht="42.75" customHeight="1" x14ac:dyDescent="0.3">
      <c r="B576" s="76" t="s">
        <v>16</v>
      </c>
      <c r="C576" s="76" t="s">
        <v>316</v>
      </c>
      <c r="D576" s="76" t="s">
        <v>186</v>
      </c>
      <c r="E576" s="76" t="s">
        <v>243</v>
      </c>
      <c r="F576" s="77">
        <v>32.5</v>
      </c>
      <c r="G576" s="76" t="s">
        <v>18</v>
      </c>
      <c r="H576" s="78"/>
      <c r="I576" s="76"/>
      <c r="S576" s="80"/>
    </row>
    <row r="577" spans="2:19" ht="42.75" customHeight="1" x14ac:dyDescent="0.3">
      <c r="B577" s="76" t="s">
        <v>16</v>
      </c>
      <c r="C577" s="76" t="s">
        <v>317</v>
      </c>
      <c r="D577" s="76" t="s">
        <v>186</v>
      </c>
      <c r="E577" s="76" t="s">
        <v>243</v>
      </c>
      <c r="F577" s="77">
        <v>32.5</v>
      </c>
      <c r="G577" s="76" t="s">
        <v>18</v>
      </c>
      <c r="H577" s="78"/>
      <c r="I577" s="76"/>
      <c r="S577" s="80"/>
    </row>
    <row r="578" spans="2:19" ht="42.75" customHeight="1" x14ac:dyDescent="0.3">
      <c r="B578" s="76" t="s">
        <v>16</v>
      </c>
      <c r="C578" s="76" t="s">
        <v>318</v>
      </c>
      <c r="D578" s="76" t="s">
        <v>190</v>
      </c>
      <c r="E578" s="76" t="s">
        <v>243</v>
      </c>
      <c r="F578" s="77">
        <v>38.4</v>
      </c>
      <c r="G578" s="76" t="s">
        <v>18</v>
      </c>
      <c r="H578" s="78"/>
      <c r="I578" s="76"/>
      <c r="S578" s="80"/>
    </row>
    <row r="579" spans="2:19" ht="42.75" customHeight="1" x14ac:dyDescent="0.3">
      <c r="B579" s="76" t="s">
        <v>16</v>
      </c>
      <c r="C579" s="76" t="s">
        <v>319</v>
      </c>
      <c r="D579" s="76" t="s">
        <v>190</v>
      </c>
      <c r="E579" s="76" t="s">
        <v>243</v>
      </c>
      <c r="F579" s="77">
        <v>36.750666965085053</v>
      </c>
      <c r="G579" s="76" t="s">
        <v>18</v>
      </c>
      <c r="H579" s="78"/>
      <c r="I579" s="76"/>
      <c r="S579" s="80"/>
    </row>
    <row r="580" spans="2:19" ht="42.75" customHeight="1" x14ac:dyDescent="0.3">
      <c r="B580" s="76" t="s">
        <v>16</v>
      </c>
      <c r="C580" s="76" t="s">
        <v>320</v>
      </c>
      <c r="D580" s="76" t="s">
        <v>190</v>
      </c>
      <c r="E580" s="76" t="s">
        <v>243</v>
      </c>
      <c r="F580" s="77">
        <v>36.748124910368567</v>
      </c>
      <c r="G580" s="76" t="s">
        <v>18</v>
      </c>
      <c r="H580" s="78"/>
      <c r="I580" s="76"/>
      <c r="S580" s="80"/>
    </row>
    <row r="581" spans="2:19" ht="42.75" customHeight="1" x14ac:dyDescent="0.3">
      <c r="B581" s="76" t="s">
        <v>16</v>
      </c>
      <c r="C581" s="76" t="s">
        <v>321</v>
      </c>
      <c r="D581" s="76" t="s">
        <v>190</v>
      </c>
      <c r="E581" s="76" t="s">
        <v>243</v>
      </c>
      <c r="F581" s="77">
        <v>36.751216236955187</v>
      </c>
      <c r="G581" s="76" t="s">
        <v>18</v>
      </c>
      <c r="H581" s="78"/>
      <c r="I581" s="76"/>
      <c r="S581" s="80"/>
    </row>
    <row r="582" spans="2:19" ht="57" customHeight="1" x14ac:dyDescent="0.3">
      <c r="B582" s="76" t="s">
        <v>16</v>
      </c>
      <c r="C582" s="76" t="s">
        <v>322</v>
      </c>
      <c r="D582" s="76" t="s">
        <v>190</v>
      </c>
      <c r="E582" s="76" t="s">
        <v>243</v>
      </c>
      <c r="F582" s="77">
        <v>36.750666965085053</v>
      </c>
      <c r="G582" s="76" t="s">
        <v>18</v>
      </c>
      <c r="H582" s="78"/>
      <c r="I582" s="76"/>
      <c r="S582" s="80"/>
    </row>
    <row r="583" spans="2:19" ht="28.5" customHeight="1" x14ac:dyDescent="0.3">
      <c r="B583" s="76" t="s">
        <v>16</v>
      </c>
      <c r="C583" s="76" t="s">
        <v>323</v>
      </c>
      <c r="D583" s="76" t="s">
        <v>190</v>
      </c>
      <c r="E583" s="76" t="s">
        <v>243</v>
      </c>
      <c r="F583" s="77">
        <v>36.754460292983808</v>
      </c>
      <c r="G583" s="76" t="s">
        <v>18</v>
      </c>
      <c r="H583" s="78"/>
      <c r="I583" s="76"/>
      <c r="S583" s="80"/>
    </row>
    <row r="584" spans="2:19" ht="28.5" customHeight="1" x14ac:dyDescent="0.3">
      <c r="B584" s="76" t="s">
        <v>20</v>
      </c>
      <c r="C584" s="76" t="s">
        <v>324</v>
      </c>
      <c r="D584" s="76" t="s">
        <v>153</v>
      </c>
      <c r="E584" s="76" t="s">
        <v>243</v>
      </c>
      <c r="F584" s="79">
        <v>4.7</v>
      </c>
      <c r="G584" s="76" t="s">
        <v>18</v>
      </c>
      <c r="H584" s="78"/>
      <c r="I584" s="76"/>
    </row>
    <row r="585" spans="2:19" ht="28.5" customHeight="1" x14ac:dyDescent="0.3">
      <c r="B585" s="76" t="s">
        <v>20</v>
      </c>
      <c r="C585" s="76" t="s">
        <v>325</v>
      </c>
      <c r="D585" s="76" t="s">
        <v>153</v>
      </c>
      <c r="E585" s="76" t="s">
        <v>243</v>
      </c>
      <c r="F585" s="79">
        <v>4.7</v>
      </c>
      <c r="G585" s="76" t="s">
        <v>18</v>
      </c>
      <c r="H585" s="78"/>
      <c r="I585" s="76"/>
    </row>
    <row r="586" spans="2:19" ht="28.5" customHeight="1" x14ac:dyDescent="0.3">
      <c r="B586" s="76" t="s">
        <v>20</v>
      </c>
      <c r="C586" s="76" t="s">
        <v>326</v>
      </c>
      <c r="D586" s="76" t="s">
        <v>153</v>
      </c>
      <c r="E586" s="76" t="s">
        <v>243</v>
      </c>
      <c r="F586" s="79">
        <v>4.7</v>
      </c>
      <c r="G586" s="76" t="s">
        <v>18</v>
      </c>
      <c r="H586" s="78"/>
      <c r="I586" s="76"/>
    </row>
    <row r="587" spans="2:19" ht="28.5" customHeight="1" x14ac:dyDescent="0.3">
      <c r="B587" s="76" t="s">
        <v>20</v>
      </c>
      <c r="C587" s="76" t="s">
        <v>327</v>
      </c>
      <c r="D587" s="76" t="s">
        <v>17</v>
      </c>
      <c r="E587" s="76" t="s">
        <v>243</v>
      </c>
      <c r="F587" s="79">
        <v>5.58</v>
      </c>
      <c r="G587" s="76" t="s">
        <v>18</v>
      </c>
      <c r="H587" s="78"/>
      <c r="I587" s="76"/>
    </row>
    <row r="588" spans="2:19" ht="28.5" customHeight="1" x14ac:dyDescent="0.3">
      <c r="B588" s="76" t="s">
        <v>20</v>
      </c>
      <c r="C588" s="76" t="s">
        <v>328</v>
      </c>
      <c r="D588" s="76" t="s">
        <v>17</v>
      </c>
      <c r="E588" s="76" t="s">
        <v>243</v>
      </c>
      <c r="F588" s="79">
        <v>5.58</v>
      </c>
      <c r="G588" s="76" t="s">
        <v>18</v>
      </c>
      <c r="H588" s="78"/>
      <c r="I588" s="76"/>
    </row>
    <row r="589" spans="2:19" ht="28.5" x14ac:dyDescent="0.3">
      <c r="B589" s="76" t="s">
        <v>20</v>
      </c>
      <c r="C589" s="76" t="s">
        <v>329</v>
      </c>
      <c r="D589" s="76" t="s">
        <v>17</v>
      </c>
      <c r="E589" s="76" t="s">
        <v>243</v>
      </c>
      <c r="F589" s="79">
        <v>5.58</v>
      </c>
      <c r="G589" s="76" t="s">
        <v>18</v>
      </c>
      <c r="H589" s="78"/>
      <c r="I589" s="76"/>
    </row>
    <row r="590" spans="2:19" ht="28.5" customHeight="1" x14ac:dyDescent="0.3">
      <c r="B590" s="76" t="s">
        <v>20</v>
      </c>
      <c r="C590" s="76" t="s">
        <v>330</v>
      </c>
      <c r="D590" s="76" t="s">
        <v>17</v>
      </c>
      <c r="E590" s="76" t="s">
        <v>243</v>
      </c>
      <c r="F590" s="79">
        <v>5.58</v>
      </c>
      <c r="G590" s="76" t="s">
        <v>18</v>
      </c>
      <c r="H590" s="78"/>
      <c r="I590" s="76"/>
    </row>
    <row r="591" spans="2:19" ht="28.5" customHeight="1" x14ac:dyDescent="0.3">
      <c r="B591" s="76" t="s">
        <v>20</v>
      </c>
      <c r="C591" s="76" t="s">
        <v>331</v>
      </c>
      <c r="D591" s="76" t="s">
        <v>163</v>
      </c>
      <c r="E591" s="76" t="s">
        <v>243</v>
      </c>
      <c r="F591" s="79">
        <v>6.19</v>
      </c>
      <c r="G591" s="76" t="s">
        <v>18</v>
      </c>
      <c r="H591" s="78"/>
      <c r="I591" s="76"/>
    </row>
    <row r="592" spans="2:19" ht="28.5" customHeight="1" x14ac:dyDescent="0.3">
      <c r="B592" s="76" t="s">
        <v>20</v>
      </c>
      <c r="C592" s="76" t="s">
        <v>332</v>
      </c>
      <c r="D592" s="76" t="s">
        <v>163</v>
      </c>
      <c r="E592" s="76" t="s">
        <v>243</v>
      </c>
      <c r="F592" s="79">
        <v>6.19</v>
      </c>
      <c r="G592" s="76" t="s">
        <v>18</v>
      </c>
      <c r="H592" s="78"/>
      <c r="I592" s="76"/>
    </row>
    <row r="593" spans="2:9" ht="28.5" customHeight="1" x14ac:dyDescent="0.3">
      <c r="B593" s="76" t="s">
        <v>20</v>
      </c>
      <c r="C593" s="76" t="s">
        <v>333</v>
      </c>
      <c r="D593" s="76" t="s">
        <v>163</v>
      </c>
      <c r="E593" s="76" t="s">
        <v>243</v>
      </c>
      <c r="F593" s="79">
        <v>6.19</v>
      </c>
      <c r="G593" s="76" t="s">
        <v>18</v>
      </c>
      <c r="H593" s="78"/>
      <c r="I593" s="76"/>
    </row>
    <row r="594" spans="2:9" ht="28.5" customHeight="1" x14ac:dyDescent="0.3">
      <c r="B594" s="76" t="s">
        <v>20</v>
      </c>
      <c r="C594" s="76" t="s">
        <v>334</v>
      </c>
      <c r="D594" s="76" t="s">
        <v>163</v>
      </c>
      <c r="E594" s="76" t="s">
        <v>243</v>
      </c>
      <c r="F594" s="79">
        <v>6.19</v>
      </c>
      <c r="G594" s="76" t="s">
        <v>18</v>
      </c>
      <c r="H594" s="78"/>
      <c r="I594" s="76"/>
    </row>
    <row r="595" spans="2:9" ht="28.5" customHeight="1" x14ac:dyDescent="0.3">
      <c r="B595" s="76" t="s">
        <v>20</v>
      </c>
      <c r="C595" s="76" t="s">
        <v>335</v>
      </c>
      <c r="D595" s="76" t="s">
        <v>163</v>
      </c>
      <c r="E595" s="76" t="s">
        <v>243</v>
      </c>
      <c r="F595" s="79">
        <v>6.19</v>
      </c>
      <c r="G595" s="76" t="s">
        <v>18</v>
      </c>
      <c r="H595" s="78"/>
      <c r="I595" s="76"/>
    </row>
    <row r="596" spans="2:9" ht="28.5" customHeight="1" x14ac:dyDescent="0.3">
      <c r="B596" s="76" t="s">
        <v>20</v>
      </c>
      <c r="C596" s="76" t="s">
        <v>336</v>
      </c>
      <c r="D596" s="76" t="s">
        <v>19</v>
      </c>
      <c r="E596" s="76" t="s">
        <v>243</v>
      </c>
      <c r="F596" s="79">
        <v>7</v>
      </c>
      <c r="G596" s="76" t="s">
        <v>18</v>
      </c>
      <c r="H596" s="78"/>
      <c r="I596" s="76"/>
    </row>
    <row r="597" spans="2:9" ht="28.5" customHeight="1" x14ac:dyDescent="0.3">
      <c r="B597" s="76" t="s">
        <v>20</v>
      </c>
      <c r="C597" s="76" t="s">
        <v>337</v>
      </c>
      <c r="D597" s="76" t="s">
        <v>19</v>
      </c>
      <c r="E597" s="76" t="s">
        <v>243</v>
      </c>
      <c r="F597" s="79">
        <v>7</v>
      </c>
      <c r="G597" s="76" t="s">
        <v>18</v>
      </c>
      <c r="H597" s="78"/>
      <c r="I597" s="76"/>
    </row>
    <row r="598" spans="2:9" ht="28.5" customHeight="1" x14ac:dyDescent="0.3">
      <c r="B598" s="76" t="s">
        <v>20</v>
      </c>
      <c r="C598" s="76" t="s">
        <v>338</v>
      </c>
      <c r="D598" s="76" t="s">
        <v>19</v>
      </c>
      <c r="E598" s="76" t="s">
        <v>243</v>
      </c>
      <c r="F598" s="79">
        <v>7</v>
      </c>
      <c r="G598" s="76" t="s">
        <v>18</v>
      </c>
      <c r="H598" s="78"/>
      <c r="I598" s="76"/>
    </row>
    <row r="599" spans="2:9" ht="28.5" customHeight="1" x14ac:dyDescent="0.3">
      <c r="B599" s="76" t="s">
        <v>20</v>
      </c>
      <c r="C599" s="76" t="s">
        <v>339</v>
      </c>
      <c r="D599" s="76" t="s">
        <v>19</v>
      </c>
      <c r="E599" s="76" t="s">
        <v>243</v>
      </c>
      <c r="F599" s="79">
        <v>7</v>
      </c>
      <c r="G599" s="76" t="s">
        <v>18</v>
      </c>
      <c r="H599" s="78"/>
      <c r="I599" s="76"/>
    </row>
    <row r="600" spans="2:9" ht="28.5" customHeight="1" x14ac:dyDescent="0.3">
      <c r="B600" s="76" t="s">
        <v>20</v>
      </c>
      <c r="C600" s="76" t="s">
        <v>340</v>
      </c>
      <c r="D600" s="76" t="s">
        <v>19</v>
      </c>
      <c r="E600" s="76" t="s">
        <v>243</v>
      </c>
      <c r="F600" s="79">
        <v>7</v>
      </c>
      <c r="G600" s="76" t="s">
        <v>18</v>
      </c>
      <c r="H600" s="78"/>
      <c r="I600" s="76"/>
    </row>
    <row r="601" spans="2:9" ht="28.5" customHeight="1" x14ac:dyDescent="0.3">
      <c r="B601" s="76" t="s">
        <v>20</v>
      </c>
      <c r="C601" s="76" t="s">
        <v>341</v>
      </c>
      <c r="D601" s="76" t="s">
        <v>19</v>
      </c>
      <c r="E601" s="76" t="s">
        <v>243</v>
      </c>
      <c r="F601" s="79">
        <v>7</v>
      </c>
      <c r="G601" s="76" t="s">
        <v>18</v>
      </c>
      <c r="H601" s="78"/>
      <c r="I601" s="76"/>
    </row>
    <row r="602" spans="2:9" ht="28.5" customHeight="1" x14ac:dyDescent="0.3">
      <c r="B602" s="76" t="s">
        <v>20</v>
      </c>
      <c r="C602" s="76" t="s">
        <v>342</v>
      </c>
      <c r="D602" s="76" t="s">
        <v>19</v>
      </c>
      <c r="E602" s="76" t="s">
        <v>243</v>
      </c>
      <c r="F602" s="79">
        <v>7</v>
      </c>
      <c r="G602" s="76" t="s">
        <v>18</v>
      </c>
      <c r="H602" s="78"/>
      <c r="I602" s="76"/>
    </row>
    <row r="603" spans="2:9" ht="28.5" customHeight="1" x14ac:dyDescent="0.3">
      <c r="B603" s="76" t="s">
        <v>20</v>
      </c>
      <c r="C603" s="76" t="s">
        <v>343</v>
      </c>
      <c r="D603" s="76" t="s">
        <v>19</v>
      </c>
      <c r="E603" s="76" t="s">
        <v>243</v>
      </c>
      <c r="F603" s="79">
        <v>7</v>
      </c>
      <c r="G603" s="76" t="s">
        <v>18</v>
      </c>
      <c r="H603" s="78"/>
      <c r="I603" s="76"/>
    </row>
    <row r="604" spans="2:9" ht="28.5" customHeight="1" x14ac:dyDescent="0.3">
      <c r="B604" s="76" t="s">
        <v>20</v>
      </c>
      <c r="C604" s="76" t="s">
        <v>344</v>
      </c>
      <c r="D604" s="76" t="s">
        <v>19</v>
      </c>
      <c r="E604" s="76" t="s">
        <v>243</v>
      </c>
      <c r="F604" s="79">
        <v>7</v>
      </c>
      <c r="G604" s="76" t="s">
        <v>18</v>
      </c>
      <c r="H604" s="78"/>
      <c r="I604" s="76"/>
    </row>
    <row r="605" spans="2:9" ht="28.5" customHeight="1" x14ac:dyDescent="0.3">
      <c r="B605" s="76" t="s">
        <v>20</v>
      </c>
      <c r="C605" s="76" t="s">
        <v>345</v>
      </c>
      <c r="D605" s="76" t="s">
        <v>19</v>
      </c>
      <c r="E605" s="76" t="s">
        <v>243</v>
      </c>
      <c r="F605" s="79">
        <v>7</v>
      </c>
      <c r="G605" s="76" t="s">
        <v>18</v>
      </c>
      <c r="H605" s="78"/>
      <c r="I605" s="76"/>
    </row>
    <row r="606" spans="2:9" ht="28.5" customHeight="1" x14ac:dyDescent="0.3">
      <c r="B606" s="76" t="s">
        <v>20</v>
      </c>
      <c r="C606" s="76" t="s">
        <v>346</v>
      </c>
      <c r="D606" s="76" t="s">
        <v>19</v>
      </c>
      <c r="E606" s="76" t="s">
        <v>243</v>
      </c>
      <c r="F606" s="79">
        <v>7</v>
      </c>
      <c r="G606" s="76" t="s">
        <v>18</v>
      </c>
      <c r="H606" s="78"/>
      <c r="I606" s="76"/>
    </row>
    <row r="607" spans="2:9" ht="28.5" customHeight="1" x14ac:dyDescent="0.3">
      <c r="B607" s="76" t="s">
        <v>20</v>
      </c>
      <c r="C607" s="76" t="s">
        <v>347</v>
      </c>
      <c r="D607" s="76" t="s">
        <v>19</v>
      </c>
      <c r="E607" s="76" t="s">
        <v>243</v>
      </c>
      <c r="F607" s="79">
        <v>7</v>
      </c>
      <c r="G607" s="76" t="s">
        <v>18</v>
      </c>
      <c r="H607" s="78"/>
      <c r="I607" s="76"/>
    </row>
    <row r="608" spans="2:9" ht="28.5" customHeight="1" x14ac:dyDescent="0.3">
      <c r="B608" s="76" t="s">
        <v>20</v>
      </c>
      <c r="C608" s="76" t="s">
        <v>348</v>
      </c>
      <c r="D608" s="76" t="s">
        <v>19</v>
      </c>
      <c r="E608" s="76" t="s">
        <v>243</v>
      </c>
      <c r="F608" s="79">
        <v>7</v>
      </c>
      <c r="G608" s="76" t="s">
        <v>18</v>
      </c>
      <c r="H608" s="78"/>
      <c r="I608" s="76"/>
    </row>
    <row r="609" spans="2:9" ht="28.5" customHeight="1" x14ac:dyDescent="0.3">
      <c r="B609" s="76" t="s">
        <v>20</v>
      </c>
      <c r="C609" s="76" t="s">
        <v>349</v>
      </c>
      <c r="D609" s="76" t="s">
        <v>19</v>
      </c>
      <c r="E609" s="76" t="s">
        <v>243</v>
      </c>
      <c r="F609" s="79">
        <v>7</v>
      </c>
      <c r="G609" s="76" t="s">
        <v>18</v>
      </c>
      <c r="H609" s="78"/>
      <c r="I609" s="76"/>
    </row>
    <row r="610" spans="2:9" ht="28.5" customHeight="1" x14ac:dyDescent="0.3">
      <c r="B610" s="76" t="s">
        <v>20</v>
      </c>
      <c r="C610" s="76" t="s">
        <v>350</v>
      </c>
      <c r="D610" s="76" t="s">
        <v>19</v>
      </c>
      <c r="E610" s="76" t="s">
        <v>243</v>
      </c>
      <c r="F610" s="79">
        <v>7</v>
      </c>
      <c r="G610" s="76" t="s">
        <v>18</v>
      </c>
      <c r="H610" s="78"/>
      <c r="I610" s="76"/>
    </row>
    <row r="611" spans="2:9" ht="28.5" customHeight="1" x14ac:dyDescent="0.3">
      <c r="B611" s="76" t="s">
        <v>20</v>
      </c>
      <c r="C611" s="76" t="s">
        <v>351</v>
      </c>
      <c r="D611" s="76" t="s">
        <v>19</v>
      </c>
      <c r="E611" s="76" t="s">
        <v>243</v>
      </c>
      <c r="F611" s="79">
        <v>7</v>
      </c>
      <c r="G611" s="76" t="s">
        <v>18</v>
      </c>
      <c r="H611" s="78"/>
      <c r="I611" s="76"/>
    </row>
    <row r="612" spans="2:9" ht="28.5" customHeight="1" x14ac:dyDescent="0.3">
      <c r="B612" s="76" t="s">
        <v>20</v>
      </c>
      <c r="C612" s="76" t="s">
        <v>352</v>
      </c>
      <c r="D612" s="76" t="s">
        <v>19</v>
      </c>
      <c r="E612" s="76" t="s">
        <v>243</v>
      </c>
      <c r="F612" s="79">
        <v>7</v>
      </c>
      <c r="G612" s="76" t="s">
        <v>18</v>
      </c>
      <c r="H612" s="78"/>
      <c r="I612" s="76"/>
    </row>
    <row r="613" spans="2:9" ht="28.5" customHeight="1" x14ac:dyDescent="0.3">
      <c r="B613" s="76" t="s">
        <v>20</v>
      </c>
      <c r="C613" s="76" t="s">
        <v>353</v>
      </c>
      <c r="D613" s="76" t="s">
        <v>19</v>
      </c>
      <c r="E613" s="76" t="s">
        <v>243</v>
      </c>
      <c r="F613" s="79">
        <v>7</v>
      </c>
      <c r="G613" s="76" t="s">
        <v>18</v>
      </c>
      <c r="H613" s="78"/>
      <c r="I613" s="76"/>
    </row>
    <row r="614" spans="2:9" ht="28.5" customHeight="1" x14ac:dyDescent="0.3">
      <c r="B614" s="76" t="s">
        <v>20</v>
      </c>
      <c r="C614" s="76" t="s">
        <v>354</v>
      </c>
      <c r="D614" s="76" t="s">
        <v>19</v>
      </c>
      <c r="E614" s="76" t="s">
        <v>243</v>
      </c>
      <c r="F614" s="79">
        <v>7</v>
      </c>
      <c r="G614" s="76" t="s">
        <v>18</v>
      </c>
      <c r="H614" s="78"/>
      <c r="I614" s="76"/>
    </row>
    <row r="615" spans="2:9" ht="28.5" customHeight="1" x14ac:dyDescent="0.3">
      <c r="B615" s="76" t="s">
        <v>20</v>
      </c>
      <c r="C615" s="76" t="s">
        <v>355</v>
      </c>
      <c r="D615" s="76" t="s">
        <v>19</v>
      </c>
      <c r="E615" s="76" t="s">
        <v>243</v>
      </c>
      <c r="F615" s="79">
        <v>7</v>
      </c>
      <c r="G615" s="76" t="s">
        <v>18</v>
      </c>
      <c r="H615" s="78"/>
      <c r="I615" s="76"/>
    </row>
    <row r="616" spans="2:9" ht="28.5" x14ac:dyDescent="0.3">
      <c r="B616" s="76" t="s">
        <v>20</v>
      </c>
      <c r="C616" s="76" t="s">
        <v>356</v>
      </c>
      <c r="D616" s="76" t="s">
        <v>19</v>
      </c>
      <c r="E616" s="76" t="s">
        <v>243</v>
      </c>
      <c r="F616" s="79">
        <v>7</v>
      </c>
      <c r="G616" s="76" t="s">
        <v>18</v>
      </c>
      <c r="H616" s="78"/>
      <c r="I616" s="76"/>
    </row>
    <row r="617" spans="2:9" ht="28.5" customHeight="1" x14ac:dyDescent="0.3">
      <c r="B617" s="76" t="s">
        <v>20</v>
      </c>
      <c r="C617" s="76" t="s">
        <v>357</v>
      </c>
      <c r="D617" s="76" t="s">
        <v>172</v>
      </c>
      <c r="E617" s="76" t="s">
        <v>243</v>
      </c>
      <c r="F617" s="79">
        <v>7.93</v>
      </c>
      <c r="G617" s="76" t="s">
        <v>18</v>
      </c>
      <c r="H617" s="78"/>
      <c r="I617" s="76"/>
    </row>
    <row r="618" spans="2:9" ht="28.5" customHeight="1" x14ac:dyDescent="0.3">
      <c r="B618" s="76" t="s">
        <v>20</v>
      </c>
      <c r="C618" s="76" t="s">
        <v>358</v>
      </c>
      <c r="D618" s="76" t="s">
        <v>172</v>
      </c>
      <c r="E618" s="76" t="s">
        <v>243</v>
      </c>
      <c r="F618" s="79">
        <v>7.93</v>
      </c>
      <c r="G618" s="76" t="s">
        <v>18</v>
      </c>
      <c r="H618" s="78"/>
      <c r="I618" s="76"/>
    </row>
    <row r="619" spans="2:9" ht="28.5" customHeight="1" x14ac:dyDescent="0.3">
      <c r="B619" s="76" t="s">
        <v>20</v>
      </c>
      <c r="C619" s="76" t="s">
        <v>359</v>
      </c>
      <c r="D619" s="76" t="s">
        <v>172</v>
      </c>
      <c r="E619" s="76" t="s">
        <v>243</v>
      </c>
      <c r="F619" s="79">
        <v>7.93</v>
      </c>
      <c r="G619" s="76" t="s">
        <v>18</v>
      </c>
      <c r="H619" s="78"/>
      <c r="I619" s="76"/>
    </row>
    <row r="620" spans="2:9" ht="28.5" customHeight="1" x14ac:dyDescent="0.3">
      <c r="B620" s="76" t="s">
        <v>20</v>
      </c>
      <c r="C620" s="76" t="s">
        <v>360</v>
      </c>
      <c r="D620" s="76" t="s">
        <v>172</v>
      </c>
      <c r="E620" s="76" t="s">
        <v>243</v>
      </c>
      <c r="F620" s="79">
        <v>7.93</v>
      </c>
      <c r="G620" s="76" t="s">
        <v>18</v>
      </c>
      <c r="H620" s="78"/>
      <c r="I620" s="76"/>
    </row>
    <row r="621" spans="2:9" ht="28.5" customHeight="1" x14ac:dyDescent="0.3">
      <c r="B621" s="76" t="s">
        <v>20</v>
      </c>
      <c r="C621" s="76" t="s">
        <v>361</v>
      </c>
      <c r="D621" s="76" t="s">
        <v>172</v>
      </c>
      <c r="E621" s="76" t="s">
        <v>243</v>
      </c>
      <c r="F621" s="79">
        <v>7.93</v>
      </c>
      <c r="G621" s="76" t="s">
        <v>18</v>
      </c>
      <c r="H621" s="78"/>
      <c r="I621" s="76"/>
    </row>
    <row r="622" spans="2:9" ht="28.5" customHeight="1" x14ac:dyDescent="0.3">
      <c r="B622" s="76" t="s">
        <v>20</v>
      </c>
      <c r="C622" s="76" t="s">
        <v>362</v>
      </c>
      <c r="D622" s="76" t="s">
        <v>172</v>
      </c>
      <c r="E622" s="76" t="s">
        <v>243</v>
      </c>
      <c r="F622" s="79">
        <v>7.93</v>
      </c>
      <c r="G622" s="76" t="s">
        <v>18</v>
      </c>
      <c r="H622" s="78"/>
      <c r="I622" s="76"/>
    </row>
    <row r="623" spans="2:9" ht="28.5" customHeight="1" x14ac:dyDescent="0.3">
      <c r="B623" s="76" t="s">
        <v>20</v>
      </c>
      <c r="C623" s="76" t="s">
        <v>363</v>
      </c>
      <c r="D623" s="76" t="s">
        <v>172</v>
      </c>
      <c r="E623" s="76" t="s">
        <v>243</v>
      </c>
      <c r="F623" s="79">
        <v>7.93</v>
      </c>
      <c r="G623" s="76" t="s">
        <v>18</v>
      </c>
      <c r="H623" s="78"/>
      <c r="I623" s="76"/>
    </row>
    <row r="624" spans="2:9" ht="28.5" customHeight="1" x14ac:dyDescent="0.3">
      <c r="B624" s="76" t="s">
        <v>20</v>
      </c>
      <c r="C624" s="76" t="s">
        <v>364</v>
      </c>
      <c r="D624" s="76" t="s">
        <v>172</v>
      </c>
      <c r="E624" s="76" t="s">
        <v>243</v>
      </c>
      <c r="F624" s="79">
        <v>7.93</v>
      </c>
      <c r="G624" s="76" t="s">
        <v>18</v>
      </c>
      <c r="H624" s="78"/>
      <c r="I624" s="76"/>
    </row>
    <row r="625" spans="2:9" ht="28.5" customHeight="1" x14ac:dyDescent="0.3">
      <c r="B625" s="76" t="s">
        <v>20</v>
      </c>
      <c r="C625" s="76" t="s">
        <v>365</v>
      </c>
      <c r="D625" s="76" t="s">
        <v>172</v>
      </c>
      <c r="E625" s="76" t="s">
        <v>243</v>
      </c>
      <c r="F625" s="79">
        <v>7.93</v>
      </c>
      <c r="G625" s="76" t="s">
        <v>18</v>
      </c>
      <c r="H625" s="78"/>
      <c r="I625" s="76"/>
    </row>
    <row r="626" spans="2:9" ht="28.5" customHeight="1" x14ac:dyDescent="0.3">
      <c r="B626" s="76" t="s">
        <v>20</v>
      </c>
      <c r="C626" s="76" t="s">
        <v>366</v>
      </c>
      <c r="D626" s="76" t="s">
        <v>172</v>
      </c>
      <c r="E626" s="76" t="s">
        <v>243</v>
      </c>
      <c r="F626" s="79">
        <v>7.93</v>
      </c>
      <c r="G626" s="76" t="s">
        <v>18</v>
      </c>
      <c r="H626" s="78"/>
      <c r="I626" s="76"/>
    </row>
    <row r="627" spans="2:9" ht="28.5" customHeight="1" x14ac:dyDescent="0.3">
      <c r="B627" s="76" t="s">
        <v>20</v>
      </c>
      <c r="C627" s="76" t="s">
        <v>367</v>
      </c>
      <c r="D627" s="76" t="s">
        <v>172</v>
      </c>
      <c r="E627" s="76" t="s">
        <v>243</v>
      </c>
      <c r="F627" s="79">
        <v>7.93</v>
      </c>
      <c r="G627" s="76" t="s">
        <v>18</v>
      </c>
      <c r="H627" s="78"/>
      <c r="I627" s="76"/>
    </row>
    <row r="628" spans="2:9" ht="28.5" customHeight="1" x14ac:dyDescent="0.3">
      <c r="B628" s="76" t="s">
        <v>20</v>
      </c>
      <c r="C628" s="76" t="s">
        <v>368</v>
      </c>
      <c r="D628" s="76" t="s">
        <v>172</v>
      </c>
      <c r="E628" s="76" t="s">
        <v>243</v>
      </c>
      <c r="F628" s="79">
        <v>7.93</v>
      </c>
      <c r="G628" s="76" t="s">
        <v>18</v>
      </c>
      <c r="H628" s="78"/>
      <c r="I628" s="76"/>
    </row>
    <row r="629" spans="2:9" ht="28.5" customHeight="1" x14ac:dyDescent="0.3">
      <c r="B629" s="76" t="s">
        <v>20</v>
      </c>
      <c r="C629" s="76" t="s">
        <v>369</v>
      </c>
      <c r="D629" s="76" t="s">
        <v>172</v>
      </c>
      <c r="E629" s="76" t="s">
        <v>243</v>
      </c>
      <c r="F629" s="79">
        <v>7.93</v>
      </c>
      <c r="G629" s="76" t="s">
        <v>18</v>
      </c>
      <c r="H629" s="78"/>
      <c r="I629" s="76"/>
    </row>
    <row r="630" spans="2:9" ht="28.5" customHeight="1" x14ac:dyDescent="0.3">
      <c r="B630" s="76" t="s">
        <v>20</v>
      </c>
      <c r="C630" s="76" t="s">
        <v>370</v>
      </c>
      <c r="D630" s="76" t="s">
        <v>172</v>
      </c>
      <c r="E630" s="76" t="s">
        <v>243</v>
      </c>
      <c r="F630" s="79">
        <v>7.93</v>
      </c>
      <c r="G630" s="76" t="s">
        <v>18</v>
      </c>
      <c r="H630" s="78"/>
      <c r="I630" s="76"/>
    </row>
    <row r="631" spans="2:9" ht="28.5" customHeight="1" x14ac:dyDescent="0.3">
      <c r="B631" s="76" t="s">
        <v>20</v>
      </c>
      <c r="C631" s="76" t="s">
        <v>371</v>
      </c>
      <c r="D631" s="76" t="s">
        <v>172</v>
      </c>
      <c r="E631" s="76" t="s">
        <v>243</v>
      </c>
      <c r="F631" s="79">
        <v>7.93</v>
      </c>
      <c r="G631" s="76" t="s">
        <v>18</v>
      </c>
      <c r="H631" s="78"/>
      <c r="I631" s="76"/>
    </row>
    <row r="632" spans="2:9" ht="42.75" customHeight="1" x14ac:dyDescent="0.3">
      <c r="B632" s="76" t="s">
        <v>20</v>
      </c>
      <c r="C632" s="76" t="s">
        <v>372</v>
      </c>
      <c r="D632" s="76" t="s">
        <v>172</v>
      </c>
      <c r="E632" s="76" t="s">
        <v>243</v>
      </c>
      <c r="F632" s="79">
        <v>7.93</v>
      </c>
      <c r="G632" s="76" t="s">
        <v>18</v>
      </c>
      <c r="H632" s="78"/>
      <c r="I632" s="76"/>
    </row>
    <row r="633" spans="2:9" ht="28.5" customHeight="1" x14ac:dyDescent="0.3">
      <c r="B633" s="76" t="s">
        <v>20</v>
      </c>
      <c r="C633" s="76" t="s">
        <v>373</v>
      </c>
      <c r="D633" s="76" t="s">
        <v>172</v>
      </c>
      <c r="E633" s="76" t="s">
        <v>243</v>
      </c>
      <c r="F633" s="79">
        <v>7.93</v>
      </c>
      <c r="G633" s="76" t="s">
        <v>18</v>
      </c>
      <c r="H633" s="78"/>
      <c r="I633" s="76"/>
    </row>
    <row r="634" spans="2:9" ht="42.75" customHeight="1" x14ac:dyDescent="0.3">
      <c r="B634" s="76" t="s">
        <v>20</v>
      </c>
      <c r="C634" s="76" t="s">
        <v>374</v>
      </c>
      <c r="D634" s="76" t="s">
        <v>172</v>
      </c>
      <c r="E634" s="76" t="s">
        <v>243</v>
      </c>
      <c r="F634" s="79">
        <v>7.93</v>
      </c>
      <c r="G634" s="76" t="s">
        <v>18</v>
      </c>
      <c r="H634" s="78"/>
      <c r="I634" s="76"/>
    </row>
    <row r="635" spans="2:9" ht="28.5" customHeight="1" x14ac:dyDescent="0.3">
      <c r="B635" s="76" t="s">
        <v>20</v>
      </c>
      <c r="C635" s="76" t="s">
        <v>375</v>
      </c>
      <c r="D635" s="76" t="s">
        <v>172</v>
      </c>
      <c r="E635" s="76" t="s">
        <v>243</v>
      </c>
      <c r="F635" s="79">
        <v>7.93</v>
      </c>
      <c r="G635" s="76" t="s">
        <v>18</v>
      </c>
      <c r="H635" s="78"/>
      <c r="I635" s="76"/>
    </row>
    <row r="636" spans="2:9" ht="28.5" customHeight="1" x14ac:dyDescent="0.3">
      <c r="B636" s="76" t="s">
        <v>20</v>
      </c>
      <c r="C636" s="76" t="s">
        <v>376</v>
      </c>
      <c r="D636" s="76" t="s">
        <v>172</v>
      </c>
      <c r="E636" s="76" t="s">
        <v>243</v>
      </c>
      <c r="F636" s="79">
        <v>7.93</v>
      </c>
      <c r="G636" s="76" t="s">
        <v>18</v>
      </c>
      <c r="H636" s="78"/>
      <c r="I636" s="76"/>
    </row>
    <row r="637" spans="2:9" ht="28.5" customHeight="1" x14ac:dyDescent="0.3">
      <c r="B637" s="76" t="s">
        <v>20</v>
      </c>
      <c r="C637" s="76" t="s">
        <v>377</v>
      </c>
      <c r="D637" s="76" t="s">
        <v>172</v>
      </c>
      <c r="E637" s="76" t="s">
        <v>243</v>
      </c>
      <c r="F637" s="79">
        <v>7.93</v>
      </c>
      <c r="G637" s="76" t="s">
        <v>18</v>
      </c>
      <c r="H637" s="78"/>
      <c r="I637" s="76"/>
    </row>
    <row r="638" spans="2:9" ht="28.5" customHeight="1" x14ac:dyDescent="0.3">
      <c r="B638" s="76" t="s">
        <v>20</v>
      </c>
      <c r="C638" s="76" t="s">
        <v>378</v>
      </c>
      <c r="D638" s="76" t="s">
        <v>172</v>
      </c>
      <c r="E638" s="76" t="s">
        <v>243</v>
      </c>
      <c r="F638" s="79">
        <v>7.93</v>
      </c>
      <c r="G638" s="76" t="s">
        <v>18</v>
      </c>
      <c r="H638" s="78"/>
      <c r="I638" s="76"/>
    </row>
    <row r="639" spans="2:9" ht="28.5" customHeight="1" x14ac:dyDescent="0.3">
      <c r="B639" s="76" t="s">
        <v>20</v>
      </c>
      <c r="C639" s="76" t="s">
        <v>379</v>
      </c>
      <c r="D639" s="76" t="s">
        <v>172</v>
      </c>
      <c r="E639" s="76" t="s">
        <v>243</v>
      </c>
      <c r="F639" s="79">
        <v>7.93</v>
      </c>
      <c r="G639" s="76" t="s">
        <v>18</v>
      </c>
      <c r="H639" s="78"/>
      <c r="I639" s="76"/>
    </row>
    <row r="640" spans="2:9" ht="28.5" customHeight="1" x14ac:dyDescent="0.3">
      <c r="B640" s="76" t="s">
        <v>20</v>
      </c>
      <c r="C640" s="76" t="s">
        <v>380</v>
      </c>
      <c r="D640" s="76" t="s">
        <v>176</v>
      </c>
      <c r="E640" s="76" t="s">
        <v>243</v>
      </c>
      <c r="F640" s="79">
        <v>8.9</v>
      </c>
      <c r="G640" s="76" t="s">
        <v>18</v>
      </c>
      <c r="H640" s="78"/>
      <c r="I640" s="76"/>
    </row>
    <row r="641" spans="2:9" ht="28.5" customHeight="1" x14ac:dyDescent="0.3">
      <c r="B641" s="76" t="s">
        <v>20</v>
      </c>
      <c r="C641" s="76" t="s">
        <v>381</v>
      </c>
      <c r="D641" s="76" t="s">
        <v>176</v>
      </c>
      <c r="E641" s="76" t="s">
        <v>243</v>
      </c>
      <c r="F641" s="79">
        <v>8.9</v>
      </c>
      <c r="G641" s="76" t="s">
        <v>18</v>
      </c>
      <c r="H641" s="78"/>
      <c r="I641" s="76"/>
    </row>
    <row r="642" spans="2:9" ht="28.5" customHeight="1" x14ac:dyDescent="0.3">
      <c r="B642" s="76" t="s">
        <v>20</v>
      </c>
      <c r="C642" s="76" t="s">
        <v>382</v>
      </c>
      <c r="D642" s="76" t="s">
        <v>176</v>
      </c>
      <c r="E642" s="76" t="s">
        <v>243</v>
      </c>
      <c r="F642" s="79">
        <v>8.9</v>
      </c>
      <c r="G642" s="76" t="s">
        <v>18</v>
      </c>
      <c r="H642" s="78"/>
      <c r="I642" s="76"/>
    </row>
    <row r="643" spans="2:9" ht="28.5" customHeight="1" x14ac:dyDescent="0.3">
      <c r="B643" s="76" t="s">
        <v>20</v>
      </c>
      <c r="C643" s="76" t="s">
        <v>383</v>
      </c>
      <c r="D643" s="76" t="s">
        <v>176</v>
      </c>
      <c r="E643" s="76" t="s">
        <v>243</v>
      </c>
      <c r="F643" s="79">
        <v>8.9</v>
      </c>
      <c r="G643" s="76" t="s">
        <v>18</v>
      </c>
      <c r="H643" s="78"/>
      <c r="I643" s="76"/>
    </row>
    <row r="644" spans="2:9" ht="42.75" customHeight="1" x14ac:dyDescent="0.3">
      <c r="B644" s="76" t="s">
        <v>20</v>
      </c>
      <c r="C644" s="76" t="s">
        <v>384</v>
      </c>
      <c r="D644" s="76" t="s">
        <v>176</v>
      </c>
      <c r="E644" s="76" t="s">
        <v>243</v>
      </c>
      <c r="F644" s="79">
        <v>8.9</v>
      </c>
      <c r="G644" s="76" t="s">
        <v>18</v>
      </c>
      <c r="H644" s="78"/>
      <c r="I644" s="76"/>
    </row>
    <row r="645" spans="2:9" ht="28.5" customHeight="1" x14ac:dyDescent="0.3">
      <c r="B645" s="76" t="s">
        <v>20</v>
      </c>
      <c r="C645" s="76" t="s">
        <v>385</v>
      </c>
      <c r="D645" s="76" t="s">
        <v>176</v>
      </c>
      <c r="E645" s="76" t="s">
        <v>243</v>
      </c>
      <c r="F645" s="79">
        <v>8.9</v>
      </c>
      <c r="G645" s="76" t="s">
        <v>18</v>
      </c>
      <c r="H645" s="78"/>
      <c r="I645" s="76"/>
    </row>
    <row r="646" spans="2:9" ht="28.5" customHeight="1" x14ac:dyDescent="0.3">
      <c r="B646" s="76" t="s">
        <v>20</v>
      </c>
      <c r="C646" s="76" t="s">
        <v>386</v>
      </c>
      <c r="D646" s="76" t="s">
        <v>176</v>
      </c>
      <c r="E646" s="76" t="s">
        <v>243</v>
      </c>
      <c r="F646" s="79">
        <v>8.9</v>
      </c>
      <c r="G646" s="76" t="s">
        <v>18</v>
      </c>
      <c r="H646" s="78"/>
      <c r="I646" s="76"/>
    </row>
    <row r="647" spans="2:9" ht="28.5" customHeight="1" x14ac:dyDescent="0.3">
      <c r="B647" s="76" t="s">
        <v>20</v>
      </c>
      <c r="C647" s="76" t="s">
        <v>387</v>
      </c>
      <c r="D647" s="76" t="s">
        <v>176</v>
      </c>
      <c r="E647" s="76" t="s">
        <v>243</v>
      </c>
      <c r="F647" s="79">
        <v>8.9</v>
      </c>
      <c r="G647" s="76" t="s">
        <v>18</v>
      </c>
      <c r="H647" s="78"/>
      <c r="I647" s="76"/>
    </row>
    <row r="648" spans="2:9" ht="28.5" customHeight="1" x14ac:dyDescent="0.3">
      <c r="B648" s="76" t="s">
        <v>20</v>
      </c>
      <c r="C648" s="76" t="s">
        <v>388</v>
      </c>
      <c r="D648" s="76" t="s">
        <v>176</v>
      </c>
      <c r="E648" s="76" t="s">
        <v>243</v>
      </c>
      <c r="F648" s="79">
        <v>8.9</v>
      </c>
      <c r="G648" s="76" t="s">
        <v>18</v>
      </c>
      <c r="H648" s="78"/>
      <c r="I648" s="76"/>
    </row>
    <row r="649" spans="2:9" ht="28.5" customHeight="1" x14ac:dyDescent="0.3">
      <c r="B649" s="76" t="s">
        <v>20</v>
      </c>
      <c r="C649" s="76" t="s">
        <v>389</v>
      </c>
      <c r="D649" s="76" t="s">
        <v>176</v>
      </c>
      <c r="E649" s="76" t="s">
        <v>243</v>
      </c>
      <c r="F649" s="79">
        <v>8.9</v>
      </c>
      <c r="G649" s="76" t="s">
        <v>18</v>
      </c>
      <c r="H649" s="78"/>
      <c r="I649" s="76"/>
    </row>
    <row r="650" spans="2:9" ht="28.5" customHeight="1" x14ac:dyDescent="0.3">
      <c r="B650" s="76" t="s">
        <v>20</v>
      </c>
      <c r="C650" s="76" t="s">
        <v>390</v>
      </c>
      <c r="D650" s="76" t="s">
        <v>176</v>
      </c>
      <c r="E650" s="76" t="s">
        <v>243</v>
      </c>
      <c r="F650" s="79">
        <v>8.9</v>
      </c>
      <c r="G650" s="76" t="s">
        <v>18</v>
      </c>
      <c r="H650" s="78"/>
      <c r="I650" s="76"/>
    </row>
    <row r="651" spans="2:9" ht="28.5" customHeight="1" x14ac:dyDescent="0.3">
      <c r="B651" s="76" t="s">
        <v>20</v>
      </c>
      <c r="C651" s="76" t="s">
        <v>391</v>
      </c>
      <c r="D651" s="76" t="s">
        <v>176</v>
      </c>
      <c r="E651" s="76" t="s">
        <v>243</v>
      </c>
      <c r="F651" s="79">
        <v>8.9</v>
      </c>
      <c r="G651" s="76" t="s">
        <v>18</v>
      </c>
      <c r="H651" s="78"/>
      <c r="I651" s="76"/>
    </row>
    <row r="652" spans="2:9" ht="28.5" customHeight="1" x14ac:dyDescent="0.3">
      <c r="B652" s="76" t="s">
        <v>20</v>
      </c>
      <c r="C652" s="76" t="s">
        <v>392</v>
      </c>
      <c r="D652" s="76" t="s">
        <v>176</v>
      </c>
      <c r="E652" s="76" t="s">
        <v>243</v>
      </c>
      <c r="F652" s="79">
        <v>8.9</v>
      </c>
      <c r="G652" s="76" t="s">
        <v>18</v>
      </c>
      <c r="H652" s="78"/>
      <c r="I652" s="76"/>
    </row>
    <row r="653" spans="2:9" ht="28.5" customHeight="1" x14ac:dyDescent="0.3">
      <c r="B653" s="76" t="s">
        <v>20</v>
      </c>
      <c r="C653" s="76" t="s">
        <v>393</v>
      </c>
      <c r="D653" s="76" t="s">
        <v>176</v>
      </c>
      <c r="E653" s="76" t="s">
        <v>243</v>
      </c>
      <c r="F653" s="79">
        <v>8.9</v>
      </c>
      <c r="G653" s="76" t="s">
        <v>18</v>
      </c>
      <c r="H653" s="78"/>
      <c r="I653" s="76"/>
    </row>
    <row r="654" spans="2:9" ht="28.5" customHeight="1" x14ac:dyDescent="0.3">
      <c r="B654" s="76" t="s">
        <v>20</v>
      </c>
      <c r="C654" s="76" t="s">
        <v>394</v>
      </c>
      <c r="D654" s="76" t="s">
        <v>176</v>
      </c>
      <c r="E654" s="76" t="s">
        <v>243</v>
      </c>
      <c r="F654" s="79">
        <v>8.9</v>
      </c>
      <c r="G654" s="76" t="s">
        <v>18</v>
      </c>
      <c r="H654" s="78"/>
      <c r="I654" s="76"/>
    </row>
    <row r="655" spans="2:9" ht="28.5" customHeight="1" x14ac:dyDescent="0.3">
      <c r="B655" s="76" t="s">
        <v>20</v>
      </c>
      <c r="C655" s="76" t="s">
        <v>395</v>
      </c>
      <c r="D655" s="76" t="s">
        <v>176</v>
      </c>
      <c r="E655" s="76" t="s">
        <v>243</v>
      </c>
      <c r="F655" s="79">
        <v>8.9</v>
      </c>
      <c r="G655" s="76" t="s">
        <v>18</v>
      </c>
      <c r="H655" s="78"/>
      <c r="I655" s="76"/>
    </row>
    <row r="656" spans="2:9" ht="28.5" customHeight="1" x14ac:dyDescent="0.3">
      <c r="B656" s="76" t="s">
        <v>20</v>
      </c>
      <c r="C656" s="76" t="s">
        <v>396</v>
      </c>
      <c r="D656" s="76" t="s">
        <v>176</v>
      </c>
      <c r="E656" s="76" t="s">
        <v>243</v>
      </c>
      <c r="F656" s="79">
        <v>8.9</v>
      </c>
      <c r="G656" s="76" t="s">
        <v>18</v>
      </c>
      <c r="H656" s="78"/>
      <c r="I656" s="76"/>
    </row>
    <row r="657" spans="2:9" ht="42.75" customHeight="1" x14ac:dyDescent="0.3">
      <c r="B657" s="76" t="s">
        <v>20</v>
      </c>
      <c r="C657" s="76" t="s">
        <v>397</v>
      </c>
      <c r="D657" s="76" t="s">
        <v>176</v>
      </c>
      <c r="E657" s="76" t="s">
        <v>243</v>
      </c>
      <c r="F657" s="79">
        <v>8.9</v>
      </c>
      <c r="G657" s="76" t="s">
        <v>18</v>
      </c>
      <c r="H657" s="78"/>
      <c r="I657" s="76"/>
    </row>
    <row r="658" spans="2:9" ht="42.75" customHeight="1" x14ac:dyDescent="0.3">
      <c r="B658" s="76" t="s">
        <v>20</v>
      </c>
      <c r="C658" s="76" t="s">
        <v>398</v>
      </c>
      <c r="D658" s="76" t="s">
        <v>176</v>
      </c>
      <c r="E658" s="76" t="s">
        <v>243</v>
      </c>
      <c r="F658" s="79">
        <v>8.9</v>
      </c>
      <c r="G658" s="76" t="s">
        <v>18</v>
      </c>
      <c r="H658" s="78"/>
      <c r="I658" s="76"/>
    </row>
    <row r="659" spans="2:9" ht="28.5" customHeight="1" x14ac:dyDescent="0.3">
      <c r="B659" s="76" t="s">
        <v>20</v>
      </c>
      <c r="C659" s="76" t="s">
        <v>399</v>
      </c>
      <c r="D659" s="76" t="s">
        <v>176</v>
      </c>
      <c r="E659" s="76" t="s">
        <v>243</v>
      </c>
      <c r="F659" s="79">
        <v>8.9</v>
      </c>
      <c r="G659" s="76" t="s">
        <v>18</v>
      </c>
      <c r="H659" s="78"/>
      <c r="I659" s="76"/>
    </row>
    <row r="660" spans="2:9" ht="28.5" customHeight="1" x14ac:dyDescent="0.3">
      <c r="B660" s="76" t="s">
        <v>20</v>
      </c>
      <c r="C660" s="76" t="s">
        <v>400</v>
      </c>
      <c r="D660" s="76" t="s">
        <v>176</v>
      </c>
      <c r="E660" s="76" t="s">
        <v>243</v>
      </c>
      <c r="F660" s="79">
        <v>8.9</v>
      </c>
      <c r="G660" s="76" t="s">
        <v>18</v>
      </c>
      <c r="H660" s="78"/>
      <c r="I660" s="76"/>
    </row>
    <row r="661" spans="2:9" ht="28.5" customHeight="1" x14ac:dyDescent="0.3">
      <c r="B661" s="76" t="s">
        <v>20</v>
      </c>
      <c r="C661" s="76" t="s">
        <v>401</v>
      </c>
      <c r="D661" s="76" t="s">
        <v>176</v>
      </c>
      <c r="E661" s="76" t="s">
        <v>243</v>
      </c>
      <c r="F661" s="79">
        <v>8.9</v>
      </c>
      <c r="G661" s="76" t="s">
        <v>18</v>
      </c>
      <c r="H661" s="78"/>
      <c r="I661" s="76"/>
    </row>
    <row r="662" spans="2:9" ht="28.5" customHeight="1" x14ac:dyDescent="0.3">
      <c r="B662" s="76" t="s">
        <v>20</v>
      </c>
      <c r="C662" s="76" t="s">
        <v>402</v>
      </c>
      <c r="D662" s="76" t="s">
        <v>176</v>
      </c>
      <c r="E662" s="76" t="s">
        <v>243</v>
      </c>
      <c r="F662" s="79">
        <v>8.9</v>
      </c>
      <c r="G662" s="76" t="s">
        <v>18</v>
      </c>
      <c r="H662" s="78"/>
      <c r="I662" s="76"/>
    </row>
    <row r="663" spans="2:9" ht="28.5" customHeight="1" x14ac:dyDescent="0.3">
      <c r="B663" s="76" t="s">
        <v>20</v>
      </c>
      <c r="C663" s="76" t="s">
        <v>403</v>
      </c>
      <c r="D663" s="76" t="s">
        <v>176</v>
      </c>
      <c r="E663" s="76" t="s">
        <v>243</v>
      </c>
      <c r="F663" s="79">
        <v>8.9</v>
      </c>
      <c r="G663" s="76" t="s">
        <v>18</v>
      </c>
      <c r="H663" s="78"/>
      <c r="I663" s="76"/>
    </row>
    <row r="664" spans="2:9" ht="28.5" customHeight="1" x14ac:dyDescent="0.3">
      <c r="B664" s="76" t="s">
        <v>20</v>
      </c>
      <c r="C664" s="76" t="s">
        <v>404</v>
      </c>
      <c r="D664" s="76" t="s">
        <v>176</v>
      </c>
      <c r="E664" s="76" t="s">
        <v>243</v>
      </c>
      <c r="F664" s="79">
        <v>8.9</v>
      </c>
      <c r="G664" s="76" t="s">
        <v>18</v>
      </c>
      <c r="H664" s="78"/>
      <c r="I664" s="76"/>
    </row>
    <row r="665" spans="2:9" ht="28.5" customHeight="1" x14ac:dyDescent="0.3">
      <c r="B665" s="76" t="s">
        <v>20</v>
      </c>
      <c r="C665" s="76" t="s">
        <v>405</v>
      </c>
      <c r="D665" s="76" t="s">
        <v>176</v>
      </c>
      <c r="E665" s="76" t="s">
        <v>243</v>
      </c>
      <c r="F665" s="79">
        <v>8.9</v>
      </c>
      <c r="G665" s="76" t="s">
        <v>18</v>
      </c>
      <c r="H665" s="78"/>
      <c r="I665" s="76"/>
    </row>
    <row r="666" spans="2:9" ht="28.5" customHeight="1" x14ac:dyDescent="0.3">
      <c r="B666" s="76" t="s">
        <v>20</v>
      </c>
      <c r="C666" s="76" t="s">
        <v>406</v>
      </c>
      <c r="D666" s="76" t="s">
        <v>176</v>
      </c>
      <c r="E666" s="76" t="s">
        <v>243</v>
      </c>
      <c r="F666" s="79">
        <v>8.9</v>
      </c>
      <c r="G666" s="76" t="s">
        <v>18</v>
      </c>
      <c r="H666" s="78"/>
      <c r="I666" s="76"/>
    </row>
    <row r="667" spans="2:9" ht="28.5" customHeight="1" x14ac:dyDescent="0.3">
      <c r="B667" s="76" t="s">
        <v>20</v>
      </c>
      <c r="C667" s="76" t="s">
        <v>407</v>
      </c>
      <c r="D667" s="76" t="s">
        <v>181</v>
      </c>
      <c r="E667" s="76" t="s">
        <v>243</v>
      </c>
      <c r="F667" s="79">
        <v>10.199999999999999</v>
      </c>
      <c r="G667" s="76" t="s">
        <v>18</v>
      </c>
      <c r="H667" s="78"/>
      <c r="I667" s="76"/>
    </row>
    <row r="668" spans="2:9" ht="28.5" customHeight="1" x14ac:dyDescent="0.3">
      <c r="B668" s="76" t="s">
        <v>20</v>
      </c>
      <c r="C668" s="76" t="s">
        <v>408</v>
      </c>
      <c r="D668" s="76" t="s">
        <v>181</v>
      </c>
      <c r="E668" s="76" t="s">
        <v>243</v>
      </c>
      <c r="F668" s="79">
        <v>10.199999999999999</v>
      </c>
      <c r="G668" s="76" t="s">
        <v>18</v>
      </c>
      <c r="H668" s="78"/>
      <c r="I668" s="76"/>
    </row>
    <row r="669" spans="2:9" ht="28.5" customHeight="1" x14ac:dyDescent="0.3">
      <c r="B669" s="76" t="s">
        <v>20</v>
      </c>
      <c r="C669" s="76" t="s">
        <v>409</v>
      </c>
      <c r="D669" s="76" t="s">
        <v>181</v>
      </c>
      <c r="E669" s="76" t="s">
        <v>243</v>
      </c>
      <c r="F669" s="79">
        <v>10.199999999999999</v>
      </c>
      <c r="G669" s="76" t="s">
        <v>18</v>
      </c>
      <c r="H669" s="78"/>
      <c r="I669" s="76"/>
    </row>
    <row r="670" spans="2:9" ht="42.75" customHeight="1" x14ac:dyDescent="0.3">
      <c r="B670" s="76" t="s">
        <v>20</v>
      </c>
      <c r="C670" s="76" t="s">
        <v>410</v>
      </c>
      <c r="D670" s="76" t="s">
        <v>181</v>
      </c>
      <c r="E670" s="76" t="s">
        <v>243</v>
      </c>
      <c r="F670" s="79">
        <v>10.199999999999999</v>
      </c>
      <c r="G670" s="76" t="s">
        <v>18</v>
      </c>
      <c r="H670" s="78"/>
      <c r="I670" s="76"/>
    </row>
    <row r="671" spans="2:9" ht="28.5" customHeight="1" x14ac:dyDescent="0.3">
      <c r="B671" s="76" t="s">
        <v>20</v>
      </c>
      <c r="C671" s="76" t="s">
        <v>411</v>
      </c>
      <c r="D671" s="76" t="s">
        <v>181</v>
      </c>
      <c r="E671" s="76" t="s">
        <v>243</v>
      </c>
      <c r="F671" s="79">
        <v>10.199999999999999</v>
      </c>
      <c r="G671" s="76" t="s">
        <v>18</v>
      </c>
      <c r="H671" s="78"/>
      <c r="I671" s="76"/>
    </row>
    <row r="672" spans="2:9" ht="28.5" customHeight="1" x14ac:dyDescent="0.3">
      <c r="B672" s="76" t="s">
        <v>20</v>
      </c>
      <c r="C672" s="76" t="s">
        <v>412</v>
      </c>
      <c r="D672" s="76" t="s">
        <v>181</v>
      </c>
      <c r="E672" s="76" t="s">
        <v>243</v>
      </c>
      <c r="F672" s="79">
        <v>10.199999999999999</v>
      </c>
      <c r="G672" s="76" t="s">
        <v>18</v>
      </c>
      <c r="H672" s="78"/>
      <c r="I672" s="76"/>
    </row>
    <row r="673" spans="2:9" ht="42.75" customHeight="1" x14ac:dyDescent="0.3">
      <c r="B673" s="76" t="s">
        <v>20</v>
      </c>
      <c r="C673" s="76" t="s">
        <v>413</v>
      </c>
      <c r="D673" s="76" t="s">
        <v>181</v>
      </c>
      <c r="E673" s="76" t="s">
        <v>243</v>
      </c>
      <c r="F673" s="79">
        <v>10.199999999999999</v>
      </c>
      <c r="G673" s="76" t="s">
        <v>18</v>
      </c>
      <c r="H673" s="78"/>
      <c r="I673" s="76"/>
    </row>
    <row r="674" spans="2:9" ht="28.5" customHeight="1" x14ac:dyDescent="0.3">
      <c r="B674" s="76" t="s">
        <v>20</v>
      </c>
      <c r="C674" s="76" t="s">
        <v>414</v>
      </c>
      <c r="D674" s="76" t="s">
        <v>181</v>
      </c>
      <c r="E674" s="76" t="s">
        <v>243</v>
      </c>
      <c r="F674" s="79">
        <v>10.199999999999999</v>
      </c>
      <c r="G674" s="76" t="s">
        <v>18</v>
      </c>
      <c r="H674" s="78"/>
      <c r="I674" s="76"/>
    </row>
    <row r="675" spans="2:9" ht="28.5" customHeight="1" x14ac:dyDescent="0.3">
      <c r="B675" s="76" t="s">
        <v>20</v>
      </c>
      <c r="C675" s="76" t="s">
        <v>415</v>
      </c>
      <c r="D675" s="76" t="s">
        <v>181</v>
      </c>
      <c r="E675" s="76" t="s">
        <v>243</v>
      </c>
      <c r="F675" s="79">
        <v>10.199999999999999</v>
      </c>
      <c r="G675" s="76" t="s">
        <v>18</v>
      </c>
      <c r="H675" s="78"/>
      <c r="I675" s="76"/>
    </row>
    <row r="676" spans="2:9" ht="42.75" customHeight="1" x14ac:dyDescent="0.3">
      <c r="B676" s="76" t="s">
        <v>20</v>
      </c>
      <c r="C676" s="76" t="s">
        <v>416</v>
      </c>
      <c r="D676" s="76" t="s">
        <v>186</v>
      </c>
      <c r="E676" s="76" t="s">
        <v>243</v>
      </c>
      <c r="F676" s="79">
        <v>11.5</v>
      </c>
      <c r="G676" s="76" t="s">
        <v>18</v>
      </c>
      <c r="H676" s="78"/>
      <c r="I676" s="76"/>
    </row>
    <row r="677" spans="2:9" ht="28.5" customHeight="1" x14ac:dyDescent="0.3">
      <c r="B677" s="76" t="s">
        <v>20</v>
      </c>
      <c r="C677" s="76" t="s">
        <v>417</v>
      </c>
      <c r="D677" s="76" t="s">
        <v>186</v>
      </c>
      <c r="E677" s="76" t="s">
        <v>243</v>
      </c>
      <c r="F677" s="79">
        <v>11.5</v>
      </c>
      <c r="G677" s="76" t="s">
        <v>18</v>
      </c>
      <c r="H677" s="78"/>
      <c r="I677" s="76"/>
    </row>
    <row r="678" spans="2:9" ht="28.5" customHeight="1" x14ac:dyDescent="0.3">
      <c r="B678" s="76" t="s">
        <v>20</v>
      </c>
      <c r="C678" s="76" t="s">
        <v>418</v>
      </c>
      <c r="D678" s="76" t="s">
        <v>190</v>
      </c>
      <c r="E678" s="76" t="s">
        <v>243</v>
      </c>
      <c r="F678" s="79">
        <v>12</v>
      </c>
      <c r="G678" s="76" t="s">
        <v>18</v>
      </c>
      <c r="H678" s="78"/>
      <c r="I678" s="76"/>
    </row>
    <row r="679" spans="2:9" ht="28.5" customHeight="1" x14ac:dyDescent="0.3">
      <c r="B679" s="76" t="s">
        <v>20</v>
      </c>
      <c r="C679" s="76" t="s">
        <v>419</v>
      </c>
      <c r="D679" s="76" t="s">
        <v>190</v>
      </c>
      <c r="E679" s="76" t="s">
        <v>243</v>
      </c>
      <c r="F679" s="79">
        <v>12</v>
      </c>
      <c r="G679" s="76" t="s">
        <v>18</v>
      </c>
      <c r="H679" s="78"/>
      <c r="I679" s="76"/>
    </row>
    <row r="680" spans="2:9" ht="28.5" customHeight="1" x14ac:dyDescent="0.3">
      <c r="B680" s="76" t="s">
        <v>20</v>
      </c>
      <c r="C680" s="76" t="s">
        <v>420</v>
      </c>
      <c r="D680" s="76" t="s">
        <v>190</v>
      </c>
      <c r="E680" s="76" t="s">
        <v>243</v>
      </c>
      <c r="F680" s="79">
        <v>12</v>
      </c>
      <c r="G680" s="76" t="s">
        <v>18</v>
      </c>
      <c r="H680" s="78"/>
      <c r="I680" s="76"/>
    </row>
    <row r="681" spans="2:9" ht="28.5" customHeight="1" x14ac:dyDescent="0.3">
      <c r="B681" s="76" t="s">
        <v>20</v>
      </c>
      <c r="C681" s="76" t="s">
        <v>421</v>
      </c>
      <c r="D681" s="76" t="s">
        <v>190</v>
      </c>
      <c r="E681" s="76" t="s">
        <v>243</v>
      </c>
      <c r="F681" s="79">
        <v>12</v>
      </c>
      <c r="G681" s="76" t="s">
        <v>18</v>
      </c>
      <c r="H681" s="78"/>
      <c r="I681" s="76"/>
    </row>
    <row r="682" spans="2:9" ht="42.75" customHeight="1" x14ac:dyDescent="0.3">
      <c r="B682" s="76" t="s">
        <v>64</v>
      </c>
      <c r="C682" s="76" t="s">
        <v>422</v>
      </c>
      <c r="D682" s="76" t="s">
        <v>153</v>
      </c>
      <c r="E682" s="76" t="s">
        <v>243</v>
      </c>
      <c r="F682" s="79">
        <v>8.2200000000000006</v>
      </c>
      <c r="G682" s="76" t="s">
        <v>26</v>
      </c>
      <c r="H682" s="78"/>
      <c r="I682" s="76"/>
    </row>
    <row r="683" spans="2:9" ht="42.75" customHeight="1" x14ac:dyDescent="0.3">
      <c r="B683" s="76" t="s">
        <v>64</v>
      </c>
      <c r="C683" s="76" t="s">
        <v>423</v>
      </c>
      <c r="D683" s="76" t="s">
        <v>153</v>
      </c>
      <c r="E683" s="76" t="s">
        <v>243</v>
      </c>
      <c r="F683" s="79">
        <v>8.2200000000000006</v>
      </c>
      <c r="G683" s="76" t="s">
        <v>26</v>
      </c>
      <c r="H683" s="78"/>
      <c r="I683" s="76"/>
    </row>
    <row r="684" spans="2:9" ht="42.75" customHeight="1" x14ac:dyDescent="0.3">
      <c r="B684" s="76" t="s">
        <v>64</v>
      </c>
      <c r="C684" s="76" t="s">
        <v>424</v>
      </c>
      <c r="D684" s="76" t="s">
        <v>153</v>
      </c>
      <c r="E684" s="76" t="s">
        <v>243</v>
      </c>
      <c r="F684" s="79">
        <v>8.2200000000000006</v>
      </c>
      <c r="G684" s="76" t="s">
        <v>26</v>
      </c>
      <c r="H684" s="78"/>
      <c r="I684" s="76"/>
    </row>
    <row r="685" spans="2:9" ht="42.75" customHeight="1" x14ac:dyDescent="0.3">
      <c r="B685" s="76" t="s">
        <v>64</v>
      </c>
      <c r="C685" s="76" t="s">
        <v>425</v>
      </c>
      <c r="D685" s="76" t="s">
        <v>153</v>
      </c>
      <c r="E685" s="76" t="s">
        <v>243</v>
      </c>
      <c r="F685" s="79">
        <v>8.2200000000000006</v>
      </c>
      <c r="G685" s="76" t="s">
        <v>26</v>
      </c>
      <c r="H685" s="78"/>
      <c r="I685" s="76"/>
    </row>
    <row r="686" spans="2:9" ht="42.75" customHeight="1" x14ac:dyDescent="0.3">
      <c r="B686" s="76" t="s">
        <v>64</v>
      </c>
      <c r="C686" s="76" t="s">
        <v>426</v>
      </c>
      <c r="D686" s="76" t="s">
        <v>153</v>
      </c>
      <c r="E686" s="76" t="s">
        <v>243</v>
      </c>
      <c r="F686" s="79">
        <v>8.2200000000000006</v>
      </c>
      <c r="G686" s="76" t="s">
        <v>26</v>
      </c>
      <c r="H686" s="78"/>
      <c r="I686" s="76"/>
    </row>
    <row r="687" spans="2:9" ht="42.75" customHeight="1" x14ac:dyDescent="0.3">
      <c r="B687" s="76" t="s">
        <v>64</v>
      </c>
      <c r="C687" s="76" t="s">
        <v>427</v>
      </c>
      <c r="D687" s="76" t="s">
        <v>153</v>
      </c>
      <c r="E687" s="76" t="s">
        <v>243</v>
      </c>
      <c r="F687" s="79">
        <v>8.2200000000000006</v>
      </c>
      <c r="G687" s="76" t="s">
        <v>26</v>
      </c>
      <c r="H687" s="78"/>
      <c r="I687" s="76"/>
    </row>
    <row r="688" spans="2:9" ht="42.75" customHeight="1" x14ac:dyDescent="0.3">
      <c r="B688" s="76" t="s">
        <v>64</v>
      </c>
      <c r="C688" s="76" t="s">
        <v>428</v>
      </c>
      <c r="D688" s="76" t="s">
        <v>153</v>
      </c>
      <c r="E688" s="76" t="s">
        <v>243</v>
      </c>
      <c r="F688" s="79">
        <v>8.2200000000000006</v>
      </c>
      <c r="G688" s="76" t="s">
        <v>26</v>
      </c>
      <c r="H688" s="78"/>
      <c r="I688" s="76"/>
    </row>
    <row r="689" spans="2:9" ht="42.75" customHeight="1" x14ac:dyDescent="0.3">
      <c r="B689" s="76" t="s">
        <v>64</v>
      </c>
      <c r="C689" s="76" t="s">
        <v>429</v>
      </c>
      <c r="D689" s="76" t="s">
        <v>153</v>
      </c>
      <c r="E689" s="76" t="s">
        <v>243</v>
      </c>
      <c r="F689" s="79">
        <v>8.2200000000000006</v>
      </c>
      <c r="G689" s="76" t="s">
        <v>26</v>
      </c>
      <c r="H689" s="78"/>
      <c r="I689" s="76"/>
    </row>
    <row r="690" spans="2:9" ht="42.75" customHeight="1" x14ac:dyDescent="0.3">
      <c r="B690" s="76" t="s">
        <v>64</v>
      </c>
      <c r="C690" s="76" t="s">
        <v>430</v>
      </c>
      <c r="D690" s="76" t="s">
        <v>153</v>
      </c>
      <c r="E690" s="76" t="s">
        <v>243</v>
      </c>
      <c r="F690" s="79">
        <v>8.2200000000000006</v>
      </c>
      <c r="G690" s="76" t="s">
        <v>26</v>
      </c>
      <c r="H690" s="78"/>
      <c r="I690" s="76"/>
    </row>
    <row r="691" spans="2:9" ht="42.75" customHeight="1" x14ac:dyDescent="0.3">
      <c r="B691" s="76" t="s">
        <v>64</v>
      </c>
      <c r="C691" s="76" t="s">
        <v>431</v>
      </c>
      <c r="D691" s="76" t="s">
        <v>153</v>
      </c>
      <c r="E691" s="76" t="s">
        <v>243</v>
      </c>
      <c r="F691" s="79">
        <v>8.2200000000000006</v>
      </c>
      <c r="G691" s="76" t="s">
        <v>26</v>
      </c>
      <c r="H691" s="78"/>
      <c r="I691" s="76"/>
    </row>
    <row r="692" spans="2:9" ht="28.5" customHeight="1" x14ac:dyDescent="0.3">
      <c r="B692" s="76" t="s">
        <v>64</v>
      </c>
      <c r="C692" s="76" t="s">
        <v>432</v>
      </c>
      <c r="D692" s="76" t="s">
        <v>153</v>
      </c>
      <c r="E692" s="76" t="s">
        <v>243</v>
      </c>
      <c r="F692" s="79">
        <v>8.2200000000000006</v>
      </c>
      <c r="G692" s="76" t="s">
        <v>26</v>
      </c>
      <c r="H692" s="78"/>
      <c r="I692" s="76"/>
    </row>
    <row r="693" spans="2:9" ht="42.75" customHeight="1" x14ac:dyDescent="0.3">
      <c r="B693" s="76" t="s">
        <v>64</v>
      </c>
      <c r="C693" s="76" t="s">
        <v>433</v>
      </c>
      <c r="D693" s="76" t="s">
        <v>17</v>
      </c>
      <c r="E693" s="76" t="s">
        <v>243</v>
      </c>
      <c r="F693" s="79">
        <v>10.47</v>
      </c>
      <c r="G693" s="76" t="s">
        <v>26</v>
      </c>
      <c r="H693" s="78"/>
      <c r="I693" s="76"/>
    </row>
    <row r="694" spans="2:9" ht="42.75" customHeight="1" x14ac:dyDescent="0.3">
      <c r="B694" s="76" t="s">
        <v>64</v>
      </c>
      <c r="C694" s="76" t="s">
        <v>434</v>
      </c>
      <c r="D694" s="76" t="s">
        <v>17</v>
      </c>
      <c r="E694" s="76" t="s">
        <v>243</v>
      </c>
      <c r="F694" s="79">
        <v>10.47</v>
      </c>
      <c r="G694" s="76" t="s">
        <v>26</v>
      </c>
      <c r="H694" s="78"/>
      <c r="I694" s="76"/>
    </row>
    <row r="695" spans="2:9" ht="42.75" customHeight="1" x14ac:dyDescent="0.3">
      <c r="B695" s="76" t="s">
        <v>64</v>
      </c>
      <c r="C695" s="76" t="s">
        <v>435</v>
      </c>
      <c r="D695" s="76" t="s">
        <v>17</v>
      </c>
      <c r="E695" s="76" t="s">
        <v>243</v>
      </c>
      <c r="F695" s="79">
        <v>10.47</v>
      </c>
      <c r="G695" s="76" t="s">
        <v>26</v>
      </c>
      <c r="H695" s="78"/>
      <c r="I695" s="76"/>
    </row>
    <row r="696" spans="2:9" ht="42.75" customHeight="1" x14ac:dyDescent="0.3">
      <c r="B696" s="76" t="s">
        <v>64</v>
      </c>
      <c r="C696" s="76" t="s">
        <v>436</v>
      </c>
      <c r="D696" s="76" t="s">
        <v>17</v>
      </c>
      <c r="E696" s="76" t="s">
        <v>243</v>
      </c>
      <c r="F696" s="79">
        <v>10.47</v>
      </c>
      <c r="G696" s="76" t="s">
        <v>26</v>
      </c>
      <c r="H696" s="78"/>
      <c r="I696" s="76"/>
    </row>
    <row r="697" spans="2:9" ht="28.5" customHeight="1" x14ac:dyDescent="0.3">
      <c r="B697" s="76" t="s">
        <v>64</v>
      </c>
      <c r="C697" s="76" t="s">
        <v>437</v>
      </c>
      <c r="D697" s="76" t="s">
        <v>17</v>
      </c>
      <c r="E697" s="76" t="s">
        <v>243</v>
      </c>
      <c r="F697" s="79">
        <v>10.47</v>
      </c>
      <c r="G697" s="76" t="s">
        <v>26</v>
      </c>
      <c r="H697" s="78"/>
      <c r="I697" s="76"/>
    </row>
    <row r="698" spans="2:9" ht="42.75" customHeight="1" x14ac:dyDescent="0.3">
      <c r="B698" s="76" t="s">
        <v>64</v>
      </c>
      <c r="C698" s="76" t="s">
        <v>438</v>
      </c>
      <c r="D698" s="76" t="s">
        <v>17</v>
      </c>
      <c r="E698" s="76" t="s">
        <v>243</v>
      </c>
      <c r="F698" s="79">
        <v>10.47</v>
      </c>
      <c r="G698" s="76" t="s">
        <v>26</v>
      </c>
      <c r="H698" s="78"/>
      <c r="I698" s="76"/>
    </row>
    <row r="699" spans="2:9" ht="28.5" customHeight="1" x14ac:dyDescent="0.3">
      <c r="B699" s="76" t="s">
        <v>64</v>
      </c>
      <c r="C699" s="76" t="s">
        <v>439</v>
      </c>
      <c r="D699" s="76" t="s">
        <v>17</v>
      </c>
      <c r="E699" s="76" t="s">
        <v>243</v>
      </c>
      <c r="F699" s="79">
        <v>10.47</v>
      </c>
      <c r="G699" s="76" t="s">
        <v>26</v>
      </c>
      <c r="H699" s="78"/>
      <c r="I699" s="76"/>
    </row>
    <row r="700" spans="2:9" ht="42.75" customHeight="1" x14ac:dyDescent="0.3">
      <c r="B700" s="76" t="s">
        <v>64</v>
      </c>
      <c r="C700" s="76" t="s">
        <v>440</v>
      </c>
      <c r="D700" s="76" t="s">
        <v>163</v>
      </c>
      <c r="E700" s="76" t="s">
        <v>243</v>
      </c>
      <c r="F700" s="79">
        <v>13.44</v>
      </c>
      <c r="G700" s="76" t="s">
        <v>26</v>
      </c>
      <c r="H700" s="78"/>
      <c r="I700" s="76"/>
    </row>
    <row r="701" spans="2:9" ht="42.75" customHeight="1" x14ac:dyDescent="0.3">
      <c r="B701" s="76" t="s">
        <v>64</v>
      </c>
      <c r="C701" s="76" t="s">
        <v>441</v>
      </c>
      <c r="D701" s="76" t="s">
        <v>163</v>
      </c>
      <c r="E701" s="76" t="s">
        <v>243</v>
      </c>
      <c r="F701" s="79">
        <v>13.44</v>
      </c>
      <c r="G701" s="76" t="s">
        <v>26</v>
      </c>
      <c r="H701" s="78"/>
      <c r="I701" s="76"/>
    </row>
    <row r="702" spans="2:9" ht="42.75" customHeight="1" x14ac:dyDescent="0.3">
      <c r="B702" s="76" t="s">
        <v>64</v>
      </c>
      <c r="C702" s="76" t="s">
        <v>442</v>
      </c>
      <c r="D702" s="76" t="s">
        <v>163</v>
      </c>
      <c r="E702" s="76" t="s">
        <v>243</v>
      </c>
      <c r="F702" s="79">
        <v>13.44</v>
      </c>
      <c r="G702" s="76" t="s">
        <v>26</v>
      </c>
      <c r="H702" s="78"/>
      <c r="I702" s="76"/>
    </row>
    <row r="703" spans="2:9" ht="28.5" customHeight="1" x14ac:dyDescent="0.3">
      <c r="B703" s="76" t="s">
        <v>64</v>
      </c>
      <c r="C703" s="76" t="s">
        <v>443</v>
      </c>
      <c r="D703" s="76" t="s">
        <v>163</v>
      </c>
      <c r="E703" s="76" t="s">
        <v>243</v>
      </c>
      <c r="F703" s="79">
        <v>13.44</v>
      </c>
      <c r="G703" s="76" t="s">
        <v>26</v>
      </c>
      <c r="H703" s="78"/>
      <c r="I703" s="76"/>
    </row>
    <row r="704" spans="2:9" ht="42.75" customHeight="1" x14ac:dyDescent="0.3">
      <c r="B704" s="76" t="s">
        <v>64</v>
      </c>
      <c r="C704" s="76" t="s">
        <v>444</v>
      </c>
      <c r="D704" s="76" t="s">
        <v>163</v>
      </c>
      <c r="E704" s="76" t="s">
        <v>243</v>
      </c>
      <c r="F704" s="79">
        <v>13.44</v>
      </c>
      <c r="G704" s="76" t="s">
        <v>26</v>
      </c>
      <c r="H704" s="78"/>
      <c r="I704" s="76"/>
    </row>
    <row r="705" spans="2:9" ht="42.75" customHeight="1" x14ac:dyDescent="0.3">
      <c r="B705" s="76" t="s">
        <v>64</v>
      </c>
      <c r="C705" s="76" t="s">
        <v>445</v>
      </c>
      <c r="D705" s="76" t="s">
        <v>163</v>
      </c>
      <c r="E705" s="76" t="s">
        <v>243</v>
      </c>
      <c r="F705" s="79">
        <v>13.44</v>
      </c>
      <c r="G705" s="76" t="s">
        <v>26</v>
      </c>
      <c r="H705" s="78"/>
      <c r="I705" s="76"/>
    </row>
    <row r="706" spans="2:9" ht="42.75" customHeight="1" x14ac:dyDescent="0.3">
      <c r="B706" s="76" t="s">
        <v>64</v>
      </c>
      <c r="C706" s="76" t="s">
        <v>446</v>
      </c>
      <c r="D706" s="76" t="s">
        <v>163</v>
      </c>
      <c r="E706" s="76" t="s">
        <v>243</v>
      </c>
      <c r="F706" s="79">
        <v>13.44</v>
      </c>
      <c r="G706" s="76" t="s">
        <v>26</v>
      </c>
      <c r="H706" s="78"/>
      <c r="I706" s="76"/>
    </row>
    <row r="707" spans="2:9" ht="57" customHeight="1" x14ac:dyDescent="0.3">
      <c r="B707" s="76" t="s">
        <v>64</v>
      </c>
      <c r="C707" s="76" t="s">
        <v>447</v>
      </c>
      <c r="D707" s="76" t="s">
        <v>163</v>
      </c>
      <c r="E707" s="76" t="s">
        <v>243</v>
      </c>
      <c r="F707" s="79">
        <v>13.44</v>
      </c>
      <c r="G707" s="76" t="s">
        <v>26</v>
      </c>
      <c r="H707" s="78"/>
      <c r="I707" s="76"/>
    </row>
    <row r="708" spans="2:9" ht="28.5" customHeight="1" x14ac:dyDescent="0.3">
      <c r="B708" s="76" t="s">
        <v>64</v>
      </c>
      <c r="C708" s="76" t="s">
        <v>448</v>
      </c>
      <c r="D708" s="76" t="s">
        <v>19</v>
      </c>
      <c r="E708" s="76" t="s">
        <v>243</v>
      </c>
      <c r="F708" s="79">
        <v>22.88</v>
      </c>
      <c r="G708" s="76" t="s">
        <v>26</v>
      </c>
      <c r="H708" s="78"/>
      <c r="I708" s="76"/>
    </row>
    <row r="709" spans="2:9" ht="28.5" customHeight="1" x14ac:dyDescent="0.3">
      <c r="B709" s="76" t="s">
        <v>64</v>
      </c>
      <c r="C709" s="76" t="s">
        <v>449</v>
      </c>
      <c r="D709" s="76" t="s">
        <v>19</v>
      </c>
      <c r="E709" s="76" t="s">
        <v>243</v>
      </c>
      <c r="F709" s="79">
        <v>13.44</v>
      </c>
      <c r="G709" s="76" t="s">
        <v>26</v>
      </c>
      <c r="H709" s="78"/>
      <c r="I709" s="76"/>
    </row>
    <row r="710" spans="2:9" ht="28.5" customHeight="1" x14ac:dyDescent="0.3">
      <c r="B710" s="76" t="s">
        <v>64</v>
      </c>
      <c r="C710" s="76" t="s">
        <v>450</v>
      </c>
      <c r="D710" s="76" t="s">
        <v>19</v>
      </c>
      <c r="E710" s="76" t="s">
        <v>243</v>
      </c>
      <c r="F710" s="79">
        <v>22.88</v>
      </c>
      <c r="G710" s="76" t="s">
        <v>26</v>
      </c>
      <c r="H710" s="78"/>
      <c r="I710" s="76"/>
    </row>
    <row r="711" spans="2:9" ht="28.5" customHeight="1" x14ac:dyDescent="0.3">
      <c r="B711" s="76" t="s">
        <v>64</v>
      </c>
      <c r="C711" s="76" t="s">
        <v>451</v>
      </c>
      <c r="D711" s="76" t="s">
        <v>172</v>
      </c>
      <c r="E711" s="76" t="s">
        <v>243</v>
      </c>
      <c r="F711" s="79">
        <v>13.44</v>
      </c>
      <c r="G711" s="76" t="s">
        <v>26</v>
      </c>
      <c r="H711" s="78"/>
      <c r="I711" s="76" t="s">
        <v>452</v>
      </c>
    </row>
    <row r="712" spans="2:9" ht="28.5" x14ac:dyDescent="0.3">
      <c r="B712" s="76" t="s">
        <v>78</v>
      </c>
      <c r="C712" s="76" t="s">
        <v>453</v>
      </c>
      <c r="D712" s="76" t="s">
        <v>153</v>
      </c>
      <c r="E712" s="76" t="s">
        <v>243</v>
      </c>
      <c r="F712" s="79">
        <v>12.7</v>
      </c>
      <c r="G712" s="76" t="s">
        <v>18</v>
      </c>
      <c r="H712" s="78"/>
      <c r="I712" s="76"/>
    </row>
    <row r="713" spans="2:9" ht="28.5" x14ac:dyDescent="0.3">
      <c r="B713" s="76" t="s">
        <v>78</v>
      </c>
      <c r="C713" s="76" t="s">
        <v>454</v>
      </c>
      <c r="D713" s="76" t="s">
        <v>153</v>
      </c>
      <c r="E713" s="76" t="s">
        <v>243</v>
      </c>
      <c r="F713" s="79">
        <v>12.7</v>
      </c>
      <c r="G713" s="76" t="s">
        <v>18</v>
      </c>
      <c r="H713" s="78"/>
      <c r="I713" s="76"/>
    </row>
    <row r="714" spans="2:9" ht="28.5" x14ac:dyDescent="0.3">
      <c r="B714" s="76" t="s">
        <v>78</v>
      </c>
      <c r="C714" s="76" t="s">
        <v>455</v>
      </c>
      <c r="D714" s="76" t="s">
        <v>153</v>
      </c>
      <c r="E714" s="76" t="s">
        <v>243</v>
      </c>
      <c r="F714" s="79">
        <v>12.7</v>
      </c>
      <c r="G714" s="76" t="s">
        <v>18</v>
      </c>
      <c r="H714" s="78"/>
      <c r="I714" s="76"/>
    </row>
    <row r="715" spans="2:9" ht="28.5" customHeight="1" x14ac:dyDescent="0.3">
      <c r="B715" s="76" t="s">
        <v>78</v>
      </c>
      <c r="C715" s="76" t="s">
        <v>456</v>
      </c>
      <c r="D715" s="76" t="s">
        <v>153</v>
      </c>
      <c r="E715" s="76" t="s">
        <v>243</v>
      </c>
      <c r="F715" s="79">
        <v>12.7</v>
      </c>
      <c r="G715" s="76" t="s">
        <v>18</v>
      </c>
      <c r="H715" s="78"/>
      <c r="I715" s="76"/>
    </row>
    <row r="716" spans="2:9" ht="28.5" customHeight="1" x14ac:dyDescent="0.3">
      <c r="B716" s="76" t="s">
        <v>78</v>
      </c>
      <c r="C716" s="76" t="s">
        <v>457</v>
      </c>
      <c r="D716" s="76" t="s">
        <v>17</v>
      </c>
      <c r="E716" s="76" t="s">
        <v>243</v>
      </c>
      <c r="F716" s="79">
        <v>14.98</v>
      </c>
      <c r="G716" s="76" t="s">
        <v>18</v>
      </c>
      <c r="H716" s="78"/>
      <c r="I716" s="76"/>
    </row>
    <row r="717" spans="2:9" ht="28.5" customHeight="1" x14ac:dyDescent="0.3">
      <c r="B717" s="76" t="s">
        <v>78</v>
      </c>
      <c r="C717" s="76" t="s">
        <v>458</v>
      </c>
      <c r="D717" s="76" t="s">
        <v>17</v>
      </c>
      <c r="E717" s="76" t="s">
        <v>243</v>
      </c>
      <c r="F717" s="79">
        <v>14.98</v>
      </c>
      <c r="G717" s="76" t="s">
        <v>18</v>
      </c>
      <c r="H717" s="78"/>
      <c r="I717" s="76"/>
    </row>
    <row r="718" spans="2:9" ht="28.5" x14ac:dyDescent="0.3">
      <c r="B718" s="76" t="s">
        <v>78</v>
      </c>
      <c r="C718" s="76" t="s">
        <v>459</v>
      </c>
      <c r="D718" s="76" t="s">
        <v>17</v>
      </c>
      <c r="E718" s="76" t="s">
        <v>243</v>
      </c>
      <c r="F718" s="79">
        <v>14.98</v>
      </c>
      <c r="G718" s="76" t="s">
        <v>18</v>
      </c>
      <c r="H718" s="78"/>
      <c r="I718" s="76"/>
    </row>
    <row r="719" spans="2:9" ht="28.5" customHeight="1" x14ac:dyDescent="0.3">
      <c r="B719" s="76" t="s">
        <v>78</v>
      </c>
      <c r="C719" s="76" t="s">
        <v>460</v>
      </c>
      <c r="D719" s="76" t="s">
        <v>17</v>
      </c>
      <c r="E719" s="76" t="s">
        <v>243</v>
      </c>
      <c r="F719" s="79">
        <v>14.98</v>
      </c>
      <c r="G719" s="76" t="s">
        <v>18</v>
      </c>
      <c r="H719" s="78"/>
      <c r="I719" s="76"/>
    </row>
    <row r="720" spans="2:9" ht="28.5" customHeight="1" x14ac:dyDescent="0.3">
      <c r="B720" s="76" t="s">
        <v>78</v>
      </c>
      <c r="C720" s="76" t="s">
        <v>461</v>
      </c>
      <c r="D720" s="76" t="s">
        <v>163</v>
      </c>
      <c r="E720" s="76" t="s">
        <v>243</v>
      </c>
      <c r="F720" s="79">
        <v>17.5</v>
      </c>
      <c r="G720" s="76" t="s">
        <v>18</v>
      </c>
      <c r="H720" s="78"/>
      <c r="I720" s="76"/>
    </row>
    <row r="721" spans="2:9" ht="28.5" customHeight="1" x14ac:dyDescent="0.3">
      <c r="B721" s="76" t="s">
        <v>78</v>
      </c>
      <c r="C721" s="76" t="s">
        <v>462</v>
      </c>
      <c r="D721" s="76" t="s">
        <v>163</v>
      </c>
      <c r="E721" s="76" t="s">
        <v>243</v>
      </c>
      <c r="F721" s="79">
        <v>17.5</v>
      </c>
      <c r="G721" s="76" t="s">
        <v>18</v>
      </c>
      <c r="H721" s="78"/>
      <c r="I721" s="76"/>
    </row>
    <row r="722" spans="2:9" ht="28.5" customHeight="1" x14ac:dyDescent="0.3">
      <c r="B722" s="76" t="s">
        <v>78</v>
      </c>
      <c r="C722" s="76" t="s">
        <v>463</v>
      </c>
      <c r="D722" s="76" t="s">
        <v>163</v>
      </c>
      <c r="E722" s="76" t="s">
        <v>243</v>
      </c>
      <c r="F722" s="79">
        <v>17.5</v>
      </c>
      <c r="G722" s="76" t="s">
        <v>18</v>
      </c>
      <c r="H722" s="78"/>
      <c r="I722" s="76"/>
    </row>
    <row r="723" spans="2:9" ht="28.5" customHeight="1" x14ac:dyDescent="0.3">
      <c r="B723" s="76" t="s">
        <v>78</v>
      </c>
      <c r="C723" s="76" t="s">
        <v>464</v>
      </c>
      <c r="D723" s="76" t="s">
        <v>163</v>
      </c>
      <c r="E723" s="76" t="s">
        <v>243</v>
      </c>
      <c r="F723" s="79">
        <v>17.5</v>
      </c>
      <c r="G723" s="76" t="s">
        <v>18</v>
      </c>
      <c r="H723" s="78"/>
      <c r="I723" s="76"/>
    </row>
    <row r="724" spans="2:9" ht="28.5" customHeight="1" x14ac:dyDescent="0.3">
      <c r="B724" s="76" t="s">
        <v>78</v>
      </c>
      <c r="C724" s="76" t="s">
        <v>465</v>
      </c>
      <c r="D724" s="76" t="s">
        <v>163</v>
      </c>
      <c r="E724" s="76" t="s">
        <v>243</v>
      </c>
      <c r="F724" s="79">
        <v>17.5</v>
      </c>
      <c r="G724" s="76" t="s">
        <v>18</v>
      </c>
      <c r="H724" s="78"/>
      <c r="I724" s="76"/>
    </row>
    <row r="725" spans="2:9" ht="28.5" customHeight="1" x14ac:dyDescent="0.3">
      <c r="B725" s="76" t="s">
        <v>78</v>
      </c>
      <c r="C725" s="76" t="s">
        <v>466</v>
      </c>
      <c r="D725" s="76" t="s">
        <v>163</v>
      </c>
      <c r="E725" s="76" t="s">
        <v>243</v>
      </c>
      <c r="F725" s="79">
        <v>17.5</v>
      </c>
      <c r="G725" s="76" t="s">
        <v>18</v>
      </c>
      <c r="H725" s="78"/>
      <c r="I725" s="76"/>
    </row>
    <row r="726" spans="2:9" ht="28.5" customHeight="1" x14ac:dyDescent="0.3">
      <c r="B726" s="76" t="s">
        <v>78</v>
      </c>
      <c r="C726" s="76" t="s">
        <v>467</v>
      </c>
      <c r="D726" s="76" t="s">
        <v>163</v>
      </c>
      <c r="E726" s="76" t="s">
        <v>243</v>
      </c>
      <c r="F726" s="79">
        <v>17.5</v>
      </c>
      <c r="G726" s="76" t="s">
        <v>18</v>
      </c>
      <c r="H726" s="78"/>
      <c r="I726" s="76"/>
    </row>
    <row r="727" spans="2:9" ht="42.75" customHeight="1" x14ac:dyDescent="0.3">
      <c r="B727" s="76" t="s">
        <v>78</v>
      </c>
      <c r="C727" s="76" t="s">
        <v>468</v>
      </c>
      <c r="D727" s="76" t="s">
        <v>163</v>
      </c>
      <c r="E727" s="76" t="s">
        <v>243</v>
      </c>
      <c r="F727" s="79">
        <v>17.5</v>
      </c>
      <c r="G727" s="76" t="s">
        <v>18</v>
      </c>
      <c r="H727" s="78"/>
      <c r="I727" s="76"/>
    </row>
    <row r="728" spans="2:9" ht="28.5" customHeight="1" x14ac:dyDescent="0.3">
      <c r="B728" s="76" t="s">
        <v>78</v>
      </c>
      <c r="C728" s="76" t="s">
        <v>469</v>
      </c>
      <c r="D728" s="76" t="s">
        <v>163</v>
      </c>
      <c r="E728" s="76" t="s">
        <v>243</v>
      </c>
      <c r="F728" s="79">
        <v>17.5</v>
      </c>
      <c r="G728" s="76" t="s">
        <v>18</v>
      </c>
      <c r="H728" s="78"/>
      <c r="I728" s="76"/>
    </row>
    <row r="729" spans="2:9" ht="28.5" customHeight="1" x14ac:dyDescent="0.3">
      <c r="B729" s="76" t="s">
        <v>78</v>
      </c>
      <c r="C729" s="76" t="s">
        <v>470</v>
      </c>
      <c r="D729" s="76" t="s">
        <v>163</v>
      </c>
      <c r="E729" s="76" t="s">
        <v>243</v>
      </c>
      <c r="F729" s="79">
        <v>17.5</v>
      </c>
      <c r="G729" s="76" t="s">
        <v>18</v>
      </c>
      <c r="H729" s="78"/>
      <c r="I729" s="76"/>
    </row>
    <row r="730" spans="2:9" ht="28.5" customHeight="1" x14ac:dyDescent="0.3">
      <c r="B730" s="76" t="s">
        <v>78</v>
      </c>
      <c r="C730" s="76" t="s">
        <v>471</v>
      </c>
      <c r="D730" s="76" t="s">
        <v>163</v>
      </c>
      <c r="E730" s="76" t="s">
        <v>243</v>
      </c>
      <c r="F730" s="79">
        <v>17.5</v>
      </c>
      <c r="G730" s="76" t="s">
        <v>18</v>
      </c>
      <c r="H730" s="78"/>
      <c r="I730" s="76"/>
    </row>
    <row r="731" spans="2:9" ht="28.5" customHeight="1" x14ac:dyDescent="0.3">
      <c r="B731" s="76" t="s">
        <v>78</v>
      </c>
      <c r="C731" s="76" t="s">
        <v>472</v>
      </c>
      <c r="D731" s="76" t="s">
        <v>163</v>
      </c>
      <c r="E731" s="76" t="s">
        <v>243</v>
      </c>
      <c r="F731" s="79">
        <v>17.5</v>
      </c>
      <c r="G731" s="76" t="s">
        <v>18</v>
      </c>
      <c r="H731" s="78"/>
      <c r="I731" s="76"/>
    </row>
    <row r="732" spans="2:9" ht="42.75" customHeight="1" x14ac:dyDescent="0.3">
      <c r="B732" s="76" t="s">
        <v>78</v>
      </c>
      <c r="C732" s="76" t="s">
        <v>473</v>
      </c>
      <c r="D732" s="76" t="s">
        <v>163</v>
      </c>
      <c r="E732" s="76" t="s">
        <v>243</v>
      </c>
      <c r="F732" s="79">
        <v>17.5</v>
      </c>
      <c r="G732" s="76" t="s">
        <v>18</v>
      </c>
      <c r="H732" s="78"/>
      <c r="I732" s="76"/>
    </row>
    <row r="733" spans="2:9" ht="28.5" customHeight="1" x14ac:dyDescent="0.3">
      <c r="B733" s="76" t="s">
        <v>78</v>
      </c>
      <c r="C733" s="76" t="s">
        <v>474</v>
      </c>
      <c r="D733" s="76" t="s">
        <v>163</v>
      </c>
      <c r="E733" s="76" t="s">
        <v>243</v>
      </c>
      <c r="F733" s="79">
        <v>17.5</v>
      </c>
      <c r="G733" s="76" t="s">
        <v>18</v>
      </c>
      <c r="H733" s="78"/>
      <c r="I733" s="76"/>
    </row>
    <row r="734" spans="2:9" ht="28.5" customHeight="1" x14ac:dyDescent="0.3">
      <c r="B734" s="76" t="s">
        <v>78</v>
      </c>
      <c r="C734" s="76" t="s">
        <v>475</v>
      </c>
      <c r="D734" s="76" t="s">
        <v>163</v>
      </c>
      <c r="E734" s="76" t="s">
        <v>243</v>
      </c>
      <c r="F734" s="79">
        <v>17.5</v>
      </c>
      <c r="G734" s="76" t="s">
        <v>18</v>
      </c>
      <c r="H734" s="78"/>
      <c r="I734" s="76"/>
    </row>
    <row r="735" spans="2:9" ht="28.5" customHeight="1" x14ac:dyDescent="0.3">
      <c r="B735" s="76" t="s">
        <v>78</v>
      </c>
      <c r="C735" s="76" t="s">
        <v>476</v>
      </c>
      <c r="D735" s="76" t="s">
        <v>19</v>
      </c>
      <c r="E735" s="76" t="s">
        <v>243</v>
      </c>
      <c r="F735" s="79">
        <v>19</v>
      </c>
      <c r="G735" s="76" t="s">
        <v>18</v>
      </c>
      <c r="H735" s="78"/>
      <c r="I735" s="76"/>
    </row>
    <row r="736" spans="2:9" ht="42.75" customHeight="1" x14ac:dyDescent="0.3">
      <c r="B736" s="76" t="s">
        <v>78</v>
      </c>
      <c r="C736" s="76" t="s">
        <v>477</v>
      </c>
      <c r="D736" s="76" t="s">
        <v>19</v>
      </c>
      <c r="E736" s="76" t="s">
        <v>243</v>
      </c>
      <c r="F736" s="79">
        <v>19</v>
      </c>
      <c r="G736" s="76" t="s">
        <v>18</v>
      </c>
      <c r="H736" s="78"/>
      <c r="I736" s="76"/>
    </row>
    <row r="737" spans="2:9" ht="42.75" customHeight="1" x14ac:dyDescent="0.3">
      <c r="B737" s="76" t="s">
        <v>78</v>
      </c>
      <c r="C737" s="76" t="s">
        <v>478</v>
      </c>
      <c r="D737" s="76" t="s">
        <v>19</v>
      </c>
      <c r="E737" s="76" t="s">
        <v>243</v>
      </c>
      <c r="F737" s="79">
        <v>19</v>
      </c>
      <c r="G737" s="76" t="s">
        <v>18</v>
      </c>
      <c r="H737" s="78"/>
      <c r="I737" s="76"/>
    </row>
    <row r="738" spans="2:9" ht="28.5" customHeight="1" x14ac:dyDescent="0.3">
      <c r="B738" s="76" t="s">
        <v>78</v>
      </c>
      <c r="C738" s="76" t="s">
        <v>479</v>
      </c>
      <c r="D738" s="76" t="s">
        <v>19</v>
      </c>
      <c r="E738" s="76" t="s">
        <v>243</v>
      </c>
      <c r="F738" s="79">
        <v>19</v>
      </c>
      <c r="G738" s="76" t="s">
        <v>18</v>
      </c>
      <c r="H738" s="78"/>
      <c r="I738" s="76"/>
    </row>
    <row r="739" spans="2:9" ht="28.5" customHeight="1" x14ac:dyDescent="0.3">
      <c r="B739" s="76" t="s">
        <v>78</v>
      </c>
      <c r="C739" s="76" t="s">
        <v>480</v>
      </c>
      <c r="D739" s="76" t="s">
        <v>19</v>
      </c>
      <c r="E739" s="76" t="s">
        <v>243</v>
      </c>
      <c r="F739" s="79">
        <v>19</v>
      </c>
      <c r="G739" s="76" t="s">
        <v>18</v>
      </c>
      <c r="H739" s="78"/>
      <c r="I739" s="76"/>
    </row>
    <row r="740" spans="2:9" ht="28.5" customHeight="1" x14ac:dyDescent="0.3">
      <c r="B740" s="76" t="s">
        <v>78</v>
      </c>
      <c r="C740" s="76" t="s">
        <v>481</v>
      </c>
      <c r="D740" s="76" t="s">
        <v>19</v>
      </c>
      <c r="E740" s="76" t="s">
        <v>243</v>
      </c>
      <c r="F740" s="79">
        <v>19</v>
      </c>
      <c r="G740" s="76" t="s">
        <v>18</v>
      </c>
      <c r="H740" s="78"/>
      <c r="I740" s="76"/>
    </row>
    <row r="741" spans="2:9" ht="28.5" customHeight="1" x14ac:dyDescent="0.3">
      <c r="B741" s="76" t="s">
        <v>78</v>
      </c>
      <c r="C741" s="76" t="s">
        <v>482</v>
      </c>
      <c r="D741" s="76" t="s">
        <v>19</v>
      </c>
      <c r="E741" s="76" t="s">
        <v>243</v>
      </c>
      <c r="F741" s="79">
        <v>19</v>
      </c>
      <c r="G741" s="76" t="s">
        <v>18</v>
      </c>
      <c r="H741" s="78"/>
      <c r="I741" s="76"/>
    </row>
    <row r="742" spans="2:9" ht="28.5" customHeight="1" x14ac:dyDescent="0.3">
      <c r="B742" s="76" t="s">
        <v>78</v>
      </c>
      <c r="C742" s="76" t="s">
        <v>483</v>
      </c>
      <c r="D742" s="76" t="s">
        <v>19</v>
      </c>
      <c r="E742" s="76" t="s">
        <v>243</v>
      </c>
      <c r="F742" s="79">
        <v>19</v>
      </c>
      <c r="G742" s="76" t="s">
        <v>18</v>
      </c>
      <c r="H742" s="78"/>
      <c r="I742" s="76"/>
    </row>
    <row r="743" spans="2:9" ht="42.75" customHeight="1" x14ac:dyDescent="0.3">
      <c r="B743" s="76" t="s">
        <v>78</v>
      </c>
      <c r="C743" s="76" t="s">
        <v>484</v>
      </c>
      <c r="D743" s="76" t="s">
        <v>19</v>
      </c>
      <c r="E743" s="76" t="s">
        <v>243</v>
      </c>
      <c r="F743" s="79">
        <v>19</v>
      </c>
      <c r="G743" s="76" t="s">
        <v>18</v>
      </c>
      <c r="H743" s="78"/>
      <c r="I743" s="76"/>
    </row>
    <row r="744" spans="2:9" ht="28.5" customHeight="1" x14ac:dyDescent="0.3">
      <c r="B744" s="76" t="s">
        <v>78</v>
      </c>
      <c r="C744" s="76" t="s">
        <v>485</v>
      </c>
      <c r="D744" s="76" t="s">
        <v>19</v>
      </c>
      <c r="E744" s="76" t="s">
        <v>243</v>
      </c>
      <c r="F744" s="79">
        <v>19</v>
      </c>
      <c r="G744" s="76" t="s">
        <v>18</v>
      </c>
      <c r="H744" s="78"/>
      <c r="I744" s="76"/>
    </row>
    <row r="745" spans="2:9" ht="28.5" customHeight="1" x14ac:dyDescent="0.3">
      <c r="B745" s="76" t="s">
        <v>78</v>
      </c>
      <c r="C745" s="76" t="s">
        <v>486</v>
      </c>
      <c r="D745" s="76" t="s">
        <v>19</v>
      </c>
      <c r="E745" s="76" t="s">
        <v>243</v>
      </c>
      <c r="F745" s="79">
        <v>19</v>
      </c>
      <c r="G745" s="76" t="s">
        <v>18</v>
      </c>
      <c r="H745" s="78"/>
      <c r="I745" s="76"/>
    </row>
    <row r="746" spans="2:9" ht="42.75" customHeight="1" x14ac:dyDescent="0.3">
      <c r="B746" s="76" t="s">
        <v>78</v>
      </c>
      <c r="C746" s="76" t="s">
        <v>487</v>
      </c>
      <c r="D746" s="76" t="s">
        <v>19</v>
      </c>
      <c r="E746" s="76" t="s">
        <v>243</v>
      </c>
      <c r="F746" s="79">
        <v>19</v>
      </c>
      <c r="G746" s="76" t="s">
        <v>18</v>
      </c>
      <c r="H746" s="78"/>
      <c r="I746" s="76"/>
    </row>
    <row r="747" spans="2:9" ht="42.75" customHeight="1" x14ac:dyDescent="0.3">
      <c r="B747" s="76" t="s">
        <v>78</v>
      </c>
      <c r="C747" s="76" t="s">
        <v>488</v>
      </c>
      <c r="D747" s="76" t="s">
        <v>19</v>
      </c>
      <c r="E747" s="76" t="s">
        <v>243</v>
      </c>
      <c r="F747" s="79">
        <v>19</v>
      </c>
      <c r="G747" s="76" t="s">
        <v>18</v>
      </c>
      <c r="H747" s="78"/>
      <c r="I747" s="76"/>
    </row>
    <row r="748" spans="2:9" ht="42.75" customHeight="1" x14ac:dyDescent="0.3">
      <c r="B748" s="76" t="s">
        <v>78</v>
      </c>
      <c r="C748" s="76" t="s">
        <v>489</v>
      </c>
      <c r="D748" s="76" t="s">
        <v>19</v>
      </c>
      <c r="E748" s="76" t="s">
        <v>243</v>
      </c>
      <c r="F748" s="79">
        <v>19</v>
      </c>
      <c r="G748" s="76" t="s">
        <v>18</v>
      </c>
      <c r="H748" s="78"/>
      <c r="I748" s="76"/>
    </row>
    <row r="749" spans="2:9" ht="28.5" customHeight="1" x14ac:dyDescent="0.3">
      <c r="B749" s="76" t="s">
        <v>78</v>
      </c>
      <c r="C749" s="76" t="s">
        <v>490</v>
      </c>
      <c r="D749" s="76" t="s">
        <v>19</v>
      </c>
      <c r="E749" s="76" t="s">
        <v>243</v>
      </c>
      <c r="F749" s="79">
        <v>19</v>
      </c>
      <c r="G749" s="76" t="s">
        <v>18</v>
      </c>
      <c r="H749" s="78"/>
      <c r="I749" s="76"/>
    </row>
    <row r="750" spans="2:9" ht="42.75" customHeight="1" x14ac:dyDescent="0.3">
      <c r="B750" s="76" t="s">
        <v>78</v>
      </c>
      <c r="C750" s="76" t="s">
        <v>491</v>
      </c>
      <c r="D750" s="76" t="s">
        <v>19</v>
      </c>
      <c r="E750" s="76" t="s">
        <v>243</v>
      </c>
      <c r="F750" s="79">
        <v>19</v>
      </c>
      <c r="G750" s="76" t="s">
        <v>18</v>
      </c>
      <c r="H750" s="78"/>
      <c r="I750" s="76"/>
    </row>
    <row r="751" spans="2:9" ht="28.5" customHeight="1" x14ac:dyDescent="0.3">
      <c r="B751" s="76" t="s">
        <v>78</v>
      </c>
      <c r="C751" s="76" t="s">
        <v>492</v>
      </c>
      <c r="D751" s="76" t="s">
        <v>19</v>
      </c>
      <c r="E751" s="76" t="s">
        <v>243</v>
      </c>
      <c r="F751" s="79">
        <v>19</v>
      </c>
      <c r="G751" s="76" t="s">
        <v>18</v>
      </c>
      <c r="H751" s="78"/>
      <c r="I751" s="76"/>
    </row>
    <row r="752" spans="2:9" ht="28.5" customHeight="1" x14ac:dyDescent="0.3">
      <c r="B752" s="76" t="s">
        <v>78</v>
      </c>
      <c r="C752" s="76" t="s">
        <v>493</v>
      </c>
      <c r="D752" s="76" t="s">
        <v>19</v>
      </c>
      <c r="E752" s="76" t="s">
        <v>243</v>
      </c>
      <c r="F752" s="79">
        <v>19</v>
      </c>
      <c r="G752" s="76" t="s">
        <v>18</v>
      </c>
      <c r="H752" s="78"/>
      <c r="I752" s="76"/>
    </row>
    <row r="753" spans="2:9" ht="28.5" customHeight="1" x14ac:dyDescent="0.3">
      <c r="B753" s="76" t="s">
        <v>78</v>
      </c>
      <c r="C753" s="76" t="s">
        <v>494</v>
      </c>
      <c r="D753" s="76" t="s">
        <v>19</v>
      </c>
      <c r="E753" s="76" t="s">
        <v>243</v>
      </c>
      <c r="F753" s="79">
        <v>19</v>
      </c>
      <c r="G753" s="76" t="s">
        <v>18</v>
      </c>
      <c r="H753" s="78"/>
      <c r="I753" s="76"/>
    </row>
    <row r="754" spans="2:9" ht="28.5" customHeight="1" x14ac:dyDescent="0.3">
      <c r="B754" s="76" t="s">
        <v>78</v>
      </c>
      <c r="C754" s="76" t="s">
        <v>495</v>
      </c>
      <c r="D754" s="76" t="s">
        <v>19</v>
      </c>
      <c r="E754" s="76" t="s">
        <v>243</v>
      </c>
      <c r="F754" s="79">
        <v>19</v>
      </c>
      <c r="G754" s="76" t="s">
        <v>18</v>
      </c>
      <c r="H754" s="78"/>
      <c r="I754" s="76"/>
    </row>
    <row r="755" spans="2:9" ht="28.5" customHeight="1" x14ac:dyDescent="0.3">
      <c r="B755" s="76" t="s">
        <v>78</v>
      </c>
      <c r="C755" s="76" t="s">
        <v>496</v>
      </c>
      <c r="D755" s="76" t="s">
        <v>19</v>
      </c>
      <c r="E755" s="76" t="s">
        <v>243</v>
      </c>
      <c r="F755" s="79">
        <v>19</v>
      </c>
      <c r="G755" s="76" t="s">
        <v>18</v>
      </c>
      <c r="H755" s="78"/>
      <c r="I755" s="76"/>
    </row>
    <row r="756" spans="2:9" ht="28.5" customHeight="1" x14ac:dyDescent="0.3">
      <c r="B756" s="76" t="s">
        <v>78</v>
      </c>
      <c r="C756" s="76" t="s">
        <v>497</v>
      </c>
      <c r="D756" s="76" t="s">
        <v>19</v>
      </c>
      <c r="E756" s="76" t="s">
        <v>243</v>
      </c>
      <c r="F756" s="79">
        <v>19</v>
      </c>
      <c r="G756" s="76" t="s">
        <v>18</v>
      </c>
      <c r="H756" s="78"/>
      <c r="I756" s="76"/>
    </row>
    <row r="757" spans="2:9" ht="28.5" customHeight="1" x14ac:dyDescent="0.3">
      <c r="B757" s="76" t="s">
        <v>78</v>
      </c>
      <c r="C757" s="76" t="s">
        <v>498</v>
      </c>
      <c r="D757" s="76" t="s">
        <v>19</v>
      </c>
      <c r="E757" s="76" t="s">
        <v>243</v>
      </c>
      <c r="F757" s="79">
        <v>19</v>
      </c>
      <c r="G757" s="76" t="s">
        <v>18</v>
      </c>
      <c r="H757" s="78"/>
      <c r="I757" s="76"/>
    </row>
    <row r="758" spans="2:9" ht="42.75" customHeight="1" x14ac:dyDescent="0.3">
      <c r="B758" s="76" t="s">
        <v>78</v>
      </c>
      <c r="C758" s="76" t="s">
        <v>499</v>
      </c>
      <c r="D758" s="76" t="s">
        <v>19</v>
      </c>
      <c r="E758" s="76" t="s">
        <v>243</v>
      </c>
      <c r="F758" s="79">
        <v>19</v>
      </c>
      <c r="G758" s="76" t="s">
        <v>18</v>
      </c>
      <c r="H758" s="78"/>
      <c r="I758" s="76"/>
    </row>
    <row r="759" spans="2:9" ht="28.5" customHeight="1" x14ac:dyDescent="0.3">
      <c r="B759" s="76" t="s">
        <v>78</v>
      </c>
      <c r="C759" s="76" t="s">
        <v>500</v>
      </c>
      <c r="D759" s="76" t="s">
        <v>172</v>
      </c>
      <c r="E759" s="76" t="s">
        <v>243</v>
      </c>
      <c r="F759" s="79">
        <v>21.5</v>
      </c>
      <c r="G759" s="76" t="s">
        <v>18</v>
      </c>
      <c r="H759" s="78"/>
      <c r="I759" s="76"/>
    </row>
    <row r="760" spans="2:9" ht="42.75" customHeight="1" x14ac:dyDescent="0.3">
      <c r="B760" s="76" t="s">
        <v>78</v>
      </c>
      <c r="C760" s="76" t="s">
        <v>277</v>
      </c>
      <c r="D760" s="76" t="s">
        <v>172</v>
      </c>
      <c r="E760" s="76" t="s">
        <v>243</v>
      </c>
      <c r="F760" s="79">
        <v>21.5</v>
      </c>
      <c r="G760" s="76" t="s">
        <v>18</v>
      </c>
      <c r="H760" s="78"/>
      <c r="I760" s="76"/>
    </row>
    <row r="761" spans="2:9" ht="28.5" customHeight="1" x14ac:dyDescent="0.3">
      <c r="B761" s="76" t="s">
        <v>78</v>
      </c>
      <c r="C761" s="76" t="s">
        <v>501</v>
      </c>
      <c r="D761" s="76" t="s">
        <v>172</v>
      </c>
      <c r="E761" s="76" t="s">
        <v>243</v>
      </c>
      <c r="F761" s="79">
        <v>21.5</v>
      </c>
      <c r="G761" s="76" t="s">
        <v>18</v>
      </c>
      <c r="H761" s="78"/>
      <c r="I761" s="76"/>
    </row>
    <row r="762" spans="2:9" ht="28.5" customHeight="1" x14ac:dyDescent="0.3">
      <c r="B762" s="76" t="s">
        <v>78</v>
      </c>
      <c r="C762" s="76" t="s">
        <v>502</v>
      </c>
      <c r="D762" s="76" t="s">
        <v>172</v>
      </c>
      <c r="E762" s="76" t="s">
        <v>243</v>
      </c>
      <c r="F762" s="79">
        <v>21.5</v>
      </c>
      <c r="G762" s="76" t="s">
        <v>18</v>
      </c>
      <c r="H762" s="78"/>
      <c r="I762" s="76"/>
    </row>
    <row r="763" spans="2:9" ht="28.5" customHeight="1" x14ac:dyDescent="0.3">
      <c r="B763" s="76" t="s">
        <v>78</v>
      </c>
      <c r="C763" s="76" t="s">
        <v>503</v>
      </c>
      <c r="D763" s="76" t="s">
        <v>172</v>
      </c>
      <c r="E763" s="76" t="s">
        <v>243</v>
      </c>
      <c r="F763" s="79">
        <v>21.5</v>
      </c>
      <c r="G763" s="76" t="s">
        <v>18</v>
      </c>
      <c r="H763" s="78"/>
      <c r="I763" s="76"/>
    </row>
    <row r="764" spans="2:9" ht="28.5" customHeight="1" x14ac:dyDescent="0.3">
      <c r="B764" s="76" t="s">
        <v>78</v>
      </c>
      <c r="C764" s="76" t="s">
        <v>504</v>
      </c>
      <c r="D764" s="76" t="s">
        <v>172</v>
      </c>
      <c r="E764" s="76" t="s">
        <v>243</v>
      </c>
      <c r="F764" s="79">
        <v>21.5</v>
      </c>
      <c r="G764" s="76" t="s">
        <v>18</v>
      </c>
      <c r="H764" s="78"/>
      <c r="I764" s="76"/>
    </row>
    <row r="765" spans="2:9" ht="42.75" customHeight="1" x14ac:dyDescent="0.3">
      <c r="B765" s="76" t="s">
        <v>78</v>
      </c>
      <c r="C765" s="76" t="s">
        <v>505</v>
      </c>
      <c r="D765" s="76" t="s">
        <v>172</v>
      </c>
      <c r="E765" s="76" t="s">
        <v>243</v>
      </c>
      <c r="F765" s="79">
        <v>21.5</v>
      </c>
      <c r="G765" s="76" t="s">
        <v>18</v>
      </c>
      <c r="H765" s="78"/>
      <c r="I765" s="76"/>
    </row>
    <row r="766" spans="2:9" ht="28.5" customHeight="1" x14ac:dyDescent="0.3">
      <c r="B766" s="76" t="s">
        <v>87</v>
      </c>
      <c r="C766" s="76" t="s">
        <v>506</v>
      </c>
      <c r="D766" s="76" t="s">
        <v>153</v>
      </c>
      <c r="E766" s="76" t="s">
        <v>243</v>
      </c>
      <c r="F766" s="79">
        <v>5.21</v>
      </c>
      <c r="G766" s="76" t="s">
        <v>18</v>
      </c>
      <c r="H766" s="78"/>
      <c r="I766" s="76"/>
    </row>
    <row r="767" spans="2:9" ht="28.5" customHeight="1" x14ac:dyDescent="0.3">
      <c r="B767" s="76" t="s">
        <v>87</v>
      </c>
      <c r="C767" s="76" t="s">
        <v>507</v>
      </c>
      <c r="D767" s="76" t="s">
        <v>153</v>
      </c>
      <c r="E767" s="76" t="s">
        <v>243</v>
      </c>
      <c r="F767" s="79">
        <v>5.21</v>
      </c>
      <c r="G767" s="76" t="s">
        <v>18</v>
      </c>
      <c r="H767" s="78"/>
      <c r="I767" s="76"/>
    </row>
    <row r="768" spans="2:9" ht="28.5" customHeight="1" x14ac:dyDescent="0.3">
      <c r="B768" s="76" t="s">
        <v>87</v>
      </c>
      <c r="C768" s="76" t="s">
        <v>508</v>
      </c>
      <c r="D768" s="76" t="s">
        <v>153</v>
      </c>
      <c r="E768" s="76" t="s">
        <v>243</v>
      </c>
      <c r="F768" s="79">
        <v>5.21</v>
      </c>
      <c r="G768" s="76" t="s">
        <v>18</v>
      </c>
      <c r="H768" s="78"/>
      <c r="I768" s="76"/>
    </row>
    <row r="769" spans="2:9" ht="28.5" customHeight="1" x14ac:dyDescent="0.3">
      <c r="B769" s="76" t="s">
        <v>87</v>
      </c>
      <c r="C769" s="76" t="s">
        <v>327</v>
      </c>
      <c r="D769" s="76" t="s">
        <v>17</v>
      </c>
      <c r="E769" s="76" t="s">
        <v>243</v>
      </c>
      <c r="F769" s="79">
        <v>6.15</v>
      </c>
      <c r="G769" s="76" t="s">
        <v>18</v>
      </c>
      <c r="H769" s="78"/>
      <c r="I769" s="76"/>
    </row>
    <row r="770" spans="2:9" ht="28.5" customHeight="1" x14ac:dyDescent="0.3">
      <c r="B770" s="76" t="s">
        <v>87</v>
      </c>
      <c r="C770" s="76" t="s">
        <v>328</v>
      </c>
      <c r="D770" s="76" t="s">
        <v>17</v>
      </c>
      <c r="E770" s="76" t="s">
        <v>243</v>
      </c>
      <c r="F770" s="79">
        <v>6.15</v>
      </c>
      <c r="G770" s="76" t="s">
        <v>18</v>
      </c>
      <c r="H770" s="78"/>
      <c r="I770" s="76"/>
    </row>
    <row r="771" spans="2:9" ht="28.5" customHeight="1" x14ac:dyDescent="0.3">
      <c r="B771" s="76" t="s">
        <v>87</v>
      </c>
      <c r="C771" s="76" t="s">
        <v>509</v>
      </c>
      <c r="D771" s="76" t="s">
        <v>17</v>
      </c>
      <c r="E771" s="76" t="s">
        <v>243</v>
      </c>
      <c r="F771" s="79">
        <v>6.15</v>
      </c>
      <c r="G771" s="76" t="s">
        <v>18</v>
      </c>
      <c r="H771" s="78"/>
      <c r="I771" s="76"/>
    </row>
    <row r="772" spans="2:9" ht="28.5" customHeight="1" x14ac:dyDescent="0.3">
      <c r="B772" s="76" t="s">
        <v>87</v>
      </c>
      <c r="C772" s="76" t="s">
        <v>510</v>
      </c>
      <c r="D772" s="76" t="s">
        <v>17</v>
      </c>
      <c r="E772" s="76" t="s">
        <v>243</v>
      </c>
      <c r="F772" s="79">
        <v>6.15</v>
      </c>
      <c r="G772" s="76" t="s">
        <v>18</v>
      </c>
      <c r="H772" s="78"/>
      <c r="I772" s="76"/>
    </row>
    <row r="773" spans="2:9" ht="28.5" x14ac:dyDescent="0.3">
      <c r="B773" s="76" t="s">
        <v>87</v>
      </c>
      <c r="C773" s="76" t="s">
        <v>511</v>
      </c>
      <c r="D773" s="76" t="s">
        <v>17</v>
      </c>
      <c r="E773" s="76" t="s">
        <v>243</v>
      </c>
      <c r="F773" s="79">
        <v>6.15</v>
      </c>
      <c r="G773" s="76" t="s">
        <v>18</v>
      </c>
      <c r="H773" s="78"/>
      <c r="I773" s="76"/>
    </row>
    <row r="774" spans="2:9" ht="28.5" customHeight="1" x14ac:dyDescent="0.3">
      <c r="B774" s="76" t="s">
        <v>87</v>
      </c>
      <c r="C774" s="76" t="s">
        <v>512</v>
      </c>
      <c r="D774" s="76" t="s">
        <v>163</v>
      </c>
      <c r="E774" s="76" t="s">
        <v>243</v>
      </c>
      <c r="F774" s="79">
        <v>6.75</v>
      </c>
      <c r="G774" s="76" t="s">
        <v>18</v>
      </c>
      <c r="H774" s="78"/>
      <c r="I774" s="76"/>
    </row>
    <row r="775" spans="2:9" ht="28.5" customHeight="1" x14ac:dyDescent="0.3">
      <c r="B775" s="76" t="s">
        <v>87</v>
      </c>
      <c r="C775" s="76" t="s">
        <v>513</v>
      </c>
      <c r="D775" s="76" t="s">
        <v>163</v>
      </c>
      <c r="E775" s="76" t="s">
        <v>243</v>
      </c>
      <c r="F775" s="79">
        <v>6.75</v>
      </c>
      <c r="G775" s="76" t="s">
        <v>18</v>
      </c>
      <c r="H775" s="78"/>
      <c r="I775" s="76"/>
    </row>
    <row r="776" spans="2:9" ht="28.5" customHeight="1" x14ac:dyDescent="0.3">
      <c r="B776" s="76" t="s">
        <v>87</v>
      </c>
      <c r="C776" s="76" t="s">
        <v>331</v>
      </c>
      <c r="D776" s="76" t="s">
        <v>163</v>
      </c>
      <c r="E776" s="76" t="s">
        <v>243</v>
      </c>
      <c r="F776" s="79">
        <v>6.75</v>
      </c>
      <c r="G776" s="76" t="s">
        <v>18</v>
      </c>
      <c r="H776" s="78"/>
      <c r="I776" s="76"/>
    </row>
    <row r="777" spans="2:9" ht="28.5" customHeight="1" x14ac:dyDescent="0.3">
      <c r="B777" s="76" t="s">
        <v>87</v>
      </c>
      <c r="C777" s="76" t="s">
        <v>333</v>
      </c>
      <c r="D777" s="76" t="s">
        <v>163</v>
      </c>
      <c r="E777" s="76" t="s">
        <v>243</v>
      </c>
      <c r="F777" s="79">
        <v>6.75</v>
      </c>
      <c r="G777" s="76" t="s">
        <v>18</v>
      </c>
      <c r="H777" s="78"/>
      <c r="I777" s="76"/>
    </row>
    <row r="778" spans="2:9" ht="28.5" customHeight="1" x14ac:dyDescent="0.3">
      <c r="B778" s="76" t="s">
        <v>87</v>
      </c>
      <c r="C778" s="76" t="s">
        <v>334</v>
      </c>
      <c r="D778" s="76" t="s">
        <v>163</v>
      </c>
      <c r="E778" s="76" t="s">
        <v>243</v>
      </c>
      <c r="F778" s="79">
        <v>6.75</v>
      </c>
      <c r="G778" s="76" t="s">
        <v>18</v>
      </c>
      <c r="H778" s="78"/>
      <c r="I778" s="76"/>
    </row>
    <row r="779" spans="2:9" ht="28.5" customHeight="1" x14ac:dyDescent="0.3">
      <c r="B779" s="76" t="s">
        <v>87</v>
      </c>
      <c r="C779" s="76" t="s">
        <v>335</v>
      </c>
      <c r="D779" s="76" t="s">
        <v>163</v>
      </c>
      <c r="E779" s="76" t="s">
        <v>243</v>
      </c>
      <c r="F779" s="79">
        <v>6.75</v>
      </c>
      <c r="G779" s="76" t="s">
        <v>18</v>
      </c>
      <c r="H779" s="78"/>
      <c r="I779" s="76"/>
    </row>
    <row r="780" spans="2:9" ht="28.5" customHeight="1" x14ac:dyDescent="0.3">
      <c r="B780" s="76" t="s">
        <v>87</v>
      </c>
      <c r="C780" s="76" t="s">
        <v>336</v>
      </c>
      <c r="D780" s="76" t="s">
        <v>19</v>
      </c>
      <c r="E780" s="76" t="s">
        <v>243</v>
      </c>
      <c r="F780" s="79">
        <v>8</v>
      </c>
      <c r="G780" s="76" t="s">
        <v>18</v>
      </c>
      <c r="H780" s="78"/>
      <c r="I780" s="76"/>
    </row>
    <row r="781" spans="2:9" ht="28.5" customHeight="1" x14ac:dyDescent="0.3">
      <c r="B781" s="76" t="s">
        <v>87</v>
      </c>
      <c r="C781" s="76" t="s">
        <v>514</v>
      </c>
      <c r="D781" s="76" t="s">
        <v>19</v>
      </c>
      <c r="E781" s="76" t="s">
        <v>243</v>
      </c>
      <c r="F781" s="79">
        <v>8</v>
      </c>
      <c r="G781" s="76" t="s">
        <v>18</v>
      </c>
      <c r="H781" s="78"/>
      <c r="I781" s="76"/>
    </row>
    <row r="782" spans="2:9" ht="28.5" customHeight="1" x14ac:dyDescent="0.3">
      <c r="B782" s="76" t="s">
        <v>87</v>
      </c>
      <c r="C782" s="76" t="s">
        <v>515</v>
      </c>
      <c r="D782" s="76" t="s">
        <v>19</v>
      </c>
      <c r="E782" s="76" t="s">
        <v>243</v>
      </c>
      <c r="F782" s="79">
        <v>8</v>
      </c>
      <c r="G782" s="76" t="s">
        <v>18</v>
      </c>
      <c r="H782" s="78"/>
      <c r="I782" s="76"/>
    </row>
    <row r="783" spans="2:9" ht="28.5" customHeight="1" x14ac:dyDescent="0.3">
      <c r="B783" s="76" t="s">
        <v>87</v>
      </c>
      <c r="C783" s="76" t="s">
        <v>516</v>
      </c>
      <c r="D783" s="76" t="s">
        <v>19</v>
      </c>
      <c r="E783" s="76" t="s">
        <v>243</v>
      </c>
      <c r="F783" s="79">
        <v>8</v>
      </c>
      <c r="G783" s="76" t="s">
        <v>18</v>
      </c>
      <c r="H783" s="78"/>
      <c r="I783" s="76"/>
    </row>
    <row r="784" spans="2:9" ht="28.5" customHeight="1" x14ac:dyDescent="0.3">
      <c r="B784" s="76" t="s">
        <v>87</v>
      </c>
      <c r="C784" s="76" t="s">
        <v>517</v>
      </c>
      <c r="D784" s="76" t="s">
        <v>19</v>
      </c>
      <c r="E784" s="76" t="s">
        <v>243</v>
      </c>
      <c r="F784" s="79">
        <v>8</v>
      </c>
      <c r="G784" s="76" t="s">
        <v>18</v>
      </c>
      <c r="H784" s="78"/>
      <c r="I784" s="76"/>
    </row>
    <row r="785" spans="2:9" ht="28.5" customHeight="1" x14ac:dyDescent="0.3">
      <c r="B785" s="76" t="s">
        <v>87</v>
      </c>
      <c r="C785" s="76" t="s">
        <v>518</v>
      </c>
      <c r="D785" s="76" t="s">
        <v>19</v>
      </c>
      <c r="E785" s="76" t="s">
        <v>243</v>
      </c>
      <c r="F785" s="79">
        <v>8</v>
      </c>
      <c r="G785" s="76" t="s">
        <v>18</v>
      </c>
      <c r="H785" s="78"/>
      <c r="I785" s="76"/>
    </row>
    <row r="786" spans="2:9" ht="28.5" customHeight="1" x14ac:dyDescent="0.3">
      <c r="B786" s="76" t="s">
        <v>87</v>
      </c>
      <c r="C786" s="76" t="s">
        <v>340</v>
      </c>
      <c r="D786" s="76" t="s">
        <v>19</v>
      </c>
      <c r="E786" s="76" t="s">
        <v>243</v>
      </c>
      <c r="F786" s="79">
        <v>8</v>
      </c>
      <c r="G786" s="76" t="s">
        <v>18</v>
      </c>
      <c r="H786" s="78"/>
      <c r="I786" s="76"/>
    </row>
    <row r="787" spans="2:9" ht="28.5" customHeight="1" x14ac:dyDescent="0.3">
      <c r="B787" s="76" t="s">
        <v>87</v>
      </c>
      <c r="C787" s="76" t="s">
        <v>341</v>
      </c>
      <c r="D787" s="76" t="s">
        <v>19</v>
      </c>
      <c r="E787" s="76" t="s">
        <v>243</v>
      </c>
      <c r="F787" s="79">
        <v>8</v>
      </c>
      <c r="G787" s="76" t="s">
        <v>18</v>
      </c>
      <c r="H787" s="78"/>
      <c r="I787" s="76"/>
    </row>
    <row r="788" spans="2:9" ht="28.5" customHeight="1" x14ac:dyDescent="0.3">
      <c r="B788" s="76" t="s">
        <v>87</v>
      </c>
      <c r="C788" s="76" t="s">
        <v>342</v>
      </c>
      <c r="D788" s="76" t="s">
        <v>19</v>
      </c>
      <c r="E788" s="76" t="s">
        <v>243</v>
      </c>
      <c r="F788" s="79">
        <v>8</v>
      </c>
      <c r="G788" s="76" t="s">
        <v>18</v>
      </c>
      <c r="H788" s="78"/>
      <c r="I788" s="76"/>
    </row>
    <row r="789" spans="2:9" ht="28.5" customHeight="1" x14ac:dyDescent="0.3">
      <c r="B789" s="76" t="s">
        <v>87</v>
      </c>
      <c r="C789" s="76" t="s">
        <v>343</v>
      </c>
      <c r="D789" s="76" t="s">
        <v>19</v>
      </c>
      <c r="E789" s="76" t="s">
        <v>243</v>
      </c>
      <c r="F789" s="79">
        <v>8</v>
      </c>
      <c r="G789" s="76" t="s">
        <v>18</v>
      </c>
      <c r="H789" s="78"/>
      <c r="I789" s="76"/>
    </row>
    <row r="790" spans="2:9" ht="28.5" customHeight="1" x14ac:dyDescent="0.3">
      <c r="B790" s="76" t="s">
        <v>87</v>
      </c>
      <c r="C790" s="76" t="s">
        <v>344</v>
      </c>
      <c r="D790" s="76" t="s">
        <v>19</v>
      </c>
      <c r="E790" s="76" t="s">
        <v>243</v>
      </c>
      <c r="F790" s="79">
        <v>8</v>
      </c>
      <c r="G790" s="76" t="s">
        <v>18</v>
      </c>
      <c r="H790" s="78"/>
      <c r="I790" s="76"/>
    </row>
    <row r="791" spans="2:9" ht="28.5" customHeight="1" x14ac:dyDescent="0.3">
      <c r="B791" s="76" t="s">
        <v>87</v>
      </c>
      <c r="C791" s="76" t="s">
        <v>345</v>
      </c>
      <c r="D791" s="76" t="s">
        <v>19</v>
      </c>
      <c r="E791" s="76" t="s">
        <v>243</v>
      </c>
      <c r="F791" s="79">
        <v>8</v>
      </c>
      <c r="G791" s="76" t="s">
        <v>18</v>
      </c>
      <c r="H791" s="78"/>
      <c r="I791" s="76"/>
    </row>
    <row r="792" spans="2:9" ht="28.5" customHeight="1" x14ac:dyDescent="0.3">
      <c r="B792" s="76" t="s">
        <v>87</v>
      </c>
      <c r="C792" s="76" t="s">
        <v>519</v>
      </c>
      <c r="D792" s="76" t="s">
        <v>19</v>
      </c>
      <c r="E792" s="76" t="s">
        <v>243</v>
      </c>
      <c r="F792" s="79">
        <v>8</v>
      </c>
      <c r="G792" s="76" t="s">
        <v>18</v>
      </c>
      <c r="H792" s="78"/>
      <c r="I792" s="76"/>
    </row>
    <row r="793" spans="2:9" ht="28.5" customHeight="1" x14ac:dyDescent="0.3">
      <c r="B793" s="76" t="s">
        <v>87</v>
      </c>
      <c r="C793" s="76" t="s">
        <v>349</v>
      </c>
      <c r="D793" s="76" t="s">
        <v>19</v>
      </c>
      <c r="E793" s="76" t="s">
        <v>243</v>
      </c>
      <c r="F793" s="79">
        <v>8</v>
      </c>
      <c r="G793" s="76" t="s">
        <v>18</v>
      </c>
      <c r="H793" s="78"/>
      <c r="I793" s="76"/>
    </row>
    <row r="794" spans="2:9" ht="28.5" customHeight="1" x14ac:dyDescent="0.3">
      <c r="B794" s="76" t="s">
        <v>87</v>
      </c>
      <c r="C794" s="76" t="s">
        <v>350</v>
      </c>
      <c r="D794" s="76" t="s">
        <v>19</v>
      </c>
      <c r="E794" s="76" t="s">
        <v>243</v>
      </c>
      <c r="F794" s="79">
        <v>8</v>
      </c>
      <c r="G794" s="76" t="s">
        <v>18</v>
      </c>
      <c r="H794" s="78"/>
      <c r="I794" s="76"/>
    </row>
    <row r="795" spans="2:9" ht="28.5" customHeight="1" x14ac:dyDescent="0.3">
      <c r="B795" s="76" t="s">
        <v>87</v>
      </c>
      <c r="C795" s="76" t="s">
        <v>351</v>
      </c>
      <c r="D795" s="76" t="s">
        <v>19</v>
      </c>
      <c r="E795" s="76" t="s">
        <v>243</v>
      </c>
      <c r="F795" s="79">
        <v>8</v>
      </c>
      <c r="G795" s="76" t="s">
        <v>18</v>
      </c>
      <c r="H795" s="78"/>
      <c r="I795" s="76"/>
    </row>
    <row r="796" spans="2:9" ht="28.5" customHeight="1" x14ac:dyDescent="0.3">
      <c r="B796" s="76" t="s">
        <v>87</v>
      </c>
      <c r="C796" s="76" t="s">
        <v>354</v>
      </c>
      <c r="D796" s="76" t="s">
        <v>19</v>
      </c>
      <c r="E796" s="76" t="s">
        <v>243</v>
      </c>
      <c r="F796" s="79">
        <v>8</v>
      </c>
      <c r="G796" s="76" t="s">
        <v>18</v>
      </c>
      <c r="H796" s="78"/>
      <c r="I796" s="76"/>
    </row>
    <row r="797" spans="2:9" ht="28.5" customHeight="1" x14ac:dyDescent="0.3">
      <c r="B797" s="76" t="s">
        <v>87</v>
      </c>
      <c r="C797" s="76" t="s">
        <v>520</v>
      </c>
      <c r="D797" s="76" t="s">
        <v>19</v>
      </c>
      <c r="E797" s="76" t="s">
        <v>243</v>
      </c>
      <c r="F797" s="79">
        <v>8</v>
      </c>
      <c r="G797" s="76" t="s">
        <v>18</v>
      </c>
      <c r="H797" s="78"/>
      <c r="I797" s="76"/>
    </row>
    <row r="798" spans="2:9" ht="28.5" customHeight="1" x14ac:dyDescent="0.3">
      <c r="B798" s="76" t="s">
        <v>87</v>
      </c>
      <c r="C798" s="76" t="s">
        <v>357</v>
      </c>
      <c r="D798" s="76" t="s">
        <v>172</v>
      </c>
      <c r="E798" s="76" t="s">
        <v>243</v>
      </c>
      <c r="F798" s="79">
        <v>9.25</v>
      </c>
      <c r="G798" s="76" t="s">
        <v>18</v>
      </c>
      <c r="H798" s="78"/>
      <c r="I798" s="76"/>
    </row>
    <row r="799" spans="2:9" ht="28.5" customHeight="1" x14ac:dyDescent="0.3">
      <c r="B799" s="76" t="s">
        <v>87</v>
      </c>
      <c r="C799" s="76" t="s">
        <v>521</v>
      </c>
      <c r="D799" s="76" t="s">
        <v>172</v>
      </c>
      <c r="E799" s="76" t="s">
        <v>243</v>
      </c>
      <c r="F799" s="79">
        <v>9.25</v>
      </c>
      <c r="G799" s="76" t="s">
        <v>18</v>
      </c>
      <c r="H799" s="78"/>
      <c r="I799" s="76"/>
    </row>
    <row r="800" spans="2:9" ht="28.5" customHeight="1" x14ac:dyDescent="0.3">
      <c r="B800" s="76" t="s">
        <v>87</v>
      </c>
      <c r="C800" s="76" t="s">
        <v>359</v>
      </c>
      <c r="D800" s="76" t="s">
        <v>172</v>
      </c>
      <c r="E800" s="76" t="s">
        <v>243</v>
      </c>
      <c r="F800" s="79">
        <v>9.25</v>
      </c>
      <c r="G800" s="76" t="s">
        <v>18</v>
      </c>
      <c r="H800" s="78"/>
      <c r="I800" s="76"/>
    </row>
    <row r="801" spans="2:9" ht="28.5" customHeight="1" x14ac:dyDescent="0.3">
      <c r="B801" s="76" t="s">
        <v>87</v>
      </c>
      <c r="C801" s="76" t="s">
        <v>522</v>
      </c>
      <c r="D801" s="76" t="s">
        <v>172</v>
      </c>
      <c r="E801" s="76" t="s">
        <v>243</v>
      </c>
      <c r="F801" s="79">
        <v>9.25</v>
      </c>
      <c r="G801" s="76" t="s">
        <v>18</v>
      </c>
      <c r="H801" s="78"/>
      <c r="I801" s="76"/>
    </row>
    <row r="802" spans="2:9" ht="42.75" customHeight="1" x14ac:dyDescent="0.3">
      <c r="B802" s="76" t="s">
        <v>87</v>
      </c>
      <c r="C802" s="76" t="s">
        <v>523</v>
      </c>
      <c r="D802" s="76" t="s">
        <v>172</v>
      </c>
      <c r="E802" s="76" t="s">
        <v>243</v>
      </c>
      <c r="F802" s="79">
        <v>9.25</v>
      </c>
      <c r="G802" s="76" t="s">
        <v>18</v>
      </c>
      <c r="H802" s="78"/>
      <c r="I802" s="76"/>
    </row>
    <row r="803" spans="2:9" ht="28.5" customHeight="1" x14ac:dyDescent="0.3">
      <c r="B803" s="76" t="s">
        <v>87</v>
      </c>
      <c r="C803" s="76" t="s">
        <v>362</v>
      </c>
      <c r="D803" s="76" t="s">
        <v>172</v>
      </c>
      <c r="E803" s="76" t="s">
        <v>243</v>
      </c>
      <c r="F803" s="79">
        <v>9.25</v>
      </c>
      <c r="G803" s="76" t="s">
        <v>18</v>
      </c>
      <c r="H803" s="78"/>
      <c r="I803" s="76"/>
    </row>
    <row r="804" spans="2:9" ht="28.5" customHeight="1" x14ac:dyDescent="0.3">
      <c r="B804" s="76" t="s">
        <v>87</v>
      </c>
      <c r="C804" s="76" t="s">
        <v>363</v>
      </c>
      <c r="D804" s="76" t="s">
        <v>172</v>
      </c>
      <c r="E804" s="76" t="s">
        <v>243</v>
      </c>
      <c r="F804" s="79">
        <v>9.25</v>
      </c>
      <c r="G804" s="76" t="s">
        <v>18</v>
      </c>
      <c r="H804" s="78"/>
      <c r="I804" s="76"/>
    </row>
    <row r="805" spans="2:9" ht="28.5" customHeight="1" x14ac:dyDescent="0.3">
      <c r="B805" s="76" t="s">
        <v>87</v>
      </c>
      <c r="C805" s="76" t="s">
        <v>365</v>
      </c>
      <c r="D805" s="76" t="s">
        <v>172</v>
      </c>
      <c r="E805" s="76" t="s">
        <v>243</v>
      </c>
      <c r="F805" s="79">
        <v>9.25</v>
      </c>
      <c r="G805" s="76" t="s">
        <v>18</v>
      </c>
      <c r="H805" s="78"/>
      <c r="I805" s="76"/>
    </row>
    <row r="806" spans="2:9" ht="28.5" customHeight="1" x14ac:dyDescent="0.3">
      <c r="B806" s="76" t="s">
        <v>87</v>
      </c>
      <c r="C806" s="76" t="s">
        <v>524</v>
      </c>
      <c r="D806" s="76" t="s">
        <v>172</v>
      </c>
      <c r="E806" s="76" t="s">
        <v>243</v>
      </c>
      <c r="F806" s="79">
        <v>9.25</v>
      </c>
      <c r="G806" s="76" t="s">
        <v>18</v>
      </c>
      <c r="H806" s="78"/>
      <c r="I806" s="76"/>
    </row>
    <row r="807" spans="2:9" ht="28.5" customHeight="1" x14ac:dyDescent="0.3">
      <c r="B807" s="76" t="s">
        <v>87</v>
      </c>
      <c r="C807" s="76" t="s">
        <v>369</v>
      </c>
      <c r="D807" s="76" t="s">
        <v>172</v>
      </c>
      <c r="E807" s="76" t="s">
        <v>243</v>
      </c>
      <c r="F807" s="79">
        <v>9.25</v>
      </c>
      <c r="G807" s="76" t="s">
        <v>18</v>
      </c>
      <c r="H807" s="78"/>
      <c r="I807" s="76"/>
    </row>
    <row r="808" spans="2:9" ht="42.75" customHeight="1" x14ac:dyDescent="0.3">
      <c r="B808" s="76" t="s">
        <v>87</v>
      </c>
      <c r="C808" s="76" t="s">
        <v>372</v>
      </c>
      <c r="D808" s="76" t="s">
        <v>172</v>
      </c>
      <c r="E808" s="76" t="s">
        <v>243</v>
      </c>
      <c r="F808" s="79">
        <v>9.25</v>
      </c>
      <c r="G808" s="76" t="s">
        <v>18</v>
      </c>
      <c r="H808" s="78"/>
      <c r="I808" s="76"/>
    </row>
    <row r="809" spans="2:9" ht="42.75" customHeight="1" x14ac:dyDescent="0.3">
      <c r="B809" s="76" t="s">
        <v>87</v>
      </c>
      <c r="C809" s="76" t="s">
        <v>374</v>
      </c>
      <c r="D809" s="76" t="s">
        <v>172</v>
      </c>
      <c r="E809" s="76" t="s">
        <v>243</v>
      </c>
      <c r="F809" s="79">
        <v>9.25</v>
      </c>
      <c r="G809" s="76" t="s">
        <v>18</v>
      </c>
      <c r="H809" s="78"/>
      <c r="I809" s="76"/>
    </row>
    <row r="810" spans="2:9" ht="28.5" customHeight="1" x14ac:dyDescent="0.3">
      <c r="B810" s="76" t="s">
        <v>87</v>
      </c>
      <c r="C810" s="76" t="s">
        <v>376</v>
      </c>
      <c r="D810" s="76" t="s">
        <v>172</v>
      </c>
      <c r="E810" s="76" t="s">
        <v>243</v>
      </c>
      <c r="F810" s="79">
        <v>9.25</v>
      </c>
      <c r="G810" s="76" t="s">
        <v>18</v>
      </c>
      <c r="H810" s="78"/>
      <c r="I810" s="76"/>
    </row>
    <row r="811" spans="2:9" ht="28.5" customHeight="1" x14ac:dyDescent="0.3">
      <c r="B811" s="76" t="s">
        <v>87</v>
      </c>
      <c r="C811" s="76" t="s">
        <v>525</v>
      </c>
      <c r="D811" s="76" t="s">
        <v>172</v>
      </c>
      <c r="E811" s="76" t="s">
        <v>243</v>
      </c>
      <c r="F811" s="79">
        <v>9.25</v>
      </c>
      <c r="G811" s="76" t="s">
        <v>18</v>
      </c>
      <c r="H811" s="78"/>
      <c r="I811" s="76"/>
    </row>
    <row r="812" spans="2:9" ht="28.5" customHeight="1" x14ac:dyDescent="0.3">
      <c r="B812" s="76" t="s">
        <v>87</v>
      </c>
      <c r="C812" s="76" t="s">
        <v>379</v>
      </c>
      <c r="D812" s="76" t="s">
        <v>172</v>
      </c>
      <c r="E812" s="76" t="s">
        <v>243</v>
      </c>
      <c r="F812" s="79">
        <v>9.25</v>
      </c>
      <c r="G812" s="76" t="s">
        <v>18</v>
      </c>
      <c r="H812" s="78"/>
      <c r="I812" s="76"/>
    </row>
    <row r="813" spans="2:9" ht="28.5" customHeight="1" x14ac:dyDescent="0.3">
      <c r="B813" s="76" t="s">
        <v>87</v>
      </c>
      <c r="C813" s="76" t="s">
        <v>380</v>
      </c>
      <c r="D813" s="76" t="s">
        <v>176</v>
      </c>
      <c r="E813" s="76" t="s">
        <v>243</v>
      </c>
      <c r="F813" s="79">
        <v>10.5</v>
      </c>
      <c r="G813" s="76" t="s">
        <v>18</v>
      </c>
      <c r="H813" s="78"/>
      <c r="I813" s="76"/>
    </row>
    <row r="814" spans="2:9" ht="28.5" customHeight="1" x14ac:dyDescent="0.3">
      <c r="B814" s="76" t="s">
        <v>87</v>
      </c>
      <c r="C814" s="76" t="s">
        <v>526</v>
      </c>
      <c r="D814" s="76" t="s">
        <v>176</v>
      </c>
      <c r="E814" s="76" t="s">
        <v>243</v>
      </c>
      <c r="F814" s="79">
        <v>10.5</v>
      </c>
      <c r="G814" s="76" t="s">
        <v>18</v>
      </c>
      <c r="H814" s="78"/>
      <c r="I814" s="76"/>
    </row>
    <row r="815" spans="2:9" ht="28.5" customHeight="1" x14ac:dyDescent="0.3">
      <c r="B815" s="76" t="s">
        <v>87</v>
      </c>
      <c r="C815" s="76" t="s">
        <v>527</v>
      </c>
      <c r="D815" s="76" t="s">
        <v>176</v>
      </c>
      <c r="E815" s="76" t="s">
        <v>243</v>
      </c>
      <c r="F815" s="79">
        <v>10.5</v>
      </c>
      <c r="G815" s="76" t="s">
        <v>18</v>
      </c>
      <c r="H815" s="78"/>
      <c r="I815" s="76"/>
    </row>
    <row r="816" spans="2:9" ht="28.5" customHeight="1" x14ac:dyDescent="0.3">
      <c r="B816" s="76" t="s">
        <v>87</v>
      </c>
      <c r="C816" s="76" t="s">
        <v>358</v>
      </c>
      <c r="D816" s="76" t="s">
        <v>176</v>
      </c>
      <c r="E816" s="76" t="s">
        <v>243</v>
      </c>
      <c r="F816" s="79">
        <v>10.5</v>
      </c>
      <c r="G816" s="76" t="s">
        <v>18</v>
      </c>
      <c r="H816" s="78"/>
      <c r="I816" s="76"/>
    </row>
    <row r="817" spans="2:9" ht="28.5" customHeight="1" x14ac:dyDescent="0.3">
      <c r="B817" s="76" t="s">
        <v>87</v>
      </c>
      <c r="C817" s="76" t="s">
        <v>386</v>
      </c>
      <c r="D817" s="76" t="s">
        <v>176</v>
      </c>
      <c r="E817" s="76" t="s">
        <v>243</v>
      </c>
      <c r="F817" s="79">
        <v>10.5</v>
      </c>
      <c r="G817" s="76" t="s">
        <v>18</v>
      </c>
      <c r="H817" s="78"/>
      <c r="I817" s="76"/>
    </row>
    <row r="818" spans="2:9" ht="28.5" customHeight="1" x14ac:dyDescent="0.3">
      <c r="B818" s="76" t="s">
        <v>87</v>
      </c>
      <c r="C818" s="76" t="s">
        <v>387</v>
      </c>
      <c r="D818" s="76" t="s">
        <v>176</v>
      </c>
      <c r="E818" s="76" t="s">
        <v>243</v>
      </c>
      <c r="F818" s="79">
        <v>10.5</v>
      </c>
      <c r="G818" s="76" t="s">
        <v>18</v>
      </c>
      <c r="H818" s="78"/>
      <c r="I818" s="76"/>
    </row>
    <row r="819" spans="2:9" ht="28.5" customHeight="1" x14ac:dyDescent="0.3">
      <c r="B819" s="76" t="s">
        <v>87</v>
      </c>
      <c r="C819" s="76" t="s">
        <v>388</v>
      </c>
      <c r="D819" s="76" t="s">
        <v>176</v>
      </c>
      <c r="E819" s="76" t="s">
        <v>243</v>
      </c>
      <c r="F819" s="79">
        <v>10.5</v>
      </c>
      <c r="G819" s="76" t="s">
        <v>18</v>
      </c>
      <c r="H819" s="78"/>
      <c r="I819" s="76"/>
    </row>
    <row r="820" spans="2:9" ht="42.75" customHeight="1" x14ac:dyDescent="0.3">
      <c r="B820" s="76" t="s">
        <v>87</v>
      </c>
      <c r="C820" s="76" t="s">
        <v>528</v>
      </c>
      <c r="D820" s="76" t="s">
        <v>176</v>
      </c>
      <c r="E820" s="76" t="s">
        <v>243</v>
      </c>
      <c r="F820" s="79">
        <v>10.5</v>
      </c>
      <c r="G820" s="76" t="s">
        <v>18</v>
      </c>
      <c r="H820" s="78"/>
      <c r="I820" s="76"/>
    </row>
    <row r="821" spans="2:9" ht="28.5" customHeight="1" x14ac:dyDescent="0.3">
      <c r="B821" s="76" t="s">
        <v>87</v>
      </c>
      <c r="C821" s="76" t="s">
        <v>529</v>
      </c>
      <c r="D821" s="76" t="s">
        <v>176</v>
      </c>
      <c r="E821" s="76" t="s">
        <v>243</v>
      </c>
      <c r="F821" s="79">
        <v>10.5</v>
      </c>
      <c r="G821" s="76" t="s">
        <v>18</v>
      </c>
      <c r="H821" s="78"/>
      <c r="I821" s="76"/>
    </row>
    <row r="822" spans="2:9" ht="28.5" customHeight="1" x14ac:dyDescent="0.3">
      <c r="B822" s="76" t="s">
        <v>87</v>
      </c>
      <c r="C822" s="76" t="s">
        <v>530</v>
      </c>
      <c r="D822" s="76" t="s">
        <v>176</v>
      </c>
      <c r="E822" s="76" t="s">
        <v>243</v>
      </c>
      <c r="F822" s="79">
        <v>10.5</v>
      </c>
      <c r="G822" s="76" t="s">
        <v>18</v>
      </c>
      <c r="H822" s="78"/>
      <c r="I822" s="76"/>
    </row>
    <row r="823" spans="2:9" ht="28.5" customHeight="1" x14ac:dyDescent="0.3">
      <c r="B823" s="76" t="s">
        <v>87</v>
      </c>
      <c r="C823" s="76" t="s">
        <v>364</v>
      </c>
      <c r="D823" s="76" t="s">
        <v>176</v>
      </c>
      <c r="E823" s="76" t="s">
        <v>243</v>
      </c>
      <c r="F823" s="79">
        <v>10.5</v>
      </c>
      <c r="G823" s="76" t="s">
        <v>18</v>
      </c>
      <c r="H823" s="78"/>
      <c r="I823" s="76"/>
    </row>
    <row r="824" spans="2:9" ht="28.5" customHeight="1" x14ac:dyDescent="0.3">
      <c r="B824" s="76" t="s">
        <v>87</v>
      </c>
      <c r="C824" s="76" t="s">
        <v>392</v>
      </c>
      <c r="D824" s="76" t="s">
        <v>176</v>
      </c>
      <c r="E824" s="76" t="s">
        <v>243</v>
      </c>
      <c r="F824" s="79">
        <v>10.5</v>
      </c>
      <c r="G824" s="76" t="s">
        <v>18</v>
      </c>
      <c r="H824" s="78"/>
      <c r="I824" s="76"/>
    </row>
    <row r="825" spans="2:9" ht="28.5" customHeight="1" x14ac:dyDescent="0.3">
      <c r="B825" s="76" t="s">
        <v>87</v>
      </c>
      <c r="C825" s="76" t="s">
        <v>366</v>
      </c>
      <c r="D825" s="76" t="s">
        <v>176</v>
      </c>
      <c r="E825" s="76" t="s">
        <v>243</v>
      </c>
      <c r="F825" s="79">
        <v>10.5</v>
      </c>
      <c r="G825" s="76" t="s">
        <v>18</v>
      </c>
      <c r="H825" s="78"/>
      <c r="I825" s="76"/>
    </row>
    <row r="826" spans="2:9" ht="28.5" customHeight="1" x14ac:dyDescent="0.3">
      <c r="B826" s="76" t="s">
        <v>87</v>
      </c>
      <c r="C826" s="76" t="s">
        <v>394</v>
      </c>
      <c r="D826" s="76" t="s">
        <v>176</v>
      </c>
      <c r="E826" s="76" t="s">
        <v>243</v>
      </c>
      <c r="F826" s="79">
        <v>10.5</v>
      </c>
      <c r="G826" s="76" t="s">
        <v>18</v>
      </c>
      <c r="H826" s="78"/>
      <c r="I826" s="76"/>
    </row>
    <row r="827" spans="2:9" ht="28.5" customHeight="1" x14ac:dyDescent="0.3">
      <c r="B827" s="76" t="s">
        <v>87</v>
      </c>
      <c r="C827" s="76" t="s">
        <v>396</v>
      </c>
      <c r="D827" s="76" t="s">
        <v>176</v>
      </c>
      <c r="E827" s="76" t="s">
        <v>243</v>
      </c>
      <c r="F827" s="79">
        <v>10.5</v>
      </c>
      <c r="G827" s="76" t="s">
        <v>18</v>
      </c>
      <c r="H827" s="78"/>
      <c r="I827" s="76"/>
    </row>
    <row r="828" spans="2:9" ht="28.5" customHeight="1" x14ac:dyDescent="0.3">
      <c r="B828" s="76" t="s">
        <v>87</v>
      </c>
      <c r="C828" s="76" t="s">
        <v>531</v>
      </c>
      <c r="D828" s="76" t="s">
        <v>176</v>
      </c>
      <c r="E828" s="76" t="s">
        <v>243</v>
      </c>
      <c r="F828" s="79">
        <v>10.5</v>
      </c>
      <c r="G828" s="76" t="s">
        <v>18</v>
      </c>
      <c r="H828" s="78"/>
      <c r="I828" s="76"/>
    </row>
    <row r="829" spans="2:9" ht="28.5" customHeight="1" x14ac:dyDescent="0.3">
      <c r="B829" s="76" t="s">
        <v>87</v>
      </c>
      <c r="C829" s="76" t="s">
        <v>532</v>
      </c>
      <c r="D829" s="76" t="s">
        <v>176</v>
      </c>
      <c r="E829" s="76" t="s">
        <v>243</v>
      </c>
      <c r="F829" s="79">
        <v>10.5</v>
      </c>
      <c r="G829" s="76" t="s">
        <v>18</v>
      </c>
      <c r="H829" s="78"/>
      <c r="I829" s="76"/>
    </row>
    <row r="830" spans="2:9" ht="28.5" customHeight="1" x14ac:dyDescent="0.3">
      <c r="B830" s="76" t="s">
        <v>87</v>
      </c>
      <c r="C830" s="76" t="s">
        <v>373</v>
      </c>
      <c r="D830" s="76" t="s">
        <v>176</v>
      </c>
      <c r="E830" s="76" t="s">
        <v>243</v>
      </c>
      <c r="F830" s="79">
        <v>10.5</v>
      </c>
      <c r="G830" s="76" t="s">
        <v>18</v>
      </c>
      <c r="H830" s="78"/>
      <c r="I830" s="76"/>
    </row>
    <row r="831" spans="2:9" ht="28.5" customHeight="1" x14ac:dyDescent="0.3">
      <c r="B831" s="76" t="s">
        <v>87</v>
      </c>
      <c r="C831" s="76" t="s">
        <v>375</v>
      </c>
      <c r="D831" s="76" t="s">
        <v>176</v>
      </c>
      <c r="E831" s="76" t="s">
        <v>243</v>
      </c>
      <c r="F831" s="79">
        <v>10.5</v>
      </c>
      <c r="G831" s="76" t="s">
        <v>18</v>
      </c>
      <c r="H831" s="78"/>
      <c r="I831" s="76"/>
    </row>
    <row r="832" spans="2:9" ht="42.75" customHeight="1" x14ac:dyDescent="0.3">
      <c r="B832" s="76" t="s">
        <v>87</v>
      </c>
      <c r="C832" s="76" t="s">
        <v>397</v>
      </c>
      <c r="D832" s="76" t="s">
        <v>176</v>
      </c>
      <c r="E832" s="76" t="s">
        <v>243</v>
      </c>
      <c r="F832" s="79">
        <v>10.5</v>
      </c>
      <c r="G832" s="76" t="s">
        <v>18</v>
      </c>
      <c r="H832" s="78"/>
      <c r="I832" s="76"/>
    </row>
    <row r="833" spans="2:9" ht="28.5" customHeight="1" x14ac:dyDescent="0.3">
      <c r="B833" s="76" t="s">
        <v>87</v>
      </c>
      <c r="C833" s="76" t="s">
        <v>377</v>
      </c>
      <c r="D833" s="76" t="s">
        <v>176</v>
      </c>
      <c r="E833" s="76" t="s">
        <v>243</v>
      </c>
      <c r="F833" s="79">
        <v>10.5</v>
      </c>
      <c r="G833" s="76" t="s">
        <v>18</v>
      </c>
      <c r="H833" s="78"/>
      <c r="I833" s="76"/>
    </row>
    <row r="834" spans="2:9" ht="42.75" customHeight="1" x14ac:dyDescent="0.3">
      <c r="B834" s="76" t="s">
        <v>87</v>
      </c>
      <c r="C834" s="76" t="s">
        <v>398</v>
      </c>
      <c r="D834" s="76" t="s">
        <v>176</v>
      </c>
      <c r="E834" s="76" t="s">
        <v>243</v>
      </c>
      <c r="F834" s="79">
        <v>10.5</v>
      </c>
      <c r="G834" s="76" t="s">
        <v>18</v>
      </c>
      <c r="H834" s="78"/>
      <c r="I834" s="76"/>
    </row>
    <row r="835" spans="2:9" ht="28.5" customHeight="1" x14ac:dyDescent="0.3">
      <c r="B835" s="76" t="s">
        <v>87</v>
      </c>
      <c r="C835" s="76" t="s">
        <v>401</v>
      </c>
      <c r="D835" s="76" t="s">
        <v>176</v>
      </c>
      <c r="E835" s="76" t="s">
        <v>243</v>
      </c>
      <c r="F835" s="79">
        <v>10.5</v>
      </c>
      <c r="G835" s="76" t="s">
        <v>18</v>
      </c>
      <c r="H835" s="78"/>
      <c r="I835" s="76"/>
    </row>
    <row r="836" spans="2:9" ht="28.5" customHeight="1" x14ac:dyDescent="0.3">
      <c r="B836" s="76" t="s">
        <v>87</v>
      </c>
      <c r="C836" s="76" t="s">
        <v>402</v>
      </c>
      <c r="D836" s="76" t="s">
        <v>176</v>
      </c>
      <c r="E836" s="76" t="s">
        <v>243</v>
      </c>
      <c r="F836" s="79">
        <v>10.5</v>
      </c>
      <c r="G836" s="76" t="s">
        <v>18</v>
      </c>
      <c r="H836" s="78"/>
      <c r="I836" s="76"/>
    </row>
    <row r="837" spans="2:9" ht="28.5" customHeight="1" x14ac:dyDescent="0.3">
      <c r="B837" s="76" t="s">
        <v>87</v>
      </c>
      <c r="C837" s="76" t="s">
        <v>403</v>
      </c>
      <c r="D837" s="76" t="s">
        <v>176</v>
      </c>
      <c r="E837" s="76" t="s">
        <v>243</v>
      </c>
      <c r="F837" s="79">
        <v>10.5</v>
      </c>
      <c r="G837" s="76" t="s">
        <v>18</v>
      </c>
      <c r="H837" s="78"/>
      <c r="I837" s="76"/>
    </row>
    <row r="838" spans="2:9" ht="28.5" customHeight="1" x14ac:dyDescent="0.3">
      <c r="B838" s="76" t="s">
        <v>87</v>
      </c>
      <c r="C838" s="76" t="s">
        <v>404</v>
      </c>
      <c r="D838" s="76" t="s">
        <v>176</v>
      </c>
      <c r="E838" s="76" t="s">
        <v>243</v>
      </c>
      <c r="F838" s="79">
        <v>10.5</v>
      </c>
      <c r="G838" s="76" t="s">
        <v>18</v>
      </c>
      <c r="H838" s="78"/>
      <c r="I838" s="76"/>
    </row>
    <row r="839" spans="2:9" ht="28.5" customHeight="1" x14ac:dyDescent="0.3">
      <c r="B839" s="76" t="s">
        <v>87</v>
      </c>
      <c r="C839" s="76" t="s">
        <v>405</v>
      </c>
      <c r="D839" s="76" t="s">
        <v>176</v>
      </c>
      <c r="E839" s="76" t="s">
        <v>243</v>
      </c>
      <c r="F839" s="79">
        <v>10.5</v>
      </c>
      <c r="G839" s="76" t="s">
        <v>18</v>
      </c>
      <c r="H839" s="78"/>
      <c r="I839" s="76"/>
    </row>
    <row r="840" spans="2:9" ht="28.5" customHeight="1" x14ac:dyDescent="0.3">
      <c r="B840" s="76" t="s">
        <v>87</v>
      </c>
      <c r="C840" s="76" t="s">
        <v>383</v>
      </c>
      <c r="D840" s="76" t="s">
        <v>181</v>
      </c>
      <c r="E840" s="76" t="s">
        <v>243</v>
      </c>
      <c r="F840" s="79">
        <v>12.5</v>
      </c>
      <c r="G840" s="76" t="s">
        <v>18</v>
      </c>
      <c r="H840" s="78"/>
      <c r="I840" s="76"/>
    </row>
    <row r="841" spans="2:9" ht="42.75" customHeight="1" x14ac:dyDescent="0.3">
      <c r="B841" s="76" t="s">
        <v>87</v>
      </c>
      <c r="C841" s="76" t="s">
        <v>533</v>
      </c>
      <c r="D841" s="76" t="s">
        <v>181</v>
      </c>
      <c r="E841" s="76" t="s">
        <v>243</v>
      </c>
      <c r="F841" s="79">
        <v>12.5</v>
      </c>
      <c r="G841" s="76" t="s">
        <v>18</v>
      </c>
      <c r="H841" s="78"/>
      <c r="I841" s="76"/>
    </row>
    <row r="842" spans="2:9" ht="28.5" customHeight="1" x14ac:dyDescent="0.3">
      <c r="B842" s="76" t="s">
        <v>87</v>
      </c>
      <c r="C842" s="76" t="s">
        <v>407</v>
      </c>
      <c r="D842" s="76" t="s">
        <v>181</v>
      </c>
      <c r="E842" s="76" t="s">
        <v>243</v>
      </c>
      <c r="F842" s="79">
        <v>12.5</v>
      </c>
      <c r="G842" s="76" t="s">
        <v>18</v>
      </c>
      <c r="H842" s="78"/>
      <c r="I842" s="76"/>
    </row>
    <row r="843" spans="2:9" ht="28.5" customHeight="1" x14ac:dyDescent="0.3">
      <c r="B843" s="76" t="s">
        <v>87</v>
      </c>
      <c r="C843" s="76" t="s">
        <v>534</v>
      </c>
      <c r="D843" s="76" t="s">
        <v>181</v>
      </c>
      <c r="E843" s="76" t="s">
        <v>243</v>
      </c>
      <c r="F843" s="79">
        <v>12.5</v>
      </c>
      <c r="G843" s="76" t="s">
        <v>18</v>
      </c>
      <c r="H843" s="78"/>
      <c r="I843" s="76"/>
    </row>
    <row r="844" spans="2:9" ht="42.75" customHeight="1" x14ac:dyDescent="0.3">
      <c r="B844" s="76" t="s">
        <v>87</v>
      </c>
      <c r="C844" s="76" t="s">
        <v>535</v>
      </c>
      <c r="D844" s="76" t="s">
        <v>181</v>
      </c>
      <c r="E844" s="76" t="s">
        <v>243</v>
      </c>
      <c r="F844" s="79">
        <v>12.5</v>
      </c>
      <c r="G844" s="76" t="s">
        <v>18</v>
      </c>
      <c r="H844" s="78"/>
      <c r="I844" s="76"/>
    </row>
    <row r="845" spans="2:9" ht="28.5" customHeight="1" x14ac:dyDescent="0.3">
      <c r="B845" s="76" t="s">
        <v>87</v>
      </c>
      <c r="C845" s="76" t="s">
        <v>536</v>
      </c>
      <c r="D845" s="76" t="s">
        <v>181</v>
      </c>
      <c r="E845" s="76" t="s">
        <v>243</v>
      </c>
      <c r="F845" s="79">
        <v>12.5</v>
      </c>
      <c r="G845" s="76" t="s">
        <v>18</v>
      </c>
      <c r="H845" s="78"/>
      <c r="I845" s="76"/>
    </row>
    <row r="846" spans="2:9" ht="28.5" customHeight="1" x14ac:dyDescent="0.3">
      <c r="B846" s="76" t="s">
        <v>87</v>
      </c>
      <c r="C846" s="76" t="s">
        <v>537</v>
      </c>
      <c r="D846" s="76" t="s">
        <v>181</v>
      </c>
      <c r="E846" s="76" t="s">
        <v>243</v>
      </c>
      <c r="F846" s="79">
        <v>12.5</v>
      </c>
      <c r="G846" s="76" t="s">
        <v>18</v>
      </c>
      <c r="H846" s="78"/>
      <c r="I846" s="76"/>
    </row>
    <row r="847" spans="2:9" ht="28.5" customHeight="1" x14ac:dyDescent="0.3">
      <c r="B847" s="76" t="s">
        <v>87</v>
      </c>
      <c r="C847" s="76" t="s">
        <v>538</v>
      </c>
      <c r="D847" s="76" t="s">
        <v>181</v>
      </c>
      <c r="E847" s="76" t="s">
        <v>243</v>
      </c>
      <c r="F847" s="79">
        <v>12.5</v>
      </c>
      <c r="G847" s="76" t="s">
        <v>18</v>
      </c>
      <c r="H847" s="78"/>
      <c r="I847" s="76"/>
    </row>
    <row r="848" spans="2:9" ht="28.5" customHeight="1" x14ac:dyDescent="0.3">
      <c r="B848" s="76" t="s">
        <v>87</v>
      </c>
      <c r="C848" s="76" t="s">
        <v>539</v>
      </c>
      <c r="D848" s="76" t="s">
        <v>181</v>
      </c>
      <c r="E848" s="76" t="s">
        <v>243</v>
      </c>
      <c r="F848" s="79">
        <v>12.5</v>
      </c>
      <c r="G848" s="76" t="s">
        <v>18</v>
      </c>
      <c r="H848" s="78"/>
      <c r="I848" s="76"/>
    </row>
    <row r="849" spans="2:9" ht="28.5" customHeight="1" x14ac:dyDescent="0.3">
      <c r="B849" s="76" t="s">
        <v>87</v>
      </c>
      <c r="C849" s="76" t="s">
        <v>540</v>
      </c>
      <c r="D849" s="76" t="s">
        <v>181</v>
      </c>
      <c r="E849" s="76" t="s">
        <v>243</v>
      </c>
      <c r="F849" s="79">
        <v>12.5</v>
      </c>
      <c r="G849" s="76" t="s">
        <v>18</v>
      </c>
      <c r="H849" s="78"/>
      <c r="I849" s="76"/>
    </row>
    <row r="850" spans="2:9" ht="28.5" customHeight="1" x14ac:dyDescent="0.3">
      <c r="B850" s="76" t="s">
        <v>87</v>
      </c>
      <c r="C850" s="76" t="s">
        <v>393</v>
      </c>
      <c r="D850" s="76" t="s">
        <v>181</v>
      </c>
      <c r="E850" s="76" t="s">
        <v>243</v>
      </c>
      <c r="F850" s="79">
        <v>12.5</v>
      </c>
      <c r="G850" s="76" t="s">
        <v>18</v>
      </c>
      <c r="H850" s="78"/>
      <c r="I850" s="76"/>
    </row>
    <row r="851" spans="2:9" ht="42.75" customHeight="1" x14ac:dyDescent="0.3">
      <c r="B851" s="76" t="s">
        <v>87</v>
      </c>
      <c r="C851" s="76" t="s">
        <v>410</v>
      </c>
      <c r="D851" s="76" t="s">
        <v>181</v>
      </c>
      <c r="E851" s="76" t="s">
        <v>243</v>
      </c>
      <c r="F851" s="79">
        <v>12.5</v>
      </c>
      <c r="G851" s="76" t="s">
        <v>18</v>
      </c>
      <c r="H851" s="78"/>
      <c r="I851" s="76"/>
    </row>
    <row r="852" spans="2:9" ht="28.5" customHeight="1" x14ac:dyDescent="0.3">
      <c r="B852" s="76" t="s">
        <v>87</v>
      </c>
      <c r="C852" s="76" t="s">
        <v>395</v>
      </c>
      <c r="D852" s="76" t="s">
        <v>181</v>
      </c>
      <c r="E852" s="76" t="s">
        <v>243</v>
      </c>
      <c r="F852" s="79">
        <v>12.5</v>
      </c>
      <c r="G852" s="76" t="s">
        <v>18</v>
      </c>
      <c r="H852" s="78"/>
      <c r="I852" s="76"/>
    </row>
    <row r="853" spans="2:9" ht="28.5" customHeight="1" x14ac:dyDescent="0.3">
      <c r="B853" s="76" t="s">
        <v>87</v>
      </c>
      <c r="C853" s="76" t="s">
        <v>541</v>
      </c>
      <c r="D853" s="76" t="s">
        <v>181</v>
      </c>
      <c r="E853" s="76" t="s">
        <v>243</v>
      </c>
      <c r="F853" s="79">
        <v>12.5</v>
      </c>
      <c r="G853" s="76" t="s">
        <v>18</v>
      </c>
      <c r="H853" s="78"/>
      <c r="I853" s="76"/>
    </row>
    <row r="854" spans="2:9" ht="42.75" customHeight="1" x14ac:dyDescent="0.3">
      <c r="B854" s="76" t="s">
        <v>87</v>
      </c>
      <c r="C854" s="76" t="s">
        <v>413</v>
      </c>
      <c r="D854" s="76" t="s">
        <v>181</v>
      </c>
      <c r="E854" s="76" t="s">
        <v>243</v>
      </c>
      <c r="F854" s="79">
        <v>12.5</v>
      </c>
      <c r="G854" s="76" t="s">
        <v>18</v>
      </c>
      <c r="H854" s="78"/>
      <c r="I854" s="76"/>
    </row>
    <row r="855" spans="2:9" ht="28.5" customHeight="1" x14ac:dyDescent="0.3">
      <c r="B855" s="76" t="s">
        <v>87</v>
      </c>
      <c r="C855" s="76" t="s">
        <v>399</v>
      </c>
      <c r="D855" s="76" t="s">
        <v>181</v>
      </c>
      <c r="E855" s="76" t="s">
        <v>243</v>
      </c>
      <c r="F855" s="79">
        <v>12.5</v>
      </c>
      <c r="G855" s="76" t="s">
        <v>18</v>
      </c>
      <c r="H855" s="78"/>
      <c r="I855" s="76"/>
    </row>
    <row r="856" spans="2:9" ht="28.5" customHeight="1" x14ac:dyDescent="0.3">
      <c r="B856" s="76" t="s">
        <v>87</v>
      </c>
      <c r="C856" s="76" t="s">
        <v>542</v>
      </c>
      <c r="D856" s="76" t="s">
        <v>181</v>
      </c>
      <c r="E856" s="76" t="s">
        <v>243</v>
      </c>
      <c r="F856" s="79">
        <v>12.5</v>
      </c>
      <c r="G856" s="76" t="s">
        <v>18</v>
      </c>
      <c r="H856" s="78"/>
      <c r="I856" s="76"/>
    </row>
    <row r="857" spans="2:9" ht="28.5" customHeight="1" x14ac:dyDescent="0.3">
      <c r="B857" s="76" t="s">
        <v>87</v>
      </c>
      <c r="C857" s="76" t="s">
        <v>543</v>
      </c>
      <c r="D857" s="76" t="s">
        <v>181</v>
      </c>
      <c r="E857" s="76" t="s">
        <v>243</v>
      </c>
      <c r="F857" s="79">
        <v>12.5</v>
      </c>
      <c r="G857" s="76" t="s">
        <v>18</v>
      </c>
      <c r="H857" s="78"/>
      <c r="I857" s="76"/>
    </row>
    <row r="858" spans="2:9" ht="42.75" customHeight="1" x14ac:dyDescent="0.3">
      <c r="B858" s="76" t="s">
        <v>87</v>
      </c>
      <c r="C858" s="76" t="s">
        <v>416</v>
      </c>
      <c r="D858" s="76" t="s">
        <v>186</v>
      </c>
      <c r="E858" s="76" t="s">
        <v>243</v>
      </c>
      <c r="F858" s="79">
        <v>13.5</v>
      </c>
      <c r="G858" s="76" t="s">
        <v>18</v>
      </c>
      <c r="H858" s="78"/>
      <c r="I858" s="76"/>
    </row>
    <row r="859" spans="2:9" ht="28.5" customHeight="1" x14ac:dyDescent="0.3">
      <c r="B859" s="76" t="s">
        <v>87</v>
      </c>
      <c r="C859" s="76" t="s">
        <v>417</v>
      </c>
      <c r="D859" s="76" t="s">
        <v>186</v>
      </c>
      <c r="E859" s="76" t="s">
        <v>243</v>
      </c>
      <c r="F859" s="79">
        <v>13.5</v>
      </c>
      <c r="G859" s="76" t="s">
        <v>18</v>
      </c>
      <c r="H859" s="78"/>
      <c r="I859" s="76"/>
    </row>
    <row r="860" spans="2:9" ht="28.5" customHeight="1" x14ac:dyDescent="0.3">
      <c r="B860" s="76" t="s">
        <v>87</v>
      </c>
      <c r="C860" s="76" t="s">
        <v>418</v>
      </c>
      <c r="D860" s="76" t="s">
        <v>190</v>
      </c>
      <c r="E860" s="76" t="s">
        <v>243</v>
      </c>
      <c r="F860" s="79">
        <v>14.7</v>
      </c>
      <c r="G860" s="76" t="s">
        <v>18</v>
      </c>
      <c r="H860" s="78"/>
      <c r="I860" s="76"/>
    </row>
    <row r="861" spans="2:9" ht="28.5" customHeight="1" x14ac:dyDescent="0.3">
      <c r="B861" s="76" t="s">
        <v>87</v>
      </c>
      <c r="C861" s="76" t="s">
        <v>419</v>
      </c>
      <c r="D861" s="76" t="s">
        <v>190</v>
      </c>
      <c r="E861" s="76" t="s">
        <v>243</v>
      </c>
      <c r="F861" s="79">
        <v>14.7</v>
      </c>
      <c r="G861" s="76" t="s">
        <v>18</v>
      </c>
      <c r="H861" s="78"/>
      <c r="I861" s="76"/>
    </row>
    <row r="862" spans="2:9" ht="28.5" customHeight="1" x14ac:dyDescent="0.3">
      <c r="B862" s="76" t="s">
        <v>87</v>
      </c>
      <c r="C862" s="76" t="s">
        <v>420</v>
      </c>
      <c r="D862" s="76" t="s">
        <v>190</v>
      </c>
      <c r="E862" s="76" t="s">
        <v>243</v>
      </c>
      <c r="F862" s="79">
        <v>14.7</v>
      </c>
      <c r="G862" s="76" t="s">
        <v>18</v>
      </c>
      <c r="H862" s="78"/>
      <c r="I862" s="76"/>
    </row>
    <row r="863" spans="2:9" ht="28.5" customHeight="1" x14ac:dyDescent="0.3">
      <c r="B863" s="76" t="s">
        <v>87</v>
      </c>
      <c r="C863" s="76" t="s">
        <v>421</v>
      </c>
      <c r="D863" s="76" t="s">
        <v>190</v>
      </c>
      <c r="E863" s="76" t="s">
        <v>243</v>
      </c>
      <c r="F863" s="79">
        <v>14.7</v>
      </c>
      <c r="G863" s="76" t="s">
        <v>18</v>
      </c>
      <c r="H863" s="78"/>
      <c r="I863" s="76"/>
    </row>
    <row r="864" spans="2:9" ht="28.5" customHeight="1" x14ac:dyDescent="0.3">
      <c r="B864" s="76" t="s">
        <v>109</v>
      </c>
      <c r="C864" s="76" t="s">
        <v>889</v>
      </c>
      <c r="D864" s="76"/>
      <c r="E864" s="76"/>
      <c r="F864" s="79"/>
      <c r="G864" s="76"/>
      <c r="H864" s="78"/>
      <c r="I864" s="76"/>
    </row>
    <row r="865" spans="2:9" ht="28.5" customHeight="1" x14ac:dyDescent="0.3">
      <c r="B865" s="76" t="s">
        <v>109</v>
      </c>
      <c r="C865" s="76"/>
      <c r="D865" s="76"/>
      <c r="E865" s="76"/>
      <c r="F865" s="79"/>
      <c r="G865" s="76"/>
      <c r="H865" s="78"/>
      <c r="I865" s="76"/>
    </row>
    <row r="866" spans="2:9" ht="28.5" customHeight="1" x14ac:dyDescent="0.3">
      <c r="B866" s="76" t="s">
        <v>121</v>
      </c>
      <c r="C866" s="76" t="s">
        <v>890</v>
      </c>
      <c r="D866" s="76"/>
      <c r="E866" s="76"/>
      <c r="F866" s="79"/>
      <c r="G866" s="76"/>
      <c r="H866" s="78"/>
      <c r="I866" s="76"/>
    </row>
    <row r="867" spans="2:9" ht="28.5" customHeight="1" x14ac:dyDescent="0.3">
      <c r="B867" s="76" t="s">
        <v>933</v>
      </c>
      <c r="C867" s="76" t="s">
        <v>928</v>
      </c>
      <c r="D867" s="76" t="s">
        <v>153</v>
      </c>
      <c r="E867" s="76" t="s">
        <v>243</v>
      </c>
      <c r="F867" s="79">
        <v>14.55</v>
      </c>
      <c r="G867" s="76" t="s">
        <v>18</v>
      </c>
      <c r="H867" s="78">
        <v>46258</v>
      </c>
      <c r="I867" s="76"/>
    </row>
    <row r="868" spans="2:9" ht="28.5" customHeight="1" x14ac:dyDescent="0.3">
      <c r="B868" s="76" t="s">
        <v>933</v>
      </c>
      <c r="C868" s="76" t="s">
        <v>929</v>
      </c>
      <c r="D868" s="76" t="s">
        <v>153</v>
      </c>
      <c r="E868" s="76" t="s">
        <v>243</v>
      </c>
      <c r="F868" s="79">
        <v>14.55</v>
      </c>
      <c r="G868" s="76" t="s">
        <v>18</v>
      </c>
      <c r="H868" s="78">
        <v>46258</v>
      </c>
      <c r="I868" s="76"/>
    </row>
    <row r="869" spans="2:9" ht="28.5" customHeight="1" x14ac:dyDescent="0.3">
      <c r="B869" s="76" t="s">
        <v>933</v>
      </c>
      <c r="C869" s="76" t="s">
        <v>930</v>
      </c>
      <c r="D869" s="76" t="s">
        <v>153</v>
      </c>
      <c r="E869" s="76" t="s">
        <v>243</v>
      </c>
      <c r="F869" s="79">
        <v>17.75</v>
      </c>
      <c r="G869" s="76" t="s">
        <v>18</v>
      </c>
      <c r="H869" s="78">
        <v>46258</v>
      </c>
      <c r="I869" s="76"/>
    </row>
    <row r="870" spans="2:9" ht="28.5" customHeight="1" x14ac:dyDescent="0.3">
      <c r="B870" s="76"/>
      <c r="C870" s="76"/>
      <c r="D870" s="76"/>
      <c r="E870" s="76"/>
      <c r="F870" s="79"/>
      <c r="G870" s="76"/>
      <c r="H870" s="78"/>
      <c r="I870" s="76"/>
    </row>
    <row r="871" spans="2:9" ht="28.5" customHeight="1" x14ac:dyDescent="0.3">
      <c r="B871" s="76"/>
      <c r="C871" s="76"/>
      <c r="D871" s="76"/>
      <c r="E871" s="76"/>
      <c r="F871" s="79"/>
      <c r="G871" s="76"/>
      <c r="H871" s="78"/>
      <c r="I871" s="76"/>
    </row>
    <row r="872" spans="2:9" ht="28.5" customHeight="1" x14ac:dyDescent="0.3">
      <c r="B872" s="76"/>
      <c r="C872" s="76"/>
      <c r="D872" s="76"/>
      <c r="E872" s="76"/>
      <c r="F872" s="79"/>
      <c r="G872" s="76"/>
      <c r="H872" s="78"/>
      <c r="I872" s="76"/>
    </row>
    <row r="873" spans="2:9" ht="28.5" customHeight="1" x14ac:dyDescent="0.3">
      <c r="B873" s="76"/>
      <c r="C873" s="76"/>
      <c r="D873" s="76"/>
      <c r="E873" s="76"/>
      <c r="F873" s="79"/>
      <c r="G873" s="76"/>
      <c r="H873" s="78"/>
      <c r="I873" s="76"/>
    </row>
    <row r="874" spans="2:9" ht="28.5" customHeight="1" x14ac:dyDescent="0.3">
      <c r="B874" s="76"/>
      <c r="C874" s="76"/>
      <c r="D874" s="76"/>
      <c r="E874" s="76"/>
      <c r="F874" s="79"/>
      <c r="G874" s="76"/>
      <c r="H874" s="78"/>
      <c r="I874" s="76"/>
    </row>
    <row r="875" spans="2:9" ht="28.5" customHeight="1" x14ac:dyDescent="0.3">
      <c r="B875" s="76"/>
      <c r="C875" s="76"/>
      <c r="D875" s="76"/>
      <c r="E875" s="76"/>
      <c r="F875" s="79"/>
      <c r="G875" s="76"/>
      <c r="H875" s="78"/>
      <c r="I875" s="76"/>
    </row>
    <row r="876" spans="2:9" ht="28.5" customHeight="1" x14ac:dyDescent="0.3">
      <c r="B876" s="82" t="s">
        <v>46</v>
      </c>
      <c r="C876" t="s">
        <v>47</v>
      </c>
      <c r="D876" s="76" t="s">
        <v>153</v>
      </c>
      <c r="E876" s="76" t="s">
        <v>243</v>
      </c>
      <c r="F876" s="193">
        <v>15</v>
      </c>
      <c r="G876" s="76" t="s">
        <v>18</v>
      </c>
      <c r="H876" s="78"/>
      <c r="I876" s="76"/>
    </row>
    <row r="877" spans="2:9" ht="28.5" customHeight="1" x14ac:dyDescent="0.3">
      <c r="B877" s="82" t="s">
        <v>46</v>
      </c>
      <c r="C877" t="s">
        <v>59</v>
      </c>
      <c r="D877" s="76" t="s">
        <v>153</v>
      </c>
      <c r="E877" s="76" t="s">
        <v>243</v>
      </c>
      <c r="F877" s="193">
        <v>15</v>
      </c>
      <c r="G877" s="76" t="s">
        <v>18</v>
      </c>
      <c r="H877" s="78"/>
      <c r="I877" s="76"/>
    </row>
    <row r="878" spans="2:9" ht="28.5" customHeight="1" x14ac:dyDescent="0.3">
      <c r="B878" s="82" t="s">
        <v>46</v>
      </c>
      <c r="C878" t="s">
        <v>73</v>
      </c>
      <c r="D878" s="76" t="s">
        <v>153</v>
      </c>
      <c r="E878" s="76" t="s">
        <v>243</v>
      </c>
      <c r="F878" s="193">
        <v>15</v>
      </c>
      <c r="G878" s="76" t="s">
        <v>18</v>
      </c>
      <c r="H878" s="78"/>
      <c r="I878" s="76"/>
    </row>
    <row r="879" spans="2:9" ht="28.5" customHeight="1" x14ac:dyDescent="0.3">
      <c r="B879" s="82" t="s">
        <v>46</v>
      </c>
      <c r="C879" t="s">
        <v>84</v>
      </c>
      <c r="D879" s="76" t="s">
        <v>153</v>
      </c>
      <c r="E879" s="76" t="s">
        <v>243</v>
      </c>
      <c r="F879" s="193">
        <v>15</v>
      </c>
      <c r="G879" s="76" t="s">
        <v>18</v>
      </c>
      <c r="H879" s="78"/>
      <c r="I879" s="76"/>
    </row>
    <row r="880" spans="2:9" ht="28.5" customHeight="1" x14ac:dyDescent="0.3">
      <c r="B880" s="82" t="s">
        <v>661</v>
      </c>
      <c r="C880" t="s">
        <v>47</v>
      </c>
      <c r="D880" s="76" t="s">
        <v>153</v>
      </c>
      <c r="E880" s="76" t="s">
        <v>243</v>
      </c>
      <c r="F880" s="193">
        <v>15</v>
      </c>
      <c r="G880" s="76" t="s">
        <v>18</v>
      </c>
      <c r="H880" s="78"/>
      <c r="I880" s="76"/>
    </row>
    <row r="881" spans="2:9" ht="28.5" customHeight="1" x14ac:dyDescent="0.3">
      <c r="B881" s="82" t="s">
        <v>661</v>
      </c>
      <c r="C881" t="s">
        <v>59</v>
      </c>
      <c r="D881" s="76" t="s">
        <v>153</v>
      </c>
      <c r="E881" s="76" t="s">
        <v>243</v>
      </c>
      <c r="F881" s="193">
        <v>15</v>
      </c>
      <c r="G881" s="76" t="s">
        <v>18</v>
      </c>
      <c r="H881" s="78"/>
      <c r="I881" s="76"/>
    </row>
    <row r="882" spans="2:9" ht="28.5" customHeight="1" x14ac:dyDescent="0.3">
      <c r="B882" s="82" t="s">
        <v>661</v>
      </c>
      <c r="C882" t="s">
        <v>73</v>
      </c>
      <c r="D882" s="76" t="s">
        <v>153</v>
      </c>
      <c r="E882" s="76" t="s">
        <v>243</v>
      </c>
      <c r="F882" s="193">
        <v>15</v>
      </c>
      <c r="G882" s="76" t="s">
        <v>18</v>
      </c>
      <c r="H882" s="78"/>
      <c r="I882" s="76"/>
    </row>
    <row r="883" spans="2:9" ht="28.5" customHeight="1" x14ac:dyDescent="0.3">
      <c r="B883" s="82" t="s">
        <v>661</v>
      </c>
      <c r="C883" t="s">
        <v>84</v>
      </c>
      <c r="D883" s="76" t="s">
        <v>153</v>
      </c>
      <c r="E883" s="76" t="s">
        <v>243</v>
      </c>
      <c r="F883" s="193">
        <v>15</v>
      </c>
      <c r="G883" s="76" t="s">
        <v>18</v>
      </c>
      <c r="H883" s="78"/>
      <c r="I883" s="76"/>
    </row>
    <row r="884" spans="2:9" ht="28.5" customHeight="1" x14ac:dyDescent="0.3">
      <c r="B884" s="82" t="s">
        <v>72</v>
      </c>
      <c r="C884" t="s">
        <v>47</v>
      </c>
      <c r="D884" s="76" t="s">
        <v>153</v>
      </c>
      <c r="E884" s="76" t="s">
        <v>243</v>
      </c>
      <c r="F884" s="193">
        <v>15</v>
      </c>
      <c r="G884" s="76" t="s">
        <v>18</v>
      </c>
      <c r="H884" s="78"/>
      <c r="I884" s="76"/>
    </row>
    <row r="885" spans="2:9" ht="28.5" customHeight="1" x14ac:dyDescent="0.3">
      <c r="B885" s="82" t="s">
        <v>72</v>
      </c>
      <c r="C885" t="s">
        <v>59</v>
      </c>
      <c r="D885" s="76" t="s">
        <v>153</v>
      </c>
      <c r="E885" s="76" t="s">
        <v>243</v>
      </c>
      <c r="F885" s="193">
        <v>15</v>
      </c>
      <c r="G885" s="76" t="s">
        <v>18</v>
      </c>
      <c r="H885" s="78"/>
      <c r="I885" s="76"/>
    </row>
    <row r="886" spans="2:9" ht="28.5" customHeight="1" x14ac:dyDescent="0.3">
      <c r="B886" s="82" t="s">
        <v>72</v>
      </c>
      <c r="C886" t="s">
        <v>73</v>
      </c>
      <c r="D886" s="76" t="s">
        <v>153</v>
      </c>
      <c r="E886" s="76" t="s">
        <v>243</v>
      </c>
      <c r="F886" s="193">
        <v>15</v>
      </c>
      <c r="G886" s="76" t="s">
        <v>18</v>
      </c>
      <c r="H886" s="78"/>
      <c r="I886" s="76"/>
    </row>
    <row r="887" spans="2:9" ht="28.5" customHeight="1" x14ac:dyDescent="0.3">
      <c r="B887" s="82" t="s">
        <v>72</v>
      </c>
      <c r="C887" t="s">
        <v>84</v>
      </c>
      <c r="D887" s="76" t="s">
        <v>153</v>
      </c>
      <c r="E887" s="76" t="s">
        <v>243</v>
      </c>
      <c r="F887" s="193">
        <v>15</v>
      </c>
      <c r="G887" s="76" t="s">
        <v>18</v>
      </c>
      <c r="H887" s="78"/>
      <c r="I887" s="76"/>
    </row>
  </sheetData>
  <mergeCells count="36">
    <mergeCell ref="B122:S122"/>
    <mergeCell ref="C55:I55"/>
    <mergeCell ref="C68:I68"/>
    <mergeCell ref="C81:I81"/>
    <mergeCell ref="C94:I94"/>
    <mergeCell ref="C107:I107"/>
    <mergeCell ref="C120:I120"/>
    <mergeCell ref="C42:I42"/>
    <mergeCell ref="B57:S57"/>
    <mergeCell ref="B70:S70"/>
    <mergeCell ref="B83:S83"/>
    <mergeCell ref="B4:K4"/>
    <mergeCell ref="L4:S4"/>
    <mergeCell ref="B402:H402"/>
    <mergeCell ref="I402:M402"/>
    <mergeCell ref="N402:S402"/>
    <mergeCell ref="B501:I501"/>
    <mergeCell ref="B502:I502"/>
    <mergeCell ref="M501:R501"/>
    <mergeCell ref="M502:R502"/>
    <mergeCell ref="M509:R509"/>
    <mergeCell ref="M506:R506"/>
    <mergeCell ref="U4:V4"/>
    <mergeCell ref="L2:S2"/>
    <mergeCell ref="L3:S3"/>
    <mergeCell ref="B401:S401"/>
    <mergeCell ref="U18:V20"/>
    <mergeCell ref="B2:K2"/>
    <mergeCell ref="B3:K3"/>
    <mergeCell ref="M503:R503"/>
    <mergeCell ref="C133:I133"/>
    <mergeCell ref="B109:S109"/>
    <mergeCell ref="B96:S96"/>
    <mergeCell ref="B7:S7"/>
    <mergeCell ref="B31:S31"/>
    <mergeCell ref="B44:S44"/>
  </mergeCells>
  <phoneticPr fontId="27" type="noConversion"/>
  <dataValidations count="10">
    <dataValidation type="list" errorStyle="warning" allowBlank="1" errorTitle="Invalid Selection" error="Please choose a value from the dropdown list." sqref="D110:D119 D123:D132 D32:D41 D84:D93 D97:D106 D45:D54 D58:D67 D71:D80 D8:D30 D135:D400" xr:uid="{00000000-0002-0000-0800-000002000000}">
      <formula1>INDIRECT("Tile_Level_"&amp;SUBSTITUTE(SUBSTITUTE(SUBSTITUTE(SUBSTITUTE(TRIM($C8)," / ","_")," ","_"),"/","_"),"-","_"))</formula1>
    </dataValidation>
    <dataValidation type="list" errorStyle="warning" allowBlank="1" errorTitle="Invalid Selection" error="Please choose a value from the dropdown list." sqref="E58:E67 E45:E54 E32:E41 E71:E80 E123:E132 E110:E119 E84:E93 E97:E106 E8:E30 E135:E400" xr:uid="{00000000-0002-0000-0800-000003000000}">
      <formula1>INDIRECT("Tile_Product_"&amp;SUBSTITUTE(SUBSTITUTE(SUBSTITUTE(SUBSTITUTE(TRIM($C8)," / ","_")," ","_"),"/","_"),"-","_")&amp;"_"&amp;SUBSTITUTE(TRIM($D8)," ","_"))</formula1>
    </dataValidation>
    <dataValidation type="list" errorStyle="warning" allowBlank="1" errorTitle="Invalid Selection" error="Please choose a value from the dropdown list." sqref="F45:F54 G8:G30 F97:F106 F71:F80 F58:F67 F32:F41 F110:F119 F84:F93 F135:F400 F123:F132" xr:uid="{00000000-0002-0000-0800-000004000000}">
      <formula1>$C$438:$C$440</formula1>
    </dataValidation>
    <dataValidation type="list" errorStyle="warning" allowBlank="1" errorTitle="Invalid Selection" error="Please choose a value from the dropdown list." sqref="G45:G54 H8:H30 G97:G106 G71:G80 G58:G67 G32:G41 G110:G119 G84:G93 G135:G400 G123:G132" xr:uid="{00000000-0002-0000-0800-000005000000}">
      <formula1>$D$404:$D$411</formula1>
    </dataValidation>
    <dataValidation type="list" errorStyle="warning" allowBlank="1" errorTitle="Invalid Selection" error="Please choose a value from the dropdown list." sqref="I8:I30 H135:H400" xr:uid="{00000000-0002-0000-0800-000006000000}">
      <formula1>$E$404:$E$407</formula1>
    </dataValidation>
    <dataValidation type="list" errorStyle="warning" allowBlank="1" errorTitle="Invalid Selection" error="Please choose a value from the dropdown list." sqref="I45:I54 J8:J30 I97:I106 I71:I80 I58:I67 I32:I41 I110:I119 I84:I93 I135:I400 I123:I132" xr:uid="{00000000-0002-0000-0800-000007000000}">
      <formula1>$F$404:$F$444</formula1>
    </dataValidation>
    <dataValidation type="list" errorStyle="warning" allowBlank="1" errorTitle="Invalid Selection" error="Please choose a value from the dropdown list." sqref="H32:H41 H97:H106 H71:H80 H45:H54 H58:H67 H84:H93 H110:H119 H123:H132" xr:uid="{35E30607-5BA2-48A9-AF52-1939492983B5}">
      <formula1>$J$404:$J$420</formula1>
    </dataValidation>
    <dataValidation type="list" errorStyle="warning" allowBlank="1" errorTitle="Invalid Selection" error="Please choose a value from the dropdown list." sqref="K84:K93 K8:K30 K123:K132 K71:K80 J84:J95 J71:J82 K32:K41 J32:J43 K45:K54 J45:J56 J58:J69 K58:K67 J97:J108 K97:K106 J110:J121 J123:J400 K110:K119" xr:uid="{00000000-0002-0000-0800-000008000000}">
      <formula1>$G$404:$G$407</formula1>
    </dataValidation>
    <dataValidation type="list" errorStyle="warning" allowBlank="1" errorTitle="Invalid Selection" error="Please choose a value from the dropdown list." sqref="B8:B41 B134:B400 B43:B54 B121:B132 B108:B119 B95:B106 B82:B93 B69:B80 B56:B67" xr:uid="{00000000-0002-0000-0800-000000000000}">
      <formula1>$B$404:$B$455</formula1>
    </dataValidation>
    <dataValidation type="list" errorStyle="warning" allowBlank="1" errorTitle="Invalid Selection" error="Please choose a value from the dropdown list." sqref="C135:C400" xr:uid="{00000000-0002-0000-0800-000001000000}">
      <formula1>Tile_Section_List</formula1>
    </dataValidation>
  </dataValidations>
  <pageMargins left="0.7" right="0.7" top="0.75" bottom="0.75" header="0.3" footer="0.3"/>
  <legacyDrawing r:id="rId1"/>
  <tableParts count="1">
    <tablePart r:id="rId2"/>
  </tableParts>
  <extLst>
    <ext xmlns:x14="http://schemas.microsoft.com/office/spreadsheetml/2009/9/main" uri="{CCE6A557-97BC-4b89-ADB6-D9C93CAAB3DF}">
      <x14:dataValidations xmlns:xm="http://schemas.microsoft.com/office/excel/2006/main" count="1">
        <x14:dataValidation type="list" errorStyle="warning" allowBlank="1" errorTitle="Invalid Selection" error="Please choose a value from the dropdown list." xr:uid="{7C6AF584-2CEC-4F23-BBD1-86B7662484D8}">
          <x14:formula1>
            <xm:f>'Tile Product Lists'!$A$2:$A$18</xm:f>
          </x14:formula1>
          <xm:sqref>C32:C41 C45:C54 C58:C67 C71:C80 C84:C93 C97:C106 C110:C119 C123:C132 C8:C30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1"/>
  </sheetPr>
  <dimension ref="A1:BF35"/>
  <sheetViews>
    <sheetView topLeftCell="BC1" workbookViewId="0">
      <selection activeCell="BF2" sqref="BF2:BF4"/>
    </sheetView>
  </sheetViews>
  <sheetFormatPr defaultColWidth="32" defaultRowHeight="15" x14ac:dyDescent="0.25"/>
  <cols>
    <col min="1" max="1" width="26" style="82" customWidth="1"/>
    <col min="2" max="2" width="14" style="82" customWidth="1"/>
    <col min="3" max="23" width="32" style="82" customWidth="1"/>
    <col min="24" max="24" width="32" customWidth="1"/>
    <col min="25" max="42" width="32" style="82" customWidth="1"/>
    <col min="43" max="43" width="32" customWidth="1"/>
    <col min="44" max="47" width="32" style="82" customWidth="1"/>
    <col min="48" max="55" width="32" customWidth="1"/>
    <col min="58" max="16384" width="32" style="82"/>
  </cols>
  <sheetData>
    <row r="1" spans="1:58" ht="30" customHeight="1" x14ac:dyDescent="0.25">
      <c r="A1" s="88" t="s">
        <v>611</v>
      </c>
      <c r="B1" s="84"/>
      <c r="C1" s="88" t="s">
        <v>612</v>
      </c>
      <c r="D1" s="88" t="s">
        <v>613</v>
      </c>
      <c r="E1" s="88" t="s">
        <v>614</v>
      </c>
      <c r="F1" s="88" t="s">
        <v>615</v>
      </c>
      <c r="G1" s="88" t="s">
        <v>616</v>
      </c>
      <c r="H1" s="88" t="s">
        <v>666</v>
      </c>
      <c r="I1" s="88" t="s">
        <v>667</v>
      </c>
      <c r="J1" s="88" t="s">
        <v>668</v>
      </c>
      <c r="K1" s="88" t="s">
        <v>885</v>
      </c>
      <c r="L1" s="88" t="s">
        <v>886</v>
      </c>
      <c r="M1" s="88" t="s">
        <v>932</v>
      </c>
      <c r="N1" s="84"/>
      <c r="O1" s="84"/>
      <c r="P1" s="88" t="s">
        <v>617</v>
      </c>
      <c r="Q1" s="88" t="s">
        <v>618</v>
      </c>
      <c r="R1" s="88" t="s">
        <v>619</v>
      </c>
      <c r="S1" s="88" t="s">
        <v>620</v>
      </c>
      <c r="T1" s="88" t="s">
        <v>621</v>
      </c>
      <c r="U1" s="88" t="s">
        <v>622</v>
      </c>
      <c r="V1" s="88" t="s">
        <v>623</v>
      </c>
      <c r="W1" s="88" t="s">
        <v>624</v>
      </c>
      <c r="X1" s="88" t="s">
        <v>625</v>
      </c>
      <c r="Y1" s="88" t="s">
        <v>626</v>
      </c>
      <c r="Z1" s="88" t="s">
        <v>627</v>
      </c>
      <c r="AA1" s="88" t="s">
        <v>628</v>
      </c>
      <c r="AB1" s="88" t="s">
        <v>629</v>
      </c>
      <c r="AC1" s="88" t="s">
        <v>630</v>
      </c>
      <c r="AD1" s="88" t="s">
        <v>631</v>
      </c>
      <c r="AE1" s="88" t="s">
        <v>632</v>
      </c>
      <c r="AF1" s="88" t="s">
        <v>633</v>
      </c>
      <c r="AG1" s="88" t="s">
        <v>634</v>
      </c>
      <c r="AH1" s="88" t="s">
        <v>635</v>
      </c>
      <c r="AI1" s="88" t="s">
        <v>636</v>
      </c>
      <c r="AJ1" s="88" t="s">
        <v>637</v>
      </c>
      <c r="AK1" s="88" t="s">
        <v>638</v>
      </c>
      <c r="AL1" s="88" t="s">
        <v>639</v>
      </c>
      <c r="AM1" s="88" t="s">
        <v>640</v>
      </c>
      <c r="AN1" s="88" t="s">
        <v>641</v>
      </c>
      <c r="AO1" s="88" t="s">
        <v>642</v>
      </c>
      <c r="AP1" s="88" t="s">
        <v>643</v>
      </c>
      <c r="AQ1" s="88" t="s">
        <v>644</v>
      </c>
      <c r="AR1" s="88" t="s">
        <v>645</v>
      </c>
      <c r="AS1" s="88" t="s">
        <v>646</v>
      </c>
      <c r="AT1" s="88" t="s">
        <v>647</v>
      </c>
      <c r="AU1" s="89" t="s">
        <v>648</v>
      </c>
      <c r="AV1" s="89" t="s">
        <v>649</v>
      </c>
      <c r="AW1" s="89" t="s">
        <v>650</v>
      </c>
      <c r="AX1" s="89" t="s">
        <v>651</v>
      </c>
      <c r="AY1" s="89" t="s">
        <v>652</v>
      </c>
      <c r="AZ1" s="89" t="s">
        <v>653</v>
      </c>
      <c r="BA1" s="89" t="s">
        <v>669</v>
      </c>
      <c r="BB1" s="89" t="s">
        <v>670</v>
      </c>
      <c r="BC1" s="89" t="s">
        <v>671</v>
      </c>
      <c r="BD1" s="89" t="s">
        <v>887</v>
      </c>
      <c r="BE1" s="89" t="s">
        <v>888</v>
      </c>
      <c r="BF1" s="89" t="s">
        <v>931</v>
      </c>
    </row>
    <row r="2" spans="1:58" x14ac:dyDescent="0.25">
      <c r="A2" s="82" t="s">
        <v>16</v>
      </c>
      <c r="C2" t="s">
        <v>153</v>
      </c>
      <c r="D2" s="82" t="s">
        <v>153</v>
      </c>
      <c r="E2" s="82" t="s">
        <v>153</v>
      </c>
      <c r="F2" s="82" t="s">
        <v>153</v>
      </c>
      <c r="G2" s="82" t="s">
        <v>153</v>
      </c>
      <c r="H2" s="82" t="s">
        <v>153</v>
      </c>
      <c r="I2" s="82" t="s">
        <v>153</v>
      </c>
      <c r="J2" s="82" t="s">
        <v>153</v>
      </c>
      <c r="K2" s="82" t="s">
        <v>153</v>
      </c>
      <c r="L2" s="82" t="s">
        <v>153</v>
      </c>
      <c r="M2" s="82" t="s">
        <v>153</v>
      </c>
      <c r="P2" s="82" t="s">
        <v>242</v>
      </c>
      <c r="Q2" s="82" t="s">
        <v>244</v>
      </c>
      <c r="R2" s="82" t="s">
        <v>246</v>
      </c>
      <c r="S2" s="82" t="s">
        <v>248</v>
      </c>
      <c r="T2" s="82" t="s">
        <v>264</v>
      </c>
      <c r="U2" s="82" t="s">
        <v>277</v>
      </c>
      <c r="V2" s="82" t="s">
        <v>301</v>
      </c>
      <c r="W2" s="82" t="s">
        <v>311</v>
      </c>
      <c r="X2" s="82" t="s">
        <v>318</v>
      </c>
      <c r="Y2" s="82" t="s">
        <v>324</v>
      </c>
      <c r="Z2" s="82" t="s">
        <v>327</v>
      </c>
      <c r="AA2" s="82" t="s">
        <v>331</v>
      </c>
      <c r="AB2" s="82" t="s">
        <v>336</v>
      </c>
      <c r="AC2" s="82" t="s">
        <v>357</v>
      </c>
      <c r="AD2" s="82" t="s">
        <v>380</v>
      </c>
      <c r="AE2" s="82" t="s">
        <v>407</v>
      </c>
      <c r="AF2" s="82" t="s">
        <v>416</v>
      </c>
      <c r="AG2" s="82" t="s">
        <v>418</v>
      </c>
      <c r="AH2" s="82" t="s">
        <v>422</v>
      </c>
      <c r="AI2" s="82" t="s">
        <v>433</v>
      </c>
      <c r="AJ2" s="82" t="s">
        <v>440</v>
      </c>
      <c r="AK2" s="82" t="s">
        <v>448</v>
      </c>
      <c r="AL2" s="82" t="s">
        <v>451</v>
      </c>
      <c r="AM2" s="82" t="s">
        <v>453</v>
      </c>
      <c r="AN2" s="82" t="s">
        <v>457</v>
      </c>
      <c r="AO2" s="82" t="s">
        <v>461</v>
      </c>
      <c r="AP2" s="82" t="s">
        <v>476</v>
      </c>
      <c r="AQ2" s="82" t="s">
        <v>500</v>
      </c>
      <c r="AR2" s="82" t="s">
        <v>506</v>
      </c>
      <c r="AS2" s="82" t="s">
        <v>327</v>
      </c>
      <c r="AT2" s="82" t="s">
        <v>512</v>
      </c>
      <c r="AU2" t="s">
        <v>336</v>
      </c>
      <c r="AV2" t="s">
        <v>357</v>
      </c>
      <c r="AW2" t="s">
        <v>380</v>
      </c>
      <c r="AX2" t="s">
        <v>383</v>
      </c>
      <c r="AY2" t="s">
        <v>416</v>
      </c>
      <c r="AZ2" t="s">
        <v>418</v>
      </c>
      <c r="BA2" t="s">
        <v>47</v>
      </c>
      <c r="BB2" t="s">
        <v>47</v>
      </c>
      <c r="BC2" t="s">
        <v>47</v>
      </c>
      <c r="BD2" t="s">
        <v>889</v>
      </c>
      <c r="BE2" s="82" t="s">
        <v>890</v>
      </c>
      <c r="BF2" s="367" t="s">
        <v>928</v>
      </c>
    </row>
    <row r="3" spans="1:58" x14ac:dyDescent="0.25">
      <c r="A3" s="82" t="s">
        <v>20</v>
      </c>
      <c r="C3" t="s">
        <v>17</v>
      </c>
      <c r="D3" t="s">
        <v>17</v>
      </c>
      <c r="E3" s="82" t="s">
        <v>17</v>
      </c>
      <c r="F3" s="82" t="s">
        <v>17</v>
      </c>
      <c r="G3" s="82" t="s">
        <v>17</v>
      </c>
      <c r="Q3" s="82" t="s">
        <v>245</v>
      </c>
      <c r="R3" s="82" t="s">
        <v>247</v>
      </c>
      <c r="S3" s="82" t="s">
        <v>249</v>
      </c>
      <c r="T3" s="82" t="s">
        <v>266</v>
      </c>
      <c r="U3" s="82" t="s">
        <v>278</v>
      </c>
      <c r="V3" s="82" t="s">
        <v>302</v>
      </c>
      <c r="W3" s="82" t="s">
        <v>312</v>
      </c>
      <c r="X3" s="82" t="s">
        <v>319</v>
      </c>
      <c r="Y3" s="82" t="s">
        <v>325</v>
      </c>
      <c r="Z3" s="82" t="s">
        <v>328</v>
      </c>
      <c r="AA3" s="82" t="s">
        <v>332</v>
      </c>
      <c r="AB3" s="82" t="s">
        <v>337</v>
      </c>
      <c r="AC3" s="82" t="s">
        <v>358</v>
      </c>
      <c r="AD3" s="82" t="s">
        <v>381</v>
      </c>
      <c r="AE3" s="82" t="s">
        <v>408</v>
      </c>
      <c r="AF3" t="s">
        <v>417</v>
      </c>
      <c r="AG3" s="82" t="s">
        <v>419</v>
      </c>
      <c r="AH3" s="82" t="s">
        <v>423</v>
      </c>
      <c r="AI3" s="82" t="s">
        <v>434</v>
      </c>
      <c r="AJ3" s="82" t="s">
        <v>441</v>
      </c>
      <c r="AK3" s="82" t="s">
        <v>449</v>
      </c>
      <c r="AM3" s="82" t="s">
        <v>454</v>
      </c>
      <c r="AN3" s="82" t="s">
        <v>458</v>
      </c>
      <c r="AO3" s="82" t="s">
        <v>462</v>
      </c>
      <c r="AP3" s="82" t="s">
        <v>477</v>
      </c>
      <c r="AQ3" s="82" t="s">
        <v>277</v>
      </c>
      <c r="AR3" s="82" t="s">
        <v>507</v>
      </c>
      <c r="AS3" s="82" t="s">
        <v>328</v>
      </c>
      <c r="AT3" s="82" t="s">
        <v>513</v>
      </c>
      <c r="AU3" t="s">
        <v>514</v>
      </c>
      <c r="AV3" t="s">
        <v>521</v>
      </c>
      <c r="AW3" t="s">
        <v>526</v>
      </c>
      <c r="AX3" t="s">
        <v>533</v>
      </c>
      <c r="AY3" t="s">
        <v>417</v>
      </c>
      <c r="AZ3" t="s">
        <v>419</v>
      </c>
      <c r="BA3" t="s">
        <v>59</v>
      </c>
      <c r="BB3" t="s">
        <v>59</v>
      </c>
      <c r="BC3" t="s">
        <v>59</v>
      </c>
      <c r="BF3" s="82" t="s">
        <v>929</v>
      </c>
    </row>
    <row r="4" spans="1:58" x14ac:dyDescent="0.25">
      <c r="A4" s="82" t="s">
        <v>64</v>
      </c>
      <c r="C4" t="s">
        <v>163</v>
      </c>
      <c r="D4" t="s">
        <v>163</v>
      </c>
      <c r="E4" t="s">
        <v>163</v>
      </c>
      <c r="F4" t="s">
        <v>163</v>
      </c>
      <c r="G4" s="82" t="s">
        <v>163</v>
      </c>
      <c r="H4"/>
      <c r="I4"/>
      <c r="J4"/>
      <c r="K4"/>
      <c r="L4"/>
      <c r="M4"/>
      <c r="S4" s="82" t="s">
        <v>250</v>
      </c>
      <c r="T4" s="82" t="s">
        <v>267</v>
      </c>
      <c r="U4" s="82" t="s">
        <v>279</v>
      </c>
      <c r="V4" s="82" t="s">
        <v>303</v>
      </c>
      <c r="W4" s="82" t="s">
        <v>313</v>
      </c>
      <c r="X4" s="82" t="s">
        <v>320</v>
      </c>
      <c r="Y4" s="82" t="s">
        <v>326</v>
      </c>
      <c r="Z4" t="s">
        <v>329</v>
      </c>
      <c r="AA4" s="82" t="s">
        <v>333</v>
      </c>
      <c r="AB4" s="82" t="s">
        <v>338</v>
      </c>
      <c r="AC4" s="82" t="s">
        <v>359</v>
      </c>
      <c r="AD4" s="82" t="s">
        <v>382</v>
      </c>
      <c r="AE4" s="82" t="s">
        <v>409</v>
      </c>
      <c r="AG4" s="82" t="s">
        <v>420</v>
      </c>
      <c r="AH4" s="82" t="s">
        <v>424</v>
      </c>
      <c r="AI4" s="82" t="s">
        <v>435</v>
      </c>
      <c r="AJ4" s="82" t="s">
        <v>442</v>
      </c>
      <c r="AK4" s="82" t="s">
        <v>450</v>
      </c>
      <c r="AM4" s="82" t="s">
        <v>455</v>
      </c>
      <c r="AN4" s="82" t="s">
        <v>459</v>
      </c>
      <c r="AO4" s="82" t="s">
        <v>463</v>
      </c>
      <c r="AP4" s="82" t="s">
        <v>478</v>
      </c>
      <c r="AQ4" s="82" t="s">
        <v>501</v>
      </c>
      <c r="AR4" s="82" t="s">
        <v>508</v>
      </c>
      <c r="AS4" t="s">
        <v>509</v>
      </c>
      <c r="AT4" s="82" t="s">
        <v>331</v>
      </c>
      <c r="AU4" t="s">
        <v>515</v>
      </c>
      <c r="AV4" t="s">
        <v>359</v>
      </c>
      <c r="AW4" t="s">
        <v>527</v>
      </c>
      <c r="AX4" t="s">
        <v>407</v>
      </c>
      <c r="AZ4" t="s">
        <v>420</v>
      </c>
      <c r="BA4" t="s">
        <v>73</v>
      </c>
      <c r="BB4" t="s">
        <v>73</v>
      </c>
      <c r="BC4" t="s">
        <v>73</v>
      </c>
      <c r="BF4" s="82" t="s">
        <v>930</v>
      </c>
    </row>
    <row r="5" spans="1:58" x14ac:dyDescent="0.25">
      <c r="A5" s="82" t="s">
        <v>78</v>
      </c>
      <c r="C5" t="s">
        <v>19</v>
      </c>
      <c r="D5" t="s">
        <v>19</v>
      </c>
      <c r="E5" t="s">
        <v>19</v>
      </c>
      <c r="F5" t="s">
        <v>19</v>
      </c>
      <c r="G5" s="82" t="s">
        <v>19</v>
      </c>
      <c r="H5"/>
      <c r="I5"/>
      <c r="J5"/>
      <c r="K5"/>
      <c r="L5"/>
      <c r="M5"/>
      <c r="S5" t="s">
        <v>251</v>
      </c>
      <c r="T5" s="82" t="s">
        <v>268</v>
      </c>
      <c r="U5" s="82" t="s">
        <v>280</v>
      </c>
      <c r="V5" s="82" t="s">
        <v>304</v>
      </c>
      <c r="W5" s="82" t="s">
        <v>314</v>
      </c>
      <c r="X5" s="82" t="s">
        <v>321</v>
      </c>
      <c r="Z5" t="s">
        <v>330</v>
      </c>
      <c r="AA5" s="82" t="s">
        <v>334</v>
      </c>
      <c r="AB5" s="82" t="s">
        <v>339</v>
      </c>
      <c r="AC5" s="82" t="s">
        <v>360</v>
      </c>
      <c r="AD5" s="82" t="s">
        <v>383</v>
      </c>
      <c r="AE5" t="s">
        <v>410</v>
      </c>
      <c r="AG5" s="82" t="s">
        <v>421</v>
      </c>
      <c r="AH5" s="82" t="s">
        <v>425</v>
      </c>
      <c r="AI5" s="82" t="s">
        <v>436</v>
      </c>
      <c r="AJ5" s="82" t="s">
        <v>443</v>
      </c>
      <c r="AM5" s="82" t="s">
        <v>456</v>
      </c>
      <c r="AN5" s="82" t="s">
        <v>460</v>
      </c>
      <c r="AO5" s="82" t="s">
        <v>464</v>
      </c>
      <c r="AP5" s="82" t="s">
        <v>479</v>
      </c>
      <c r="AQ5" s="82" t="s">
        <v>502</v>
      </c>
      <c r="AS5" t="s">
        <v>510</v>
      </c>
      <c r="AT5" s="82" t="s">
        <v>333</v>
      </c>
      <c r="AU5" t="s">
        <v>516</v>
      </c>
      <c r="AV5" t="s">
        <v>522</v>
      </c>
      <c r="AW5" t="s">
        <v>358</v>
      </c>
      <c r="AX5" t="s">
        <v>534</v>
      </c>
      <c r="AZ5" t="s">
        <v>421</v>
      </c>
      <c r="BA5" t="s">
        <v>84</v>
      </c>
      <c r="BB5" t="s">
        <v>84</v>
      </c>
      <c r="BC5" t="s">
        <v>84</v>
      </c>
    </row>
    <row r="6" spans="1:58" x14ac:dyDescent="0.25">
      <c r="A6" s="82" t="s">
        <v>87</v>
      </c>
      <c r="C6" t="s">
        <v>172</v>
      </c>
      <c r="D6" t="s">
        <v>172</v>
      </c>
      <c r="E6" t="s">
        <v>172</v>
      </c>
      <c r="F6" t="s">
        <v>172</v>
      </c>
      <c r="G6" s="82" t="s">
        <v>172</v>
      </c>
      <c r="H6"/>
      <c r="I6"/>
      <c r="J6"/>
      <c r="K6"/>
      <c r="L6"/>
      <c r="M6"/>
      <c r="S6" t="s">
        <v>252</v>
      </c>
      <c r="T6" t="s">
        <v>269</v>
      </c>
      <c r="U6" s="82" t="s">
        <v>281</v>
      </c>
      <c r="V6" s="82" t="s">
        <v>305</v>
      </c>
      <c r="W6" s="82" t="s">
        <v>315</v>
      </c>
      <c r="X6" s="82" t="s">
        <v>322</v>
      </c>
      <c r="AA6" t="s">
        <v>335</v>
      </c>
      <c r="AB6" s="82" t="s">
        <v>340</v>
      </c>
      <c r="AC6" s="82" t="s">
        <v>361</v>
      </c>
      <c r="AD6" s="82" t="s">
        <v>384</v>
      </c>
      <c r="AE6" t="s">
        <v>411</v>
      </c>
      <c r="AH6" t="s">
        <v>426</v>
      </c>
      <c r="AI6" s="82" t="s">
        <v>437</v>
      </c>
      <c r="AJ6" s="82" t="s">
        <v>444</v>
      </c>
      <c r="AO6" s="82" t="s">
        <v>465</v>
      </c>
      <c r="AP6" s="82" t="s">
        <v>480</v>
      </c>
      <c r="AQ6" s="82" t="s">
        <v>503</v>
      </c>
      <c r="AS6" t="s">
        <v>511</v>
      </c>
      <c r="AT6" t="s">
        <v>334</v>
      </c>
      <c r="AU6" t="s">
        <v>517</v>
      </c>
      <c r="AV6" t="s">
        <v>523</v>
      </c>
      <c r="AW6" t="s">
        <v>386</v>
      </c>
      <c r="AX6" t="s">
        <v>535</v>
      </c>
    </row>
    <row r="7" spans="1:58" x14ac:dyDescent="0.25">
      <c r="A7" s="82" t="s">
        <v>46</v>
      </c>
      <c r="C7" t="s">
        <v>176</v>
      </c>
      <c r="D7" t="s">
        <v>176</v>
      </c>
      <c r="G7" s="82" t="s">
        <v>176</v>
      </c>
      <c r="S7" t="s">
        <v>253</v>
      </c>
      <c r="T7" t="s">
        <v>270</v>
      </c>
      <c r="U7" t="s">
        <v>282</v>
      </c>
      <c r="V7" s="82" t="s">
        <v>306</v>
      </c>
      <c r="W7" s="82" t="s">
        <v>316</v>
      </c>
      <c r="X7" s="82" t="s">
        <v>323</v>
      </c>
      <c r="AB7" s="82" t="s">
        <v>341</v>
      </c>
      <c r="AC7" s="82" t="s">
        <v>362</v>
      </c>
      <c r="AD7" s="82" t="s">
        <v>385</v>
      </c>
      <c r="AE7" t="s">
        <v>412</v>
      </c>
      <c r="AH7" t="s">
        <v>427</v>
      </c>
      <c r="AI7" s="82" t="s">
        <v>438</v>
      </c>
      <c r="AJ7" s="82" t="s">
        <v>445</v>
      </c>
      <c r="AO7" s="82" t="s">
        <v>466</v>
      </c>
      <c r="AP7" s="82" t="s">
        <v>481</v>
      </c>
      <c r="AQ7" s="82" t="s">
        <v>504</v>
      </c>
      <c r="AT7" t="s">
        <v>335</v>
      </c>
      <c r="AU7" t="s">
        <v>518</v>
      </c>
      <c r="AV7" t="s">
        <v>362</v>
      </c>
      <c r="AW7" t="s">
        <v>387</v>
      </c>
      <c r="AX7" t="s">
        <v>536</v>
      </c>
    </row>
    <row r="8" spans="1:58" x14ac:dyDescent="0.25">
      <c r="A8" s="82" t="s">
        <v>661</v>
      </c>
      <c r="C8" t="s">
        <v>181</v>
      </c>
      <c r="D8" t="s">
        <v>181</v>
      </c>
      <c r="G8" s="82" t="s">
        <v>181</v>
      </c>
      <c r="S8" t="s">
        <v>254</v>
      </c>
      <c r="T8" t="s">
        <v>271</v>
      </c>
      <c r="U8" t="s">
        <v>283</v>
      </c>
      <c r="V8" s="82" t="s">
        <v>307</v>
      </c>
      <c r="W8" s="82" t="s">
        <v>317</v>
      </c>
      <c r="X8" s="82"/>
      <c r="AB8" s="82" t="s">
        <v>342</v>
      </c>
      <c r="AC8" s="82" t="s">
        <v>363</v>
      </c>
      <c r="AD8" s="82" t="s">
        <v>386</v>
      </c>
      <c r="AE8" t="s">
        <v>413</v>
      </c>
      <c r="AH8" t="s">
        <v>428</v>
      </c>
      <c r="AI8" s="82" t="s">
        <v>439</v>
      </c>
      <c r="AJ8" s="82" t="s">
        <v>446</v>
      </c>
      <c r="AO8" s="82" t="s">
        <v>467</v>
      </c>
      <c r="AP8" s="82" t="s">
        <v>482</v>
      </c>
      <c r="AQ8" s="82" t="s">
        <v>505</v>
      </c>
      <c r="AU8" t="s">
        <v>340</v>
      </c>
      <c r="AV8" t="s">
        <v>363</v>
      </c>
      <c r="AW8" t="s">
        <v>388</v>
      </c>
      <c r="AX8" t="s">
        <v>537</v>
      </c>
    </row>
    <row r="9" spans="1:58" x14ac:dyDescent="0.25">
      <c r="A9" s="82" t="s">
        <v>72</v>
      </c>
      <c r="C9" t="s">
        <v>186</v>
      </c>
      <c r="D9" t="s">
        <v>186</v>
      </c>
      <c r="G9" s="82" t="s">
        <v>186</v>
      </c>
      <c r="S9" t="s">
        <v>255</v>
      </c>
      <c r="T9" t="s">
        <v>272</v>
      </c>
      <c r="U9" t="s">
        <v>284</v>
      </c>
      <c r="V9" s="82" t="s">
        <v>308</v>
      </c>
      <c r="X9" s="82"/>
      <c r="AB9" s="82" t="s">
        <v>343</v>
      </c>
      <c r="AC9" t="s">
        <v>364</v>
      </c>
      <c r="AD9" s="82" t="s">
        <v>387</v>
      </c>
      <c r="AE9" t="s">
        <v>414</v>
      </c>
      <c r="AH9" t="s">
        <v>429</v>
      </c>
      <c r="AJ9" s="82" t="s">
        <v>447</v>
      </c>
      <c r="AO9" s="82" t="s">
        <v>468</v>
      </c>
      <c r="AP9" s="82" t="s">
        <v>483</v>
      </c>
      <c r="AQ9" s="82"/>
      <c r="AU9" t="s">
        <v>341</v>
      </c>
      <c r="AV9" t="s">
        <v>365</v>
      </c>
      <c r="AW9" t="s">
        <v>528</v>
      </c>
      <c r="AX9" t="s">
        <v>538</v>
      </c>
    </row>
    <row r="10" spans="1:58" x14ac:dyDescent="0.25">
      <c r="A10" s="82" t="s">
        <v>109</v>
      </c>
      <c r="C10" t="s">
        <v>190</v>
      </c>
      <c r="D10" t="s">
        <v>190</v>
      </c>
      <c r="G10" s="82" t="s">
        <v>190</v>
      </c>
      <c r="S10" t="s">
        <v>256</v>
      </c>
      <c r="T10" t="s">
        <v>273</v>
      </c>
      <c r="U10" t="s">
        <v>285</v>
      </c>
      <c r="V10" s="82" t="s">
        <v>309</v>
      </c>
      <c r="X10" s="82"/>
      <c r="AB10" s="82" t="s">
        <v>344</v>
      </c>
      <c r="AC10" t="s">
        <v>365</v>
      </c>
      <c r="AD10" t="s">
        <v>388</v>
      </c>
      <c r="AE10" t="s">
        <v>415</v>
      </c>
      <c r="AH10" t="s">
        <v>430</v>
      </c>
      <c r="AO10" s="82" t="s">
        <v>469</v>
      </c>
      <c r="AP10" s="82" t="s">
        <v>484</v>
      </c>
      <c r="AQ10" s="82"/>
      <c r="AU10" t="s">
        <v>342</v>
      </c>
      <c r="AV10" t="s">
        <v>524</v>
      </c>
      <c r="AW10" t="s">
        <v>529</v>
      </c>
      <c r="AX10" t="s">
        <v>539</v>
      </c>
    </row>
    <row r="11" spans="1:58" x14ac:dyDescent="0.25">
      <c r="A11" s="82" t="s">
        <v>115</v>
      </c>
      <c r="S11" t="s">
        <v>257</v>
      </c>
      <c r="T11" t="s">
        <v>274</v>
      </c>
      <c r="U11" t="s">
        <v>286</v>
      </c>
      <c r="V11" s="82" t="s">
        <v>310</v>
      </c>
      <c r="X11" s="82"/>
      <c r="AB11" s="82" t="s">
        <v>345</v>
      </c>
      <c r="AC11" t="s">
        <v>366</v>
      </c>
      <c r="AD11" t="s">
        <v>389</v>
      </c>
      <c r="AH11" t="s">
        <v>431</v>
      </c>
      <c r="AO11" s="82" t="s">
        <v>470</v>
      </c>
      <c r="AP11" s="82" t="s">
        <v>485</v>
      </c>
      <c r="AQ11" s="82"/>
      <c r="AU11" t="s">
        <v>343</v>
      </c>
      <c r="AV11" t="s">
        <v>369</v>
      </c>
      <c r="AW11" t="s">
        <v>530</v>
      </c>
      <c r="AX11" t="s">
        <v>540</v>
      </c>
    </row>
    <row r="12" spans="1:58" x14ac:dyDescent="0.25">
      <c r="A12" s="82" t="s">
        <v>121</v>
      </c>
      <c r="S12" t="s">
        <v>258</v>
      </c>
      <c r="T12" t="s">
        <v>275</v>
      </c>
      <c r="U12" t="s">
        <v>287</v>
      </c>
      <c r="X12" s="82"/>
      <c r="AB12" s="82" t="s">
        <v>346</v>
      </c>
      <c r="AC12" t="s">
        <v>367</v>
      </c>
      <c r="AD12" t="s">
        <v>390</v>
      </c>
      <c r="AH12" t="s">
        <v>432</v>
      </c>
      <c r="AO12" s="82" t="s">
        <v>471</v>
      </c>
      <c r="AP12" s="82" t="s">
        <v>486</v>
      </c>
      <c r="AQ12" s="82"/>
      <c r="AU12" t="s">
        <v>344</v>
      </c>
      <c r="AV12" t="s">
        <v>372</v>
      </c>
      <c r="AW12" t="s">
        <v>364</v>
      </c>
      <c r="AX12" t="s">
        <v>393</v>
      </c>
    </row>
    <row r="13" spans="1:58" x14ac:dyDescent="0.25">
      <c r="A13" s="82" t="s">
        <v>126</v>
      </c>
      <c r="S13" t="s">
        <v>259</v>
      </c>
      <c r="T13" t="s">
        <v>276</v>
      </c>
      <c r="U13" t="s">
        <v>288</v>
      </c>
      <c r="X13" s="82"/>
      <c r="AB13" t="s">
        <v>347</v>
      </c>
      <c r="AC13" t="s">
        <v>368</v>
      </c>
      <c r="AD13" t="s">
        <v>391</v>
      </c>
      <c r="AO13" s="82" t="s">
        <v>472</v>
      </c>
      <c r="AP13" s="82" t="s">
        <v>487</v>
      </c>
      <c r="AQ13" s="82"/>
      <c r="AU13" t="s">
        <v>345</v>
      </c>
      <c r="AV13" t="s">
        <v>374</v>
      </c>
      <c r="AW13" t="s">
        <v>392</v>
      </c>
      <c r="AX13" t="s">
        <v>410</v>
      </c>
    </row>
    <row r="14" spans="1:58" x14ac:dyDescent="0.25">
      <c r="A14" s="82" t="s">
        <v>131</v>
      </c>
      <c r="S14" t="s">
        <v>260</v>
      </c>
      <c r="U14" t="s">
        <v>289</v>
      </c>
      <c r="X14" s="82"/>
      <c r="AB14" t="s">
        <v>348</v>
      </c>
      <c r="AC14" t="s">
        <v>369</v>
      </c>
      <c r="AD14" t="s">
        <v>392</v>
      </c>
      <c r="AO14" s="82" t="s">
        <v>473</v>
      </c>
      <c r="AP14" s="82" t="s">
        <v>488</v>
      </c>
      <c r="AQ14" s="82"/>
      <c r="AU14" t="s">
        <v>519</v>
      </c>
      <c r="AV14" t="s">
        <v>376</v>
      </c>
      <c r="AW14" t="s">
        <v>366</v>
      </c>
      <c r="AX14" t="s">
        <v>395</v>
      </c>
    </row>
    <row r="15" spans="1:58" x14ac:dyDescent="0.25">
      <c r="A15" s="82" t="s">
        <v>136</v>
      </c>
      <c r="S15" t="s">
        <v>261</v>
      </c>
      <c r="U15" t="s">
        <v>290</v>
      </c>
      <c r="X15" s="82"/>
      <c r="AB15" t="s">
        <v>349</v>
      </c>
      <c r="AC15" t="s">
        <v>370</v>
      </c>
      <c r="AD15" t="s">
        <v>393</v>
      </c>
      <c r="AO15" s="82" t="s">
        <v>474</v>
      </c>
      <c r="AP15" s="82" t="s">
        <v>489</v>
      </c>
      <c r="AQ15" s="82"/>
      <c r="AU15" t="s">
        <v>349</v>
      </c>
      <c r="AV15" t="s">
        <v>525</v>
      </c>
      <c r="AW15" t="s">
        <v>394</v>
      </c>
      <c r="AX15" t="s">
        <v>541</v>
      </c>
    </row>
    <row r="16" spans="1:58" x14ac:dyDescent="0.25">
      <c r="A16" s="82" t="s">
        <v>141</v>
      </c>
      <c r="S16" t="s">
        <v>262</v>
      </c>
      <c r="U16" t="s">
        <v>291</v>
      </c>
      <c r="X16" s="82"/>
      <c r="AB16" t="s">
        <v>350</v>
      </c>
      <c r="AC16" t="s">
        <v>371</v>
      </c>
      <c r="AD16" t="s">
        <v>394</v>
      </c>
      <c r="AO16" s="82" t="s">
        <v>475</v>
      </c>
      <c r="AP16" s="82" t="s">
        <v>490</v>
      </c>
      <c r="AQ16" s="82"/>
      <c r="AU16" t="s">
        <v>350</v>
      </c>
      <c r="AV16" t="s">
        <v>379</v>
      </c>
      <c r="AW16" t="s">
        <v>396</v>
      </c>
      <c r="AX16" t="s">
        <v>413</v>
      </c>
    </row>
    <row r="17" spans="1:50" x14ac:dyDescent="0.25">
      <c r="A17" s="82" t="s">
        <v>933</v>
      </c>
      <c r="S17" t="s">
        <v>263</v>
      </c>
      <c r="U17" t="s">
        <v>292</v>
      </c>
      <c r="X17" s="82"/>
      <c r="AB17" t="s">
        <v>351</v>
      </c>
      <c r="AC17" t="s">
        <v>372</v>
      </c>
      <c r="AD17" t="s">
        <v>395</v>
      </c>
      <c r="AP17" t="s">
        <v>491</v>
      </c>
      <c r="AQ17" s="82"/>
      <c r="AU17" t="s">
        <v>351</v>
      </c>
      <c r="AW17" t="s">
        <v>531</v>
      </c>
      <c r="AX17" t="s">
        <v>399</v>
      </c>
    </row>
    <row r="18" spans="1:50" x14ac:dyDescent="0.25">
      <c r="U18" t="s">
        <v>293</v>
      </c>
      <c r="X18" s="82"/>
      <c r="AB18" t="s">
        <v>352</v>
      </c>
      <c r="AC18" t="s">
        <v>373</v>
      </c>
      <c r="AD18" t="s">
        <v>396</v>
      </c>
      <c r="AP18" t="s">
        <v>492</v>
      </c>
      <c r="AQ18" s="82"/>
      <c r="AU18" t="s">
        <v>354</v>
      </c>
      <c r="AW18" t="s">
        <v>532</v>
      </c>
      <c r="AX18" t="s">
        <v>542</v>
      </c>
    </row>
    <row r="19" spans="1:50" x14ac:dyDescent="0.25">
      <c r="U19" t="s">
        <v>294</v>
      </c>
      <c r="X19" s="82"/>
      <c r="AB19" t="s">
        <v>353</v>
      </c>
      <c r="AC19" t="s">
        <v>374</v>
      </c>
      <c r="AD19" t="s">
        <v>397</v>
      </c>
      <c r="AP19" t="s">
        <v>493</v>
      </c>
      <c r="AQ19" s="82"/>
      <c r="AU19" t="s">
        <v>520</v>
      </c>
      <c r="AW19" t="s">
        <v>373</v>
      </c>
      <c r="AX19" t="s">
        <v>543</v>
      </c>
    </row>
    <row r="20" spans="1:50" x14ac:dyDescent="0.25">
      <c r="U20" t="s">
        <v>295</v>
      </c>
      <c r="X20" s="82"/>
      <c r="AB20" t="s">
        <v>354</v>
      </c>
      <c r="AC20" t="s">
        <v>375</v>
      </c>
      <c r="AD20" t="s">
        <v>398</v>
      </c>
      <c r="AP20" t="s">
        <v>494</v>
      </c>
      <c r="AQ20" s="82"/>
      <c r="AW20" t="s">
        <v>375</v>
      </c>
    </row>
    <row r="21" spans="1:50" x14ac:dyDescent="0.25">
      <c r="U21" t="s">
        <v>296</v>
      </c>
      <c r="X21" s="82"/>
      <c r="AB21" t="s">
        <v>355</v>
      </c>
      <c r="AC21" t="s">
        <v>376</v>
      </c>
      <c r="AD21" t="s">
        <v>399</v>
      </c>
      <c r="AP21" t="s">
        <v>495</v>
      </c>
      <c r="AQ21" s="82"/>
      <c r="AW21" t="s">
        <v>397</v>
      </c>
    </row>
    <row r="22" spans="1:50" x14ac:dyDescent="0.25">
      <c r="U22" t="s">
        <v>297</v>
      </c>
      <c r="X22" s="82"/>
      <c r="AB22" t="s">
        <v>356</v>
      </c>
      <c r="AC22" t="s">
        <v>377</v>
      </c>
      <c r="AD22" t="s">
        <v>400</v>
      </c>
      <c r="AP22" t="s">
        <v>496</v>
      </c>
      <c r="AQ22" s="82"/>
      <c r="AW22" t="s">
        <v>377</v>
      </c>
    </row>
    <row r="23" spans="1:50" x14ac:dyDescent="0.25">
      <c r="U23" t="s">
        <v>298</v>
      </c>
      <c r="X23" s="82"/>
      <c r="AC23" t="s">
        <v>378</v>
      </c>
      <c r="AD23" t="s">
        <v>401</v>
      </c>
      <c r="AP23" t="s">
        <v>497</v>
      </c>
      <c r="AQ23" s="82"/>
      <c r="AW23" t="s">
        <v>398</v>
      </c>
    </row>
    <row r="24" spans="1:50" x14ac:dyDescent="0.25">
      <c r="U24" t="s">
        <v>299</v>
      </c>
      <c r="X24" s="82"/>
      <c r="AC24" t="s">
        <v>379</v>
      </c>
      <c r="AD24" t="s">
        <v>402</v>
      </c>
      <c r="AP24" t="s">
        <v>498</v>
      </c>
      <c r="AQ24" s="82"/>
      <c r="AW24" t="s">
        <v>401</v>
      </c>
    </row>
    <row r="25" spans="1:50" x14ac:dyDescent="0.25">
      <c r="U25" t="s">
        <v>300</v>
      </c>
      <c r="X25" s="82"/>
      <c r="AD25" t="s">
        <v>403</v>
      </c>
      <c r="AP25" t="s">
        <v>499</v>
      </c>
      <c r="AQ25" s="82"/>
      <c r="AW25" t="s">
        <v>402</v>
      </c>
    </row>
    <row r="26" spans="1:50" x14ac:dyDescent="0.25">
      <c r="X26" s="82"/>
      <c r="AD26" t="s">
        <v>404</v>
      </c>
      <c r="AQ26" s="82"/>
      <c r="AW26" t="s">
        <v>403</v>
      </c>
    </row>
    <row r="27" spans="1:50" x14ac:dyDescent="0.25">
      <c r="X27" s="82"/>
      <c r="AD27" t="s">
        <v>405</v>
      </c>
      <c r="AQ27" s="82"/>
      <c r="AW27" t="s">
        <v>404</v>
      </c>
    </row>
    <row r="28" spans="1:50" x14ac:dyDescent="0.25">
      <c r="X28" s="82"/>
      <c r="AD28" t="s">
        <v>406</v>
      </c>
      <c r="AQ28" s="82"/>
      <c r="AW28" t="s">
        <v>405</v>
      </c>
    </row>
    <row r="31" spans="1:50" ht="120" customHeight="1" x14ac:dyDescent="0.25">
      <c r="A31" s="83"/>
      <c r="B31" s="83"/>
      <c r="C31" s="83"/>
      <c r="D31" s="83"/>
      <c r="E31" s="83"/>
      <c r="F31" s="83"/>
      <c r="G31" s="83"/>
      <c r="H31" s="83"/>
      <c r="I31" s="83"/>
      <c r="J31" s="83"/>
      <c r="K31" s="83"/>
      <c r="L31" s="83"/>
      <c r="M31" s="83"/>
      <c r="N31" s="83"/>
      <c r="O31" s="83"/>
      <c r="P31" s="83"/>
      <c r="Q31" s="83"/>
      <c r="R31" s="83"/>
      <c r="S31" s="83"/>
      <c r="T31" s="83"/>
      <c r="U31" s="83"/>
      <c r="V31" s="83"/>
      <c r="W31" s="83"/>
      <c r="X31" s="83"/>
      <c r="Y31" s="83"/>
      <c r="Z31" s="83"/>
      <c r="AA31" s="83"/>
      <c r="AB31" s="83"/>
      <c r="AC31" s="83"/>
      <c r="AD31" s="83"/>
      <c r="AE31" s="83"/>
      <c r="AF31" s="83"/>
      <c r="AG31" s="83"/>
      <c r="AH31" s="83"/>
      <c r="AI31" s="83"/>
      <c r="AJ31" s="83"/>
      <c r="AK31" s="83"/>
      <c r="AL31" s="83"/>
      <c r="AM31" s="83"/>
      <c r="AN31" s="83"/>
      <c r="AO31" s="83"/>
      <c r="AP31" s="83"/>
      <c r="AQ31" s="83"/>
      <c r="AR31" s="83"/>
      <c r="AS31" s="83"/>
      <c r="AT31" s="83"/>
    </row>
    <row r="35" spans="1:1" x14ac:dyDescent="0.25">
      <c r="A35" s="90"/>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1"/>
  <sheetViews>
    <sheetView workbookViewId="0">
      <selection activeCell="A3" sqref="A3:B3"/>
    </sheetView>
  </sheetViews>
  <sheetFormatPr defaultRowHeight="17.25" x14ac:dyDescent="0.3"/>
  <cols>
    <col min="1" max="1" width="24.85546875" style="44" customWidth="1"/>
    <col min="2" max="2" width="9.140625" style="44" customWidth="1"/>
    <col min="3" max="16384" width="9.140625" style="44"/>
  </cols>
  <sheetData>
    <row r="1" spans="1:9" ht="21.75" customHeight="1" thickBot="1" x14ac:dyDescent="0.4">
      <c r="A1" s="448" t="str">
        <f>'Customer Option Cover Page'!C6</f>
        <v>John Doe</v>
      </c>
      <c r="B1" s="447"/>
      <c r="C1" s="447"/>
      <c r="D1" s="447"/>
      <c r="E1" s="447"/>
      <c r="F1" s="447"/>
      <c r="G1" s="447"/>
      <c r="H1" s="447"/>
      <c r="I1" s="449"/>
    </row>
    <row r="2" spans="1:9" x14ac:dyDescent="0.3">
      <c r="A2" s="444" t="str">
        <f>'Customer Option Cover Page'!C7</f>
        <v>123 avenue</v>
      </c>
      <c r="B2" s="445"/>
      <c r="C2" s="445"/>
      <c r="D2" s="445"/>
      <c r="E2" s="445"/>
      <c r="F2" s="445"/>
      <c r="G2" s="445"/>
      <c r="H2" s="445"/>
      <c r="I2" s="445"/>
    </row>
    <row r="3" spans="1:9" x14ac:dyDescent="0.3">
      <c r="A3" s="450" t="s">
        <v>0</v>
      </c>
      <c r="B3" s="422"/>
    </row>
    <row r="4" spans="1:9" x14ac:dyDescent="0.3">
      <c r="A4" s="45"/>
      <c r="B4" s="46"/>
    </row>
    <row r="5" spans="1:9" x14ac:dyDescent="0.3">
      <c r="A5" s="45"/>
      <c r="B5" s="46"/>
    </row>
    <row r="6" spans="1:9" x14ac:dyDescent="0.3">
      <c r="A6" s="45"/>
      <c r="B6" s="46"/>
    </row>
    <row r="7" spans="1:9" x14ac:dyDescent="0.3">
      <c r="A7" s="45"/>
      <c r="B7" s="46"/>
    </row>
    <row r="8" spans="1:9" x14ac:dyDescent="0.3">
      <c r="A8" s="45"/>
      <c r="B8" s="46"/>
    </row>
    <row r="9" spans="1:9" x14ac:dyDescent="0.3">
      <c r="A9" s="45"/>
      <c r="B9" s="46"/>
    </row>
    <row r="10" spans="1:9" x14ac:dyDescent="0.3">
      <c r="A10" s="45"/>
      <c r="B10" s="46"/>
    </row>
    <row r="11" spans="1:9" x14ac:dyDescent="0.3">
      <c r="A11" s="47" t="s">
        <v>24</v>
      </c>
      <c r="B11" s="48">
        <f>SUM(B4:B10)</f>
        <v>0</v>
      </c>
    </row>
  </sheetData>
  <mergeCells count="3">
    <mergeCell ref="A1:I1"/>
    <mergeCell ref="A3:B3"/>
    <mergeCell ref="A2:I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11"/>
  <sheetViews>
    <sheetView workbookViewId="0">
      <selection activeCell="A2" sqref="A2:XFD2"/>
    </sheetView>
  </sheetViews>
  <sheetFormatPr defaultRowHeight="17.25" x14ac:dyDescent="0.3"/>
  <cols>
    <col min="1" max="1" width="24.85546875" style="44" customWidth="1"/>
    <col min="2" max="2" width="9.140625" style="44" customWidth="1"/>
    <col min="3" max="16384" width="9.140625" style="44"/>
  </cols>
  <sheetData>
    <row r="1" spans="1:9" ht="21.75" customHeight="1" thickBot="1" x14ac:dyDescent="0.4">
      <c r="A1" s="448" t="str">
        <f>'Customer Option Cover Page'!C6</f>
        <v>John Doe</v>
      </c>
      <c r="B1" s="447"/>
      <c r="C1" s="447"/>
      <c r="D1" s="447"/>
      <c r="E1" s="447"/>
      <c r="F1" s="447"/>
      <c r="G1" s="447"/>
      <c r="H1" s="447"/>
      <c r="I1" s="449"/>
    </row>
    <row r="2" spans="1:9" x14ac:dyDescent="0.3">
      <c r="A2" s="444" t="str">
        <f>'Customer Option Cover Page'!C7</f>
        <v>123 avenue</v>
      </c>
      <c r="B2" s="445"/>
      <c r="C2" s="445"/>
      <c r="D2" s="445"/>
      <c r="E2" s="445"/>
      <c r="F2" s="445"/>
      <c r="G2" s="445"/>
      <c r="H2" s="445"/>
      <c r="I2" s="445"/>
    </row>
    <row r="3" spans="1:9" x14ac:dyDescent="0.3">
      <c r="A3" s="450" t="s">
        <v>0</v>
      </c>
      <c r="B3" s="422"/>
    </row>
    <row r="4" spans="1:9" x14ac:dyDescent="0.3">
      <c r="A4" s="45"/>
      <c r="B4" s="46"/>
    </row>
    <row r="5" spans="1:9" x14ac:dyDescent="0.3">
      <c r="A5" s="45"/>
      <c r="B5" s="46"/>
    </row>
    <row r="6" spans="1:9" x14ac:dyDescent="0.3">
      <c r="A6" s="45"/>
      <c r="B6" s="46"/>
    </row>
    <row r="7" spans="1:9" x14ac:dyDescent="0.3">
      <c r="A7" s="45"/>
      <c r="B7" s="46"/>
    </row>
    <row r="8" spans="1:9" x14ac:dyDescent="0.3">
      <c r="A8" s="45"/>
      <c r="B8" s="46"/>
    </row>
    <row r="9" spans="1:9" x14ac:dyDescent="0.3">
      <c r="A9" s="45"/>
      <c r="B9" s="46"/>
    </row>
    <row r="10" spans="1:9" x14ac:dyDescent="0.3">
      <c r="A10" s="45"/>
      <c r="B10" s="46"/>
    </row>
    <row r="11" spans="1:9" x14ac:dyDescent="0.3">
      <c r="A11" s="47" t="s">
        <v>24</v>
      </c>
      <c r="B11" s="48">
        <f>SUM(B4:B10)</f>
        <v>0</v>
      </c>
    </row>
  </sheetData>
  <mergeCells count="3">
    <mergeCell ref="A1:I1"/>
    <mergeCell ref="A3:B3"/>
    <mergeCell ref="A2:I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11"/>
  <sheetViews>
    <sheetView workbookViewId="0">
      <selection activeCell="A2" sqref="A2:XFD2"/>
    </sheetView>
  </sheetViews>
  <sheetFormatPr defaultRowHeight="17.25" x14ac:dyDescent="0.3"/>
  <cols>
    <col min="1" max="1" width="24.85546875" style="44" customWidth="1"/>
    <col min="2" max="2" width="9.140625" style="44" customWidth="1"/>
    <col min="3" max="16384" width="9.140625" style="44"/>
  </cols>
  <sheetData>
    <row r="1" spans="1:9" ht="21.75" customHeight="1" thickBot="1" x14ac:dyDescent="0.4">
      <c r="A1" s="448" t="str">
        <f>'Customer Option Cover Page'!C6</f>
        <v>John Doe</v>
      </c>
      <c r="B1" s="447"/>
      <c r="C1" s="447"/>
      <c r="D1" s="447"/>
      <c r="E1" s="447"/>
      <c r="F1" s="447"/>
      <c r="G1" s="447"/>
      <c r="H1" s="447"/>
      <c r="I1" s="449"/>
    </row>
    <row r="2" spans="1:9" x14ac:dyDescent="0.3">
      <c r="A2" s="444" t="str">
        <f>'Customer Option Cover Page'!C7</f>
        <v>123 avenue</v>
      </c>
      <c r="B2" s="445"/>
      <c r="C2" s="445"/>
      <c r="D2" s="445"/>
      <c r="E2" s="445"/>
      <c r="F2" s="445"/>
      <c r="G2" s="445"/>
      <c r="H2" s="445"/>
      <c r="I2" s="445"/>
    </row>
    <row r="3" spans="1:9" x14ac:dyDescent="0.3">
      <c r="A3" s="450" t="s">
        <v>0</v>
      </c>
      <c r="B3" s="422"/>
    </row>
    <row r="4" spans="1:9" x14ac:dyDescent="0.3">
      <c r="A4" s="45"/>
      <c r="B4" s="46"/>
    </row>
    <row r="5" spans="1:9" x14ac:dyDescent="0.3">
      <c r="A5" s="45"/>
      <c r="B5" s="46"/>
    </row>
    <row r="6" spans="1:9" x14ac:dyDescent="0.3">
      <c r="A6" s="45"/>
      <c r="B6" s="46"/>
    </row>
    <row r="7" spans="1:9" x14ac:dyDescent="0.3">
      <c r="A7" s="45"/>
      <c r="B7" s="46"/>
    </row>
    <row r="8" spans="1:9" x14ac:dyDescent="0.3">
      <c r="A8" s="45"/>
      <c r="B8" s="46"/>
    </row>
    <row r="9" spans="1:9" x14ac:dyDescent="0.3">
      <c r="A9" s="45"/>
      <c r="B9" s="46"/>
    </row>
    <row r="10" spans="1:9" x14ac:dyDescent="0.3">
      <c r="A10" s="45"/>
      <c r="B10" s="46"/>
    </row>
    <row r="11" spans="1:9" x14ac:dyDescent="0.3">
      <c r="A11" s="47" t="s">
        <v>24</v>
      </c>
      <c r="B11" s="48">
        <f>SUM(B4:B10)</f>
        <v>0</v>
      </c>
    </row>
  </sheetData>
  <mergeCells count="3">
    <mergeCell ref="A1:I1"/>
    <mergeCell ref="A3:B3"/>
    <mergeCell ref="A2:I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11"/>
  <sheetViews>
    <sheetView workbookViewId="0">
      <selection activeCell="A2" sqref="A2:XFD2"/>
    </sheetView>
  </sheetViews>
  <sheetFormatPr defaultRowHeight="17.25" x14ac:dyDescent="0.3"/>
  <cols>
    <col min="1" max="1" width="24.85546875" style="44" customWidth="1"/>
    <col min="2" max="2" width="9.140625" style="44" customWidth="1"/>
    <col min="3" max="16384" width="9.140625" style="44"/>
  </cols>
  <sheetData>
    <row r="1" spans="1:9" ht="21.75" customHeight="1" thickBot="1" x14ac:dyDescent="0.4">
      <c r="A1" s="448" t="str">
        <f>'Customer Option Cover Page'!C6</f>
        <v>John Doe</v>
      </c>
      <c r="B1" s="447"/>
      <c r="C1" s="447"/>
      <c r="D1" s="447"/>
      <c r="E1" s="447"/>
      <c r="F1" s="447"/>
      <c r="G1" s="447"/>
      <c r="H1" s="447"/>
      <c r="I1" s="449"/>
    </row>
    <row r="2" spans="1:9" x14ac:dyDescent="0.3">
      <c r="A2" s="444" t="str">
        <f>'Customer Option Cover Page'!C7</f>
        <v>123 avenue</v>
      </c>
      <c r="B2" s="445"/>
      <c r="C2" s="445"/>
      <c r="D2" s="445"/>
      <c r="E2" s="445"/>
      <c r="F2" s="445"/>
      <c r="G2" s="445"/>
      <c r="H2" s="445"/>
      <c r="I2" s="445"/>
    </row>
    <row r="3" spans="1:9" x14ac:dyDescent="0.3">
      <c r="A3" s="450" t="s">
        <v>0</v>
      </c>
      <c r="B3" s="422"/>
    </row>
    <row r="4" spans="1:9" x14ac:dyDescent="0.3">
      <c r="A4" s="45"/>
      <c r="B4" s="46"/>
    </row>
    <row r="5" spans="1:9" x14ac:dyDescent="0.3">
      <c r="A5" s="45"/>
      <c r="B5" s="46"/>
    </row>
    <row r="6" spans="1:9" x14ac:dyDescent="0.3">
      <c r="A6" s="45"/>
      <c r="B6" s="46"/>
    </row>
    <row r="7" spans="1:9" x14ac:dyDescent="0.3">
      <c r="A7" s="45"/>
      <c r="B7" s="46"/>
    </row>
    <row r="8" spans="1:9" x14ac:dyDescent="0.3">
      <c r="A8" s="45"/>
      <c r="B8" s="46"/>
    </row>
    <row r="9" spans="1:9" x14ac:dyDescent="0.3">
      <c r="A9" s="45"/>
      <c r="B9" s="46"/>
    </row>
    <row r="10" spans="1:9" x14ac:dyDescent="0.3">
      <c r="A10" s="45"/>
      <c r="B10" s="46"/>
    </row>
    <row r="11" spans="1:9" x14ac:dyDescent="0.3">
      <c r="A11" s="47" t="s">
        <v>24</v>
      </c>
      <c r="B11" s="48">
        <f>SUM(B4:B10)</f>
        <v>0</v>
      </c>
    </row>
  </sheetData>
  <mergeCells count="3">
    <mergeCell ref="A1:I1"/>
    <mergeCell ref="A3:B3"/>
    <mergeCell ref="A2:I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11"/>
  <sheetViews>
    <sheetView workbookViewId="0">
      <selection sqref="A1:XFD1048576"/>
    </sheetView>
  </sheetViews>
  <sheetFormatPr defaultRowHeight="17.25" x14ac:dyDescent="0.3"/>
  <cols>
    <col min="1" max="1" width="24.85546875" style="44" customWidth="1"/>
    <col min="2" max="2" width="9.140625" style="44" customWidth="1"/>
    <col min="3" max="16384" width="9.140625" style="44"/>
  </cols>
  <sheetData>
    <row r="1" spans="1:9" ht="21.75" customHeight="1" thickBot="1" x14ac:dyDescent="0.4">
      <c r="A1" s="448" t="str">
        <f>'Customer Option Cover Page'!C6</f>
        <v>John Doe</v>
      </c>
      <c r="B1" s="447"/>
      <c r="C1" s="447"/>
      <c r="D1" s="447"/>
      <c r="E1" s="447"/>
      <c r="F1" s="447"/>
      <c r="G1" s="447"/>
      <c r="H1" s="447"/>
      <c r="I1" s="449"/>
    </row>
    <row r="2" spans="1:9" x14ac:dyDescent="0.3">
      <c r="A2" s="444" t="str">
        <f>'Customer Option Cover Page'!C7</f>
        <v>123 avenue</v>
      </c>
      <c r="B2" s="445"/>
      <c r="C2" s="445"/>
      <c r="D2" s="445"/>
      <c r="E2" s="445"/>
      <c r="F2" s="445"/>
      <c r="G2" s="445"/>
      <c r="H2" s="445"/>
      <c r="I2" s="445"/>
    </row>
    <row r="3" spans="1:9" x14ac:dyDescent="0.3">
      <c r="A3" s="450" t="s">
        <v>0</v>
      </c>
      <c r="B3" s="422"/>
    </row>
    <row r="4" spans="1:9" x14ac:dyDescent="0.3">
      <c r="A4" s="45"/>
      <c r="B4" s="46"/>
    </row>
    <row r="5" spans="1:9" x14ac:dyDescent="0.3">
      <c r="A5" s="45"/>
      <c r="B5" s="46"/>
    </row>
    <row r="6" spans="1:9" x14ac:dyDescent="0.3">
      <c r="A6" s="45"/>
      <c r="B6" s="46"/>
    </row>
    <row r="7" spans="1:9" x14ac:dyDescent="0.3">
      <c r="A7" s="45"/>
      <c r="B7" s="46"/>
    </row>
    <row r="8" spans="1:9" x14ac:dyDescent="0.3">
      <c r="A8" s="45"/>
      <c r="B8" s="46"/>
    </row>
    <row r="9" spans="1:9" x14ac:dyDescent="0.3">
      <c r="A9" s="45"/>
      <c r="B9" s="46"/>
    </row>
    <row r="10" spans="1:9" x14ac:dyDescent="0.3">
      <c r="A10" s="45"/>
      <c r="B10" s="46"/>
    </row>
    <row r="11" spans="1:9" x14ac:dyDescent="0.3">
      <c r="A11" s="47" t="s">
        <v>24</v>
      </c>
      <c r="B11" s="48">
        <f>SUM(B4:B10)</f>
        <v>0</v>
      </c>
    </row>
  </sheetData>
  <mergeCells count="3">
    <mergeCell ref="A1:I1"/>
    <mergeCell ref="A3:B3"/>
    <mergeCell ref="A2:I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11"/>
  <sheetViews>
    <sheetView workbookViewId="0">
      <selection sqref="A1:XFD1048576"/>
    </sheetView>
  </sheetViews>
  <sheetFormatPr defaultRowHeight="17.25" x14ac:dyDescent="0.3"/>
  <cols>
    <col min="1" max="1" width="24.85546875" style="44" customWidth="1"/>
    <col min="2" max="2" width="9.140625" style="44" customWidth="1"/>
    <col min="3" max="16384" width="9.140625" style="44"/>
  </cols>
  <sheetData>
    <row r="1" spans="1:9" ht="21.75" customHeight="1" thickBot="1" x14ac:dyDescent="0.4">
      <c r="A1" s="448" t="str">
        <f>'Customer Option Cover Page'!C6</f>
        <v>John Doe</v>
      </c>
      <c r="B1" s="447"/>
      <c r="C1" s="447"/>
      <c r="D1" s="447"/>
      <c r="E1" s="447"/>
      <c r="F1" s="447"/>
      <c r="G1" s="447"/>
      <c r="H1" s="447"/>
      <c r="I1" s="449"/>
    </row>
    <row r="2" spans="1:9" x14ac:dyDescent="0.3">
      <c r="A2" s="444" t="str">
        <f>'Customer Option Cover Page'!C7</f>
        <v>123 avenue</v>
      </c>
      <c r="B2" s="445"/>
      <c r="C2" s="445"/>
      <c r="D2" s="445"/>
      <c r="E2" s="445"/>
      <c r="F2" s="445"/>
      <c r="G2" s="445"/>
      <c r="H2" s="445"/>
      <c r="I2" s="445"/>
    </row>
    <row r="3" spans="1:9" x14ac:dyDescent="0.3">
      <c r="A3" s="450" t="s">
        <v>0</v>
      </c>
      <c r="B3" s="422"/>
    </row>
    <row r="4" spans="1:9" x14ac:dyDescent="0.3">
      <c r="A4" s="45"/>
      <c r="B4" s="46"/>
    </row>
    <row r="5" spans="1:9" x14ac:dyDescent="0.3">
      <c r="A5" s="45"/>
      <c r="B5" s="46"/>
    </row>
    <row r="6" spans="1:9" x14ac:dyDescent="0.3">
      <c r="A6" s="45"/>
      <c r="B6" s="46"/>
    </row>
    <row r="7" spans="1:9" x14ac:dyDescent="0.3">
      <c r="A7" s="45"/>
      <c r="B7" s="46"/>
    </row>
    <row r="8" spans="1:9" x14ac:dyDescent="0.3">
      <c r="A8" s="45"/>
      <c r="B8" s="46"/>
    </row>
    <row r="9" spans="1:9" x14ac:dyDescent="0.3">
      <c r="A9" s="45"/>
      <c r="B9" s="46"/>
    </row>
    <row r="10" spans="1:9" x14ac:dyDescent="0.3">
      <c r="A10" s="45"/>
      <c r="B10" s="46"/>
    </row>
    <row r="11" spans="1:9" x14ac:dyDescent="0.3">
      <c r="A11" s="47" t="s">
        <v>24</v>
      </c>
      <c r="B11" s="48">
        <f>SUM(B4:B10)</f>
        <v>0</v>
      </c>
    </row>
  </sheetData>
  <mergeCells count="3">
    <mergeCell ref="A1:I1"/>
    <mergeCell ref="A3:B3"/>
    <mergeCell ref="A2:I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11"/>
  <sheetViews>
    <sheetView workbookViewId="0">
      <selection sqref="A1:XFD1048576"/>
    </sheetView>
  </sheetViews>
  <sheetFormatPr defaultRowHeight="17.25" x14ac:dyDescent="0.3"/>
  <cols>
    <col min="1" max="1" width="24.85546875" style="44" customWidth="1"/>
    <col min="2" max="2" width="9.140625" style="44" customWidth="1"/>
    <col min="3" max="16384" width="9.140625" style="44"/>
  </cols>
  <sheetData>
    <row r="1" spans="1:9" ht="21.75" customHeight="1" thickBot="1" x14ac:dyDescent="0.4">
      <c r="A1" s="448" t="str">
        <f>'Customer Option Cover Page'!C6</f>
        <v>John Doe</v>
      </c>
      <c r="B1" s="447"/>
      <c r="C1" s="447"/>
      <c r="D1" s="447"/>
      <c r="E1" s="447"/>
      <c r="F1" s="447"/>
      <c r="G1" s="447"/>
      <c r="H1" s="447"/>
      <c r="I1" s="449"/>
    </row>
    <row r="2" spans="1:9" x14ac:dyDescent="0.3">
      <c r="A2" s="444" t="str">
        <f>'Customer Option Cover Page'!C7</f>
        <v>123 avenue</v>
      </c>
      <c r="B2" s="445"/>
      <c r="C2" s="445"/>
      <c r="D2" s="445"/>
      <c r="E2" s="445"/>
      <c r="F2" s="445"/>
      <c r="G2" s="445"/>
      <c r="H2" s="445"/>
      <c r="I2" s="445"/>
    </row>
    <row r="3" spans="1:9" x14ac:dyDescent="0.3">
      <c r="A3" s="450" t="s">
        <v>0</v>
      </c>
      <c r="B3" s="422"/>
    </row>
    <row r="4" spans="1:9" x14ac:dyDescent="0.3">
      <c r="A4" s="45"/>
      <c r="B4" s="46"/>
    </row>
    <row r="5" spans="1:9" x14ac:dyDescent="0.3">
      <c r="A5" s="45"/>
      <c r="B5" s="46"/>
    </row>
    <row r="6" spans="1:9" x14ac:dyDescent="0.3">
      <c r="A6" s="45"/>
      <c r="B6" s="46"/>
    </row>
    <row r="7" spans="1:9" x14ac:dyDescent="0.3">
      <c r="A7" s="45"/>
      <c r="B7" s="46"/>
    </row>
    <row r="8" spans="1:9" x14ac:dyDescent="0.3">
      <c r="A8" s="45"/>
      <c r="B8" s="46"/>
    </row>
    <row r="9" spans="1:9" x14ac:dyDescent="0.3">
      <c r="A9" s="45"/>
      <c r="B9" s="46"/>
    </row>
    <row r="10" spans="1:9" x14ac:dyDescent="0.3">
      <c r="A10" s="45"/>
      <c r="B10" s="46"/>
    </row>
    <row r="11" spans="1:9" x14ac:dyDescent="0.3">
      <c r="A11" s="47" t="s">
        <v>24</v>
      </c>
      <c r="B11" s="48">
        <f>SUM(B4:B10)</f>
        <v>0</v>
      </c>
    </row>
  </sheetData>
  <mergeCells count="3">
    <mergeCell ref="A1:I1"/>
    <mergeCell ref="A3:B3"/>
    <mergeCell ref="A2:I2"/>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I11"/>
  <sheetViews>
    <sheetView workbookViewId="0">
      <selection activeCell="G26" sqref="G26"/>
    </sheetView>
  </sheetViews>
  <sheetFormatPr defaultRowHeight="17.25" x14ac:dyDescent="0.3"/>
  <cols>
    <col min="1" max="1" width="24.85546875" style="44" customWidth="1"/>
    <col min="2" max="2" width="9.140625" style="44" customWidth="1"/>
    <col min="3" max="16384" width="9.140625" style="44"/>
  </cols>
  <sheetData>
    <row r="1" spans="1:9" ht="21.75" customHeight="1" thickBot="1" x14ac:dyDescent="0.4">
      <c r="A1" s="448" t="str">
        <f>'Customer Option Cover Page'!C6</f>
        <v>John Doe</v>
      </c>
      <c r="B1" s="447"/>
      <c r="C1" s="447"/>
      <c r="D1" s="447"/>
      <c r="E1" s="447"/>
      <c r="F1" s="447"/>
      <c r="G1" s="447"/>
      <c r="H1" s="447"/>
      <c r="I1" s="449"/>
    </row>
    <row r="2" spans="1:9" x14ac:dyDescent="0.3">
      <c r="A2" s="444" t="str">
        <f>'Customer Option Cover Page'!C7</f>
        <v>123 avenue</v>
      </c>
      <c r="B2" s="445"/>
      <c r="C2" s="445"/>
      <c r="D2" s="445"/>
      <c r="E2" s="445"/>
      <c r="F2" s="445"/>
      <c r="G2" s="445"/>
      <c r="H2" s="445"/>
      <c r="I2" s="445"/>
    </row>
    <row r="3" spans="1:9" x14ac:dyDescent="0.3">
      <c r="A3" s="450" t="s">
        <v>0</v>
      </c>
      <c r="B3" s="422"/>
    </row>
    <row r="4" spans="1:9" x14ac:dyDescent="0.3">
      <c r="A4" s="45"/>
      <c r="B4" s="46"/>
    </row>
    <row r="5" spans="1:9" x14ac:dyDescent="0.3">
      <c r="A5" s="45"/>
      <c r="B5" s="46"/>
    </row>
    <row r="6" spans="1:9" x14ac:dyDescent="0.3">
      <c r="A6" s="45"/>
      <c r="B6" s="46"/>
    </row>
    <row r="7" spans="1:9" x14ac:dyDescent="0.3">
      <c r="A7" s="45"/>
      <c r="B7" s="46"/>
    </row>
    <row r="8" spans="1:9" x14ac:dyDescent="0.3">
      <c r="A8" s="45"/>
      <c r="B8" s="46"/>
    </row>
    <row r="9" spans="1:9" x14ac:dyDescent="0.3">
      <c r="A9" s="45"/>
      <c r="B9" s="46"/>
    </row>
    <row r="10" spans="1:9" x14ac:dyDescent="0.3">
      <c r="A10" s="45"/>
      <c r="B10" s="46"/>
    </row>
    <row r="11" spans="1:9" x14ac:dyDescent="0.3">
      <c r="A11" s="47" t="s">
        <v>24</v>
      </c>
      <c r="B11" s="48">
        <f>SUM(B4:B10)</f>
        <v>0</v>
      </c>
    </row>
  </sheetData>
  <mergeCells count="3">
    <mergeCell ref="A1:I1"/>
    <mergeCell ref="A3:B3"/>
    <mergeCell ref="A2:I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56</vt:i4>
      </vt:variant>
    </vt:vector>
  </HeadingPairs>
  <TitlesOfParts>
    <vt:vector size="70" baseType="lpstr">
      <vt:lpstr>Customer Option Cover Page</vt:lpstr>
      <vt:lpstr>Allowances</vt:lpstr>
      <vt:lpstr>Options</vt:lpstr>
      <vt:lpstr>Countertops</vt:lpstr>
      <vt:lpstr>Tile-Floor</vt:lpstr>
      <vt:lpstr>Tile Product Lists</vt:lpstr>
      <vt:lpstr>Cabinets</vt:lpstr>
      <vt:lpstr>Pavers</vt:lpstr>
      <vt:lpstr>Stone</vt:lpstr>
      <vt:lpstr>Summer Kitchen</vt:lpstr>
      <vt:lpstr>Sheet8</vt:lpstr>
      <vt:lpstr>Sheet9</vt:lpstr>
      <vt:lpstr>Sheet10</vt:lpstr>
      <vt:lpstr>Sheet11</vt:lpstr>
      <vt:lpstr>Tile_Level_Carpet</vt:lpstr>
      <vt:lpstr>Tile_Level_Curb</vt:lpstr>
      <vt:lpstr>Tile_Level_Floor_Tile</vt:lpstr>
      <vt:lpstr>Tile_Level_Kitchen_Backsplash</vt:lpstr>
      <vt:lpstr>Tile_Level_Knee_Wall_Cap</vt:lpstr>
      <vt:lpstr>'Tile Product Lists'!Tile_Level_List</vt:lpstr>
      <vt:lpstr>Tile_Level_Listel</vt:lpstr>
      <vt:lpstr>Tile_Level_LVP</vt:lpstr>
      <vt:lpstr>Tile_Level_Shower_Pan_Tile</vt:lpstr>
      <vt:lpstr>Tile_Level_Shower_Tub_Wall_Tile</vt:lpstr>
      <vt:lpstr>Tile_Level_Sill</vt:lpstr>
      <vt:lpstr>Tile_Level_Wood</vt:lpstr>
      <vt:lpstr>Tile_Product_Carpet_Level_1</vt:lpstr>
      <vt:lpstr>Tile_Product_Curb_Level_1</vt:lpstr>
      <vt:lpstr>Tile_Product_Floor_Tile_Level_1</vt:lpstr>
      <vt:lpstr>Tile_Product_Floor_Tile_Level_2</vt:lpstr>
      <vt:lpstr>Tile_Product_Floor_Tile_Level_3</vt:lpstr>
      <vt:lpstr>Tile_Product_Floor_Tile_Level_4</vt:lpstr>
      <vt:lpstr>Tile_Product_Floor_Tile_Level_5</vt:lpstr>
      <vt:lpstr>Tile_Product_Floor_Tile_Level_6</vt:lpstr>
      <vt:lpstr>Tile_Product_Floor_Tile_Level_7</vt:lpstr>
      <vt:lpstr>Tile_Product_Floor_Tile_Level_8</vt:lpstr>
      <vt:lpstr>Tile_Product_Floor_Tile_Level_9</vt:lpstr>
      <vt:lpstr>Tile_Product_Kitchen_Backsplash_Level_1</vt:lpstr>
      <vt:lpstr>Tile_Product_Kitchen_Backsplash_Level_2</vt:lpstr>
      <vt:lpstr>Tile_Product_Kitchen_Backsplash_Level_3</vt:lpstr>
      <vt:lpstr>Tile_Product_Kitchen_Backsplash_Level_4</vt:lpstr>
      <vt:lpstr>Tile_Product_Kitchen_Backsplash_Level_5</vt:lpstr>
      <vt:lpstr>Tile_Product_Kitchen_Backsplash_Level_6</vt:lpstr>
      <vt:lpstr>Tile_Product_Kitchen_Backsplash_Level_7</vt:lpstr>
      <vt:lpstr>Tile_Product_Kitchen_Backsplash_Level_8</vt:lpstr>
      <vt:lpstr>Tile_Product_Kitchen_Backsplash_Level_9</vt:lpstr>
      <vt:lpstr>Tile_Product_Knee_Wall_Cap_Level_1</vt:lpstr>
      <vt:lpstr>Tile_Product_Listel_Level_1</vt:lpstr>
      <vt:lpstr>Tile_Product_Listel_Level_2</vt:lpstr>
      <vt:lpstr>Tile_Product_Listel_Level_3</vt:lpstr>
      <vt:lpstr>Tile_Product_Listel_Level_4</vt:lpstr>
      <vt:lpstr>Tile_Product_Listel_Level_5</vt:lpstr>
      <vt:lpstr>Tile_Product_LVP_Level_1</vt:lpstr>
      <vt:lpstr>Tile_Product_Shower_Pan_Tile_Level_1</vt:lpstr>
      <vt:lpstr>Tile_Product_Shower_Pan_Tile_Level_2</vt:lpstr>
      <vt:lpstr>Tile_Product_Shower_Pan_Tile_Level_3</vt:lpstr>
      <vt:lpstr>Tile_Product_Shower_Pan_Tile_Level_4</vt:lpstr>
      <vt:lpstr>Tile_Product_Shower_Pan_Tile_Level_5</vt:lpstr>
      <vt:lpstr>Tile_Product_Shower_Tub_Wall_Tile_Level_1</vt:lpstr>
      <vt:lpstr>Tile_Product_Shower_Tub_Wall_Tile_Level_2</vt:lpstr>
      <vt:lpstr>Tile_Product_Shower_Tub_Wall_Tile_Level_3</vt:lpstr>
      <vt:lpstr>Tile_Product_Shower_Tub_Wall_Tile_Level_4</vt:lpstr>
      <vt:lpstr>Tile_Product_Shower_Tub_Wall_Tile_Level_5</vt:lpstr>
      <vt:lpstr>Tile_Product_Shower_Tub_Wall_Tile_Level_6</vt:lpstr>
      <vt:lpstr>Tile_Product_Shower_Tub_Wall_Tile_Level_7</vt:lpstr>
      <vt:lpstr>Tile_Product_Shower_Tub_Wall_Tile_Level_8</vt:lpstr>
      <vt:lpstr>Tile_Product_Shower_Tub_Wall_Tile_Level_9</vt:lpstr>
      <vt:lpstr>Tile_Product_Sill_Level_1</vt:lpstr>
      <vt:lpstr>Tile_Product_Wood_Level_1</vt:lpstr>
      <vt:lpstr>Tile_Section_List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Stephanie</dc:creator>
  <cp:lastModifiedBy>Trevor Ragno</cp:lastModifiedBy>
  <dcterms:created xsi:type="dcterms:W3CDTF">2023-02-06T17:45:56Z</dcterms:created>
  <dcterms:modified xsi:type="dcterms:W3CDTF">2026-08-25T15:37:36Z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lanSwiftJobName">
    <vt:lpwstr/>
  </property>
  <property fmtid="{D5CDD505-2E9C-101B-9397-08002B2CF9AE}" pid="3" name="PlanSwiftJobGuid">
    <vt:lpwstr/>
  </property>
  <property fmtid="{D5CDD505-2E9C-101B-9397-08002B2CF9AE}" pid="4" name="LinkedDataId">
    <vt:lpwstr>{A0AD26D4-BAF8-457D-954D-5C81F4AD7830}</vt:lpwstr>
  </property>
</Properties>
</file>