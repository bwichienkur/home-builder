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O:\VERANDA BAY MODEL 2 (Monique)\05 Customer Option Form\"/>
    </mc:Choice>
  </mc:AlternateContent>
  <xr:revisionPtr revIDLastSave="0" documentId="13_ncr:1_{01F67F5E-827E-404D-AE28-C925F96BA7CB}" xr6:coauthVersionLast="47" xr6:coauthVersionMax="47" xr10:uidLastSave="{00000000-0000-0000-0000-000000000000}"/>
  <bookViews>
    <workbookView xWindow="28680" yWindow="-120" windowWidth="29040" windowHeight="15720" tabRatio="911" xr2:uid="{122F9A66-CAFF-4AFD-AFD7-FB7632C6B643}"/>
  </bookViews>
  <sheets>
    <sheet name="Customer Option Cover Page " sheetId="16" r:id="rId1"/>
    <sheet name="Allowances" sheetId="12" r:id="rId2"/>
    <sheet name="Options" sheetId="13" r:id="rId3"/>
    <sheet name="DNU  Customer Option Cover Page" sheetId="1" r:id="rId4"/>
    <sheet name="Pavers" sheetId="2" r:id="rId5"/>
    <sheet name="Summer Kitchen" sheetId="6" r:id="rId6"/>
    <sheet name="Stone" sheetId="3" r:id="rId7"/>
    <sheet name="Fireplace" sheetId="17" r:id="rId8"/>
    <sheet name="Plumbing" sheetId="24" r:id="rId9"/>
    <sheet name="HVAC" sheetId="29" r:id="rId10"/>
    <sheet name="Laundry dog crate location cost" sheetId="33" r:id="rId11"/>
    <sheet name="Cabinets modern me" sheetId="31" r:id="rId12"/>
    <sheet name="Cabinets VERNS" sheetId="34" r:id="rId13"/>
    <sheet name="Stop &amp; Drop" sheetId="9" r:id="rId14"/>
    <sheet name="Pantry" sheetId="11" r:id="rId15"/>
    <sheet name="WetBar" sheetId="18" r:id="rId16"/>
    <sheet name="Entertainment" sheetId="19" r:id="rId17"/>
    <sheet name="Closets" sheetId="23" r:id="rId18"/>
    <sheet name="Tile" sheetId="7" r:id="rId19"/>
    <sheet name="Shelving" sheetId="21" r:id="rId20"/>
    <sheet name="Beams" sheetId="22" r:id="rId21"/>
    <sheet name="Granite" sheetId="5" r:id="rId22"/>
    <sheet name="Bath Accessories" sheetId="25" r:id="rId23"/>
    <sheet name="Cabinets" sheetId="4" r:id="rId24"/>
    <sheet name="Specialties" sheetId="30" r:id="rId25"/>
    <sheet name="Base Plumbing" sheetId="28" r:id="rId26"/>
    <sheet name="Trim" sheetId="14" r:id="rId27"/>
    <sheet name="Propane" sheetId="10" r:id="rId28"/>
    <sheet name="Exterior Finish" sheetId="20" r:id="rId29"/>
    <sheet name="Exterior Doors" sheetId="26" r:id="rId30"/>
    <sheet name="Garage" sheetId="27" r:id="rId31"/>
  </sheets>
  <calcPr calcId="191029"/>
  <customWorkbookViews>
    <customWorkbookView name="Monique - Personal View" guid="{26FE7078-0398-4426-AF83-8A5AF3F4232D}" mergeInterval="0" personalView="1" xWindow="481" yWindow="120" windowWidth="1272" windowHeight="956" activeSheetId="1"/>
    <customWorkbookView name="Sarah - Personal View" guid="{EF0F83D7-7255-463C-BAD8-00D44B99E347}" mergeInterval="0" personalView="1" maximized="1" xWindow="-8" yWindow="-8" windowWidth="1936" windowHeight="1048" activeSheetId="1"/>
    <customWorkbookView name="Stephanie - Personal View" guid="{1D143CF9-D561-438B-9881-64C8826F55C9}" mergeInterval="0" personalView="1" maximized="1" xWindow="-8" yWindow="-8" windowWidth="1936" windowHeight="1048" activeSheetId="1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8" l="1"/>
  <c r="I16" i="6"/>
  <c r="I15" i="6"/>
  <c r="I26" i="6"/>
  <c r="I27" i="6" s="1"/>
  <c r="I12" i="6"/>
  <c r="I18" i="6" l="1"/>
  <c r="I31" i="6" l="1"/>
  <c r="I32" i="6" s="1"/>
  <c r="E18" i="6" l="1"/>
  <c r="E13" i="20"/>
  <c r="E15" i="18" l="1"/>
  <c r="E5" i="18"/>
  <c r="B39" i="11"/>
  <c r="B40" i="11" s="1"/>
  <c r="B21" i="11"/>
  <c r="B29" i="11"/>
  <c r="C15" i="33"/>
  <c r="C13" i="33"/>
  <c r="C12" i="33"/>
  <c r="C12" i="34"/>
  <c r="C8" i="34"/>
  <c r="C27" i="34"/>
  <c r="C37" i="34" s="1"/>
  <c r="B7" i="34"/>
  <c r="B22" i="34" s="1"/>
  <c r="B34" i="34"/>
  <c r="B37" i="34"/>
  <c r="E20" i="34"/>
  <c r="D30" i="34"/>
  <c r="E30" i="34" s="1"/>
  <c r="D28" i="34"/>
  <c r="E28" i="34" s="1"/>
  <c r="C21" i="34"/>
  <c r="C53" i="34"/>
  <c r="B53" i="34"/>
  <c r="D36" i="34"/>
  <c r="E36" i="34" s="1"/>
  <c r="D32" i="34"/>
  <c r="E32" i="34" s="1"/>
  <c r="B20" i="11"/>
  <c r="B7" i="21"/>
  <c r="B20" i="19"/>
  <c r="C17" i="33" l="1"/>
  <c r="C22" i="34"/>
  <c r="B23" i="34" s="1"/>
  <c r="B24" i="34" s="1"/>
  <c r="D27" i="34"/>
  <c r="E27" i="34" s="1"/>
  <c r="E38" i="34" s="1"/>
  <c r="C54" i="34"/>
  <c r="B38" i="34"/>
  <c r="F29" i="5"/>
  <c r="E29" i="5"/>
  <c r="B20" i="33"/>
  <c r="B23" i="33" s="1"/>
  <c r="B21" i="33"/>
  <c r="B22" i="33"/>
  <c r="B16" i="5"/>
  <c r="C47" i="5"/>
  <c r="B46" i="5"/>
  <c r="D35" i="18" l="1"/>
  <c r="B38" i="18"/>
  <c r="E9" i="18"/>
  <c r="B9" i="18"/>
  <c r="C55" i="5"/>
  <c r="C54" i="5"/>
  <c r="C51" i="5"/>
  <c r="B50" i="5"/>
  <c r="C48" i="5"/>
  <c r="B42" i="5"/>
  <c r="B41" i="5"/>
  <c r="B40" i="5"/>
  <c r="B39" i="5"/>
  <c r="C37" i="5"/>
  <c r="C36" i="5"/>
  <c r="E36" i="5" s="1"/>
  <c r="B35" i="5"/>
  <c r="C33" i="5"/>
  <c r="C31" i="5"/>
  <c r="C29" i="5"/>
  <c r="C26" i="5"/>
  <c r="C25" i="5"/>
  <c r="B24" i="5"/>
  <c r="B20" i="5"/>
  <c r="E25" i="5" l="1"/>
  <c r="C57" i="5"/>
  <c r="B57" i="5"/>
  <c r="B59" i="5" s="1"/>
  <c r="E57" i="5" l="1"/>
  <c r="B22" i="29"/>
  <c r="B23" i="29" s="1"/>
  <c r="B24" i="29" s="1"/>
  <c r="B15" i="29"/>
  <c r="B16" i="29" s="1"/>
  <c r="B17" i="29" s="1"/>
  <c r="B9" i="29"/>
  <c r="B10" i="29" s="1"/>
  <c r="E12" i="6"/>
  <c r="H97" i="16"/>
  <c r="H96" i="16"/>
  <c r="H94" i="16"/>
  <c r="H93" i="16"/>
  <c r="C3" i="33" l="1"/>
  <c r="C4" i="33"/>
  <c r="C6" i="33"/>
  <c r="B14" i="10"/>
  <c r="H14" i="22"/>
  <c r="H10" i="22"/>
  <c r="H9" i="22"/>
  <c r="G10" i="22"/>
  <c r="G9" i="22"/>
  <c r="H8" i="22"/>
  <c r="G8" i="22"/>
  <c r="H7" i="22"/>
  <c r="E13" i="22"/>
  <c r="G7" i="22"/>
  <c r="E5" i="22"/>
  <c r="B19" i="17"/>
  <c r="B20" i="17" s="1"/>
  <c r="B37" i="17"/>
  <c r="Q29" i="7"/>
  <c r="O44" i="7"/>
  <c r="O43" i="7"/>
  <c r="O36" i="7"/>
  <c r="O35" i="7"/>
  <c r="O27" i="7"/>
  <c r="O25" i="7"/>
  <c r="S32" i="7"/>
  <c r="S31" i="7"/>
  <c r="O46" i="7"/>
  <c r="O49" i="7"/>
  <c r="B23" i="18"/>
  <c r="B25" i="18" s="1"/>
  <c r="B26" i="18" s="1"/>
  <c r="C8" i="33" l="1"/>
  <c r="N10" i="22"/>
  <c r="O10" i="22" s="1"/>
  <c r="N9" i="22"/>
  <c r="O9" i="22" s="1"/>
  <c r="N8" i="22"/>
  <c r="N7" i="22"/>
  <c r="M7" i="22"/>
  <c r="M10" i="22"/>
  <c r="M9" i="22"/>
  <c r="M8" i="22"/>
  <c r="K11" i="22"/>
  <c r="J22" i="31"/>
  <c r="J37" i="31" s="1"/>
  <c r="K12" i="31"/>
  <c r="C53" i="31"/>
  <c r="B53" i="31"/>
  <c r="F36" i="31"/>
  <c r="G36" i="31" s="1"/>
  <c r="F34" i="31"/>
  <c r="G34" i="31" s="1"/>
  <c r="F32" i="31"/>
  <c r="G32" i="31" s="1"/>
  <c r="F30" i="31"/>
  <c r="G30" i="31" s="1"/>
  <c r="F29" i="31"/>
  <c r="G29" i="31" s="1"/>
  <c r="F28" i="31"/>
  <c r="G28" i="31" s="1"/>
  <c r="F27" i="31"/>
  <c r="G27" i="31" s="1"/>
  <c r="E22" i="31"/>
  <c r="E37" i="31" s="1"/>
  <c r="D22" i="31"/>
  <c r="D37" i="31" s="1"/>
  <c r="B22" i="31"/>
  <c r="C12" i="31"/>
  <c r="C22" i="31" s="1"/>
  <c r="M11" i="22" l="1"/>
  <c r="O7" i="22"/>
  <c r="O8" i="22"/>
  <c r="N11" i="22"/>
  <c r="B23" i="31"/>
  <c r="C37" i="31"/>
  <c r="C54" i="31"/>
  <c r="G38" i="31"/>
  <c r="O11" i="22" l="1"/>
  <c r="B24" i="31"/>
  <c r="B37" i="31" s="1"/>
  <c r="B38" i="31" s="1"/>
  <c r="D40" i="31" s="1"/>
  <c r="D42" i="31" s="1"/>
  <c r="H37" i="16"/>
  <c r="B18" i="20"/>
  <c r="O69" i="7"/>
  <c r="M69" i="7"/>
  <c r="K69" i="7"/>
  <c r="G69" i="7"/>
  <c r="E33" i="23" l="1"/>
  <c r="B33" i="23"/>
  <c r="E23" i="23"/>
  <c r="B23" i="23"/>
  <c r="E31" i="23"/>
  <c r="E30" i="23"/>
  <c r="E21" i="23"/>
  <c r="E20" i="23"/>
  <c r="B21" i="23"/>
  <c r="B20" i="23"/>
  <c r="B31" i="23"/>
  <c r="B30" i="23"/>
  <c r="G76" i="7"/>
  <c r="G74" i="7"/>
  <c r="G78" i="7" s="1"/>
  <c r="K49" i="7"/>
  <c r="G49" i="7"/>
  <c r="K72" i="7"/>
  <c r="G72" i="7"/>
  <c r="M72" i="7" s="1"/>
  <c r="K44" i="7"/>
  <c r="M44" i="7" s="1"/>
  <c r="G44" i="7"/>
  <c r="K43" i="7"/>
  <c r="M43" i="7" s="1"/>
  <c r="G43" i="7"/>
  <c r="K42" i="7"/>
  <c r="G42" i="7"/>
  <c r="K46" i="7"/>
  <c r="G46" i="7"/>
  <c r="M46" i="7" s="1"/>
  <c r="M38" i="7"/>
  <c r="K38" i="7"/>
  <c r="G38" i="7"/>
  <c r="K35" i="7"/>
  <c r="G35" i="7"/>
  <c r="M35" i="7" s="1"/>
  <c r="K34" i="7"/>
  <c r="G34" i="7"/>
  <c r="K36" i="7"/>
  <c r="G36" i="7"/>
  <c r="M36" i="7" s="1"/>
  <c r="B34" i="7"/>
  <c r="K30" i="7"/>
  <c r="M30" i="7" s="1"/>
  <c r="G30" i="7"/>
  <c r="K27" i="7"/>
  <c r="M27" i="7" s="1"/>
  <c r="K26" i="7"/>
  <c r="M26" i="7" s="1"/>
  <c r="G26" i="7"/>
  <c r="G27" i="7"/>
  <c r="K25" i="7"/>
  <c r="M25" i="7" s="1"/>
  <c r="G25" i="7"/>
  <c r="K24" i="7"/>
  <c r="M24" i="7" s="1"/>
  <c r="O24" i="7" s="1"/>
  <c r="G24" i="7"/>
  <c r="B25" i="7"/>
  <c r="B16" i="2"/>
  <c r="B18" i="2" s="1"/>
  <c r="B20" i="2" s="1"/>
  <c r="B27" i="2"/>
  <c r="B30" i="2" s="1"/>
  <c r="B25" i="2"/>
  <c r="B24" i="2"/>
  <c r="B64" i="2"/>
  <c r="B67" i="2" s="1"/>
  <c r="B53" i="2"/>
  <c r="B55" i="2" s="1"/>
  <c r="B57" i="2" s="1"/>
  <c r="B62" i="2"/>
  <c r="B61" i="2"/>
  <c r="B46" i="2"/>
  <c r="B45" i="2"/>
  <c r="B37" i="2"/>
  <c r="B39" i="2" s="1"/>
  <c r="B41" i="2" s="1"/>
  <c r="E13" i="18"/>
  <c r="E11" i="18"/>
  <c r="E6" i="18"/>
  <c r="E10" i="9"/>
  <c r="E17" i="9" s="1"/>
  <c r="E18" i="19"/>
  <c r="E17" i="19"/>
  <c r="E20" i="19" s="1"/>
  <c r="E21" i="19" s="1"/>
  <c r="E9" i="19"/>
  <c r="G45" i="4"/>
  <c r="G41" i="4"/>
  <c r="G42" i="4"/>
  <c r="G32" i="4"/>
  <c r="G40" i="4"/>
  <c r="G46" i="4" s="1"/>
  <c r="G30" i="4"/>
  <c r="G29" i="4"/>
  <c r="G28" i="4"/>
  <c r="G21" i="4"/>
  <c r="G35" i="4" s="1"/>
  <c r="G37" i="4" s="1"/>
  <c r="B8" i="23"/>
  <c r="B13" i="30"/>
  <c r="B49" i="30"/>
  <c r="B37" i="30"/>
  <c r="B25" i="30"/>
  <c r="M42" i="7" l="1"/>
  <c r="M34" i="7"/>
  <c r="B22" i="23"/>
  <c r="E22" i="23"/>
  <c r="B32" i="23"/>
  <c r="E32" i="23"/>
  <c r="E16" i="18"/>
  <c r="M49" i="7"/>
  <c r="B69" i="2"/>
  <c r="B32" i="2"/>
  <c r="B48" i="2"/>
  <c r="O74" i="7" l="1"/>
  <c r="G79" i="7" s="1"/>
  <c r="G81" i="7" s="1"/>
  <c r="M74" i="7"/>
  <c r="B12" i="30"/>
  <c r="B14" i="30" s="1"/>
  <c r="A2" i="30"/>
  <c r="A1" i="30"/>
  <c r="B53" i="3"/>
  <c r="D50" i="3"/>
  <c r="B50" i="3"/>
  <c r="B47" i="3"/>
  <c r="B44" i="24"/>
  <c r="B46" i="24"/>
  <c r="B48" i="24" s="1"/>
  <c r="B49" i="24" s="1"/>
  <c r="B36" i="24"/>
  <c r="B38" i="24" s="1"/>
  <c r="B39" i="24" s="1"/>
  <c r="B34" i="24"/>
  <c r="B26" i="24"/>
  <c r="B24" i="24"/>
  <c r="C15" i="25"/>
  <c r="C13" i="25"/>
  <c r="B16" i="24"/>
  <c r="B14" i="24"/>
  <c r="B18" i="24" s="1"/>
  <c r="A2" i="29"/>
  <c r="A1" i="29"/>
  <c r="B38" i="17"/>
  <c r="O60" i="28"/>
  <c r="O59" i="28"/>
  <c r="O50" i="28"/>
  <c r="O49" i="28"/>
  <c r="O48" i="28"/>
  <c r="O43" i="28"/>
  <c r="O38" i="28"/>
  <c r="O33" i="28"/>
  <c r="O26" i="28"/>
  <c r="O25" i="28"/>
  <c r="O78" i="28" s="1"/>
  <c r="O82" i="28" s="1"/>
  <c r="B28" i="24" l="1"/>
  <c r="B29" i="24" s="1"/>
  <c r="C17" i="25"/>
  <c r="C19" i="25" s="1"/>
  <c r="B11" i="23"/>
  <c r="A2" i="23"/>
  <c r="A1" i="23"/>
  <c r="B14" i="27" l="1"/>
  <c r="B18" i="27"/>
  <c r="B20" i="27" s="1"/>
  <c r="B8" i="27"/>
  <c r="A2" i="27"/>
  <c r="A1" i="27"/>
  <c r="B24" i="26"/>
  <c r="B22" i="26"/>
  <c r="B21" i="26"/>
  <c r="B19" i="26"/>
  <c r="B10" i="26"/>
  <c r="A2" i="26"/>
  <c r="A1" i="26"/>
  <c r="G25" i="16"/>
  <c r="B11" i="18" l="1"/>
  <c r="B11" i="21"/>
  <c r="B12" i="21" s="1"/>
  <c r="B9" i="21"/>
  <c r="B13" i="22"/>
  <c r="B14" i="22" s="1"/>
  <c r="E6" i="22"/>
  <c r="B8" i="25"/>
  <c r="A2" i="25"/>
  <c r="A1" i="25"/>
  <c r="B34" i="17"/>
  <c r="D34" i="17"/>
  <c r="B30" i="17"/>
  <c r="E26" i="6"/>
  <c r="B25" i="6"/>
  <c r="B26" i="6" s="1"/>
  <c r="B9" i="6"/>
  <c r="B10" i="6" s="1"/>
  <c r="B28" i="6"/>
  <c r="B17" i="19"/>
  <c r="D37" i="3"/>
  <c r="B37" i="3"/>
  <c r="B40" i="3" s="1"/>
  <c r="B34" i="3"/>
  <c r="B7" i="24"/>
  <c r="B8" i="24" s="1"/>
  <c r="B9" i="24" s="1"/>
  <c r="D22" i="3"/>
  <c r="B22" i="3"/>
  <c r="B25" i="3" s="1"/>
  <c r="B19" i="3"/>
  <c r="B18" i="3"/>
  <c r="E27" i="6" l="1"/>
  <c r="E31" i="6" s="1"/>
  <c r="B21" i="19"/>
  <c r="B30" i="6"/>
  <c r="H33" i="16"/>
  <c r="H30" i="16"/>
  <c r="E32" i="6" l="1"/>
  <c r="D16" i="17"/>
  <c r="B12" i="17" l="1"/>
  <c r="A2" i="24" l="1"/>
  <c r="A1" i="24"/>
  <c r="B21" i="20"/>
  <c r="B14" i="20"/>
  <c r="A2" i="22"/>
  <c r="A1" i="22"/>
  <c r="B6" i="18" l="1"/>
  <c r="B15" i="18" s="1"/>
  <c r="B16" i="18" s="1"/>
  <c r="A2" i="6"/>
  <c r="A1" i="6"/>
  <c r="A2" i="18"/>
  <c r="A1" i="18"/>
  <c r="A2" i="19"/>
  <c r="A1" i="19"/>
  <c r="A2" i="21"/>
  <c r="A1" i="21"/>
  <c r="A2" i="20"/>
  <c r="A1" i="20"/>
  <c r="B16" i="4"/>
  <c r="B15" i="4"/>
  <c r="B14" i="4"/>
  <c r="B17" i="4" s="1"/>
  <c r="D26" i="4" l="1"/>
  <c r="D25" i="4"/>
  <c r="B33" i="4"/>
  <c r="D33" i="4" s="1"/>
  <c r="B10" i="11"/>
  <c r="A2" i="17"/>
  <c r="A1" i="17"/>
  <c r="B44" i="4"/>
  <c r="C34" i="4"/>
  <c r="D34" i="4" s="1"/>
  <c r="B32" i="4"/>
  <c r="B23" i="4"/>
  <c r="B40" i="4"/>
  <c r="H43" i="16"/>
  <c r="B43" i="4"/>
  <c r="B29" i="4"/>
  <c r="B28" i="4"/>
  <c r="B22" i="4"/>
  <c r="H20" i="16"/>
  <c r="C5" i="16"/>
  <c r="A2" i="11"/>
  <c r="A1" i="11"/>
  <c r="B10" i="14"/>
  <c r="B11" i="14" s="1"/>
  <c r="H17" i="1"/>
  <c r="A2" i="14"/>
  <c r="A1" i="14"/>
  <c r="H48" i="1"/>
  <c r="H129" i="16" l="1"/>
  <c r="B46" i="4"/>
  <c r="B35" i="4"/>
  <c r="B37" i="4" s="1"/>
  <c r="D35" i="4"/>
  <c r="C35" i="4"/>
  <c r="C5" i="12"/>
  <c r="C4" i="12"/>
  <c r="A2" i="12"/>
  <c r="A1" i="12"/>
  <c r="C3" i="12"/>
  <c r="C3" i="13"/>
  <c r="A2" i="13"/>
  <c r="C5" i="13" s="1"/>
  <c r="A1" i="13"/>
  <c r="C4" i="13" s="1"/>
  <c r="H122" i="1"/>
  <c r="A2" i="10"/>
  <c r="A1" i="10"/>
  <c r="B10" i="9"/>
  <c r="B17" i="9" s="1"/>
  <c r="A2" i="9"/>
  <c r="A1" i="9"/>
  <c r="B20" i="7"/>
  <c r="A2" i="7"/>
  <c r="A1" i="7"/>
  <c r="A2" i="5"/>
  <c r="A1" i="5"/>
  <c r="A2" i="4"/>
  <c r="A1" i="4"/>
  <c r="A2" i="3"/>
  <c r="A1" i="3"/>
  <c r="B10" i="2"/>
  <c r="A2" i="2"/>
  <c r="A1" i="2"/>
  <c r="C5" i="1"/>
  <c r="B15" i="10" l="1"/>
</calcChain>
</file>

<file path=xl/sharedStrings.xml><?xml version="1.0" encoding="utf-8"?>
<sst xmlns="http://schemas.openxmlformats.org/spreadsheetml/2006/main" count="1878" uniqueCount="904">
  <si>
    <t xml:space="preserve">DATE:  </t>
  </si>
  <si>
    <t xml:space="preserve">CUSTOMER: </t>
  </si>
  <si>
    <t>Allowance Estimated Pricing Subject to change, based on final installed price</t>
  </si>
  <si>
    <t xml:space="preserve">JOB ADDRESS: </t>
  </si>
  <si>
    <t>Category</t>
  </si>
  <si>
    <t>Description</t>
  </si>
  <si>
    <t>Date</t>
  </si>
  <si>
    <t xml:space="preserve">Allowance </t>
  </si>
  <si>
    <t>Final price</t>
  </si>
  <si>
    <t>Difference</t>
  </si>
  <si>
    <t>Allowance</t>
  </si>
  <si>
    <t>Changes made during plan design stage:</t>
  </si>
  <si>
    <t>Changes made during color selection stage:</t>
  </si>
  <si>
    <t>TOTAL:</t>
  </si>
  <si>
    <t>Date of Approval:</t>
  </si>
  <si>
    <t>Builder Signature</t>
  </si>
  <si>
    <t>Plan Changes made during Exterior Color Selection Meeting with Designer</t>
  </si>
  <si>
    <t>Revised by:</t>
  </si>
  <si>
    <t>Budget</t>
  </si>
  <si>
    <t>Total</t>
  </si>
  <si>
    <t>ALLOWANCES</t>
  </si>
  <si>
    <t>PRICE REQUEST ITEMS BY HOMEOWNER</t>
  </si>
  <si>
    <t>CLARIFICATIONS (NO PRICE CHANGE)</t>
  </si>
  <si>
    <t>PRICING READY TO SHOW HOMEOWNER</t>
  </si>
  <si>
    <t>HOMEOWNER REVIEWING</t>
  </si>
  <si>
    <t>PRICING APPROVED BY HOMEOWNER</t>
  </si>
  <si>
    <t>TOP PRIORITY</t>
  </si>
  <si>
    <t xml:space="preserve">Pool Allowance: </t>
  </si>
  <si>
    <t>Landscaping Allowance:</t>
  </si>
  <si>
    <t>Appliance Allowance</t>
  </si>
  <si>
    <t>Truss Allowance</t>
  </si>
  <si>
    <t xml:space="preserve">Paver Allowance: More may be needed once survey is finalized and approved. </t>
  </si>
  <si>
    <t>Lumber Allowance:</t>
  </si>
  <si>
    <t>Roofing Allowance:</t>
  </si>
  <si>
    <t>Drywall/Duro/Densglass Material Allowance:</t>
  </si>
  <si>
    <t>Windows Allowance:</t>
  </si>
  <si>
    <t>Impact Fees Allowance:</t>
  </si>
  <si>
    <r>
      <t xml:space="preserve">Plumbing Allowance: </t>
    </r>
    <r>
      <rPr>
        <sz val="14"/>
        <rFont val="Times New Roman"/>
        <family val="1"/>
      </rPr>
      <t>This allowance is for base plumbing for the home. Upgraded or added items will be priced separately below.</t>
    </r>
    <r>
      <rPr>
        <b/>
        <sz val="14"/>
        <rFont val="Times New Roman"/>
        <family val="1"/>
      </rPr>
      <t xml:space="preserve"> </t>
    </r>
  </si>
  <si>
    <r>
      <t xml:space="preserve">Electrical Allowance: </t>
    </r>
    <r>
      <rPr>
        <sz val="14"/>
        <rFont val="Times New Roman"/>
        <family val="1"/>
      </rPr>
      <t xml:space="preserve">This allowance is for base electrical for the home. Upgraded or added items will be priced separately below. </t>
    </r>
  </si>
  <si>
    <t>Overage To be paid directly to the Appliance Co.</t>
  </si>
  <si>
    <t>Overage To be paid directly to the Pool Co.</t>
  </si>
  <si>
    <t>Sitework Allowance: THERE MAY BE ADDITONAL WORK ON TH  LOT AT THE END OF THE PROJECT AS WELL AS POTENTIAL DEGRASS OF AREAS WE LEAVE UNITL THE END.</t>
  </si>
  <si>
    <t>Any changes that are requested after color selections and/or construction has begun will be subject to a $250.00 charge at the discretion of the builder.  No mchanges will be performed until signed by both parties and payment is made in full to Olsen Custom Homes.  This is a non-refundable option agreement.  However should items not get installed a full refund of individual option(s) will be given at closing.</t>
  </si>
  <si>
    <t>Customer Signature</t>
  </si>
  <si>
    <t>Date Paid</t>
  </si>
  <si>
    <t>CUSTOMER OPTION FORM #1</t>
  </si>
  <si>
    <t xml:space="preserve">Contract Pricing Page </t>
  </si>
  <si>
    <t>Actuals</t>
  </si>
  <si>
    <t>Overage To be paid directly to the Landscaping Co.</t>
  </si>
  <si>
    <r>
      <rPr>
        <b/>
        <sz val="13"/>
        <color rgb="FFFF0000"/>
        <rFont val="Arial"/>
        <family val="2"/>
      </rPr>
      <t>Please Note:</t>
    </r>
    <r>
      <rPr>
        <sz val="13"/>
        <color rgb="FFFF0000"/>
        <rFont val="Arial"/>
        <family val="2"/>
      </rPr>
      <t xml:space="preserve"> </t>
    </r>
    <r>
      <rPr>
        <sz val="13"/>
        <rFont val="Arial"/>
        <family val="2"/>
      </rPr>
      <t>Pricing may fluctuate on items that are priced out for the Homeowners from the time of price request to time of homeowner approval.  A charge or credit will apply at the time of ordering</t>
    </r>
    <r>
      <rPr>
        <sz val="13"/>
        <color rgb="FFFF0000"/>
        <rFont val="Arial"/>
        <family val="2"/>
      </rPr>
      <t xml:space="preserve">.  </t>
    </r>
  </si>
  <si>
    <t>02.11.2026</t>
  </si>
  <si>
    <t>ML</t>
  </si>
  <si>
    <t>ordered</t>
  </si>
  <si>
    <t xml:space="preserve">Left Side </t>
  </si>
  <si>
    <t xml:space="preserve">Front Entry </t>
  </si>
  <si>
    <t xml:space="preserve">Right Side </t>
  </si>
  <si>
    <t xml:space="preserve">Left Side corners </t>
  </si>
  <si>
    <t xml:space="preserve">Right Side corners </t>
  </si>
  <si>
    <t xml:space="preserve">Front Entry corners </t>
  </si>
  <si>
    <t xml:space="preserve">Rear Columns </t>
  </si>
  <si>
    <t xml:space="preserve">Rear Columns corner </t>
  </si>
  <si>
    <t xml:space="preserve">$550 ish </t>
  </si>
  <si>
    <t>TJ</t>
  </si>
  <si>
    <t xml:space="preserve">TJ </t>
  </si>
  <si>
    <r>
      <rPr>
        <b/>
        <sz val="14"/>
        <rFont val="Times New Roman"/>
        <family val="1"/>
      </rPr>
      <t xml:space="preserve">Garage to Interior: </t>
    </r>
    <r>
      <rPr>
        <sz val="14"/>
        <rFont val="Times New Roman"/>
        <family val="1"/>
      </rPr>
      <t>Door Style: Rockport
Description: Molded - 5 Panel Smooth Bead &amp; Cove
Finish/Color: See Paint Selection Sheet
Size: Per Plans
Quantity: Per Plans</t>
    </r>
  </si>
  <si>
    <r>
      <rPr>
        <b/>
        <sz val="14"/>
        <rFont val="Times New Roman"/>
        <family val="1"/>
      </rPr>
      <t>Garage To Exterior Side</t>
    </r>
    <r>
      <rPr>
        <sz val="14"/>
        <rFont val="Times New Roman"/>
        <family val="1"/>
      </rPr>
      <t>: Door Style: Carrara
Molded - 2 Panel Squaretop Smooth Bead &amp; Cove
Finish/Color: See Paint Selection Sheet
Size: Per Plans
Quantity: Per Plans
Location: Per Plans</t>
    </r>
  </si>
  <si>
    <r>
      <rPr>
        <b/>
        <sz val="14"/>
        <rFont val="Times New Roman"/>
        <family val="1"/>
      </rPr>
      <t xml:space="preserve">Ceiling Texture: </t>
    </r>
    <r>
      <rPr>
        <sz val="14"/>
        <rFont val="Times New Roman"/>
        <family val="1"/>
      </rPr>
      <t xml:space="preserve">Regular Knockdown 
</t>
    </r>
    <r>
      <rPr>
        <b/>
        <sz val="14"/>
        <rFont val="Times New Roman"/>
        <family val="1"/>
      </rPr>
      <t>Drywall Texture:</t>
    </r>
    <r>
      <rPr>
        <sz val="14"/>
        <rFont val="Times New Roman"/>
        <family val="1"/>
      </rPr>
      <t xml:space="preserve"> Knockdown 
</t>
    </r>
    <r>
      <rPr>
        <b/>
        <sz val="14"/>
        <rFont val="Times New Roman"/>
        <family val="1"/>
      </rPr>
      <t>All Corner Beads:</t>
    </r>
    <r>
      <rPr>
        <sz val="14"/>
        <rFont val="Times New Roman"/>
        <family val="1"/>
      </rPr>
      <t xml:space="preserve"> Style - Squared (all locations) 
</t>
    </r>
    <r>
      <rPr>
        <b/>
        <sz val="14"/>
        <rFont val="Times New Roman"/>
        <family val="1"/>
      </rPr>
      <t>Window Corner Bead:</t>
    </r>
    <r>
      <rPr>
        <sz val="14"/>
        <rFont val="Times New Roman"/>
        <family val="1"/>
      </rPr>
      <t xml:space="preserve"> Squared throughout </t>
    </r>
  </si>
  <si>
    <r>
      <t xml:space="preserve">Gas/Propane: </t>
    </r>
    <r>
      <rPr>
        <sz val="14"/>
        <rFont val="Times New Roman"/>
        <family val="1"/>
      </rPr>
      <t>250 Gallon Buried Tank (Leased) 
Included locations for Gas piping (200') - 
Cooktop
Pool Heater
Tankless Hot Water Heater</t>
    </r>
  </si>
  <si>
    <t>Field Changes</t>
  </si>
  <si>
    <t>Windows</t>
  </si>
  <si>
    <t>04.10.2026</t>
  </si>
  <si>
    <t>?</t>
  </si>
  <si>
    <t>ML needs to adjust tile sheets</t>
  </si>
  <si>
    <t>Per Platinum Features</t>
  </si>
  <si>
    <t>4/2/2026
4/14/2026</t>
  </si>
  <si>
    <t>TJ 
ST</t>
  </si>
  <si>
    <t>ST</t>
  </si>
  <si>
    <r>
      <t xml:space="preserve">Redlined Additions:
</t>
    </r>
    <r>
      <rPr>
        <sz val="14"/>
        <rFont val="Times New Roman"/>
        <family val="1"/>
      </rPr>
      <t xml:space="preserve">Exterior - Add switch and soffit lights
Exterior - Add switch and (2) column lights
Laundry - Add (2) recess cans
Laundry - Add 20 amp circuit for audio
Laundry - Add (1) recess can in hallway
Pantry - Add (4) recess cans
Garage Closet - Add switch and (1) recess can
Drop Off Area - Add switch for 2 - 4" recess cans
Wet Bar - Add switch for 3 - 4" recess cans
Bed #3 &amp; 4 - Add swtiched outlet
Hallway - Add (2) 6" recess cans and (1) 4" recess can
Nook - Add switch and (4) recess cans
Summer Kitchen - Add (4) recess cans.
Lanai - Add (4) recess cans
Family Room - Add (4) recess cans
Entertainment Center - Add swithc for (2) 4" cans
Kitchen Island - Add switch and (2) pendant light locations.
Ktichen - Add switch and (6) 24" over cabinet lights
Kitchen - Add (5) task LED power strips
Study - Add switch and (4) recess cans
</t>
    </r>
    <r>
      <rPr>
        <b/>
        <sz val="14"/>
        <rFont val="Times New Roman"/>
        <family val="1"/>
      </rPr>
      <t xml:space="preserve">
</t>
    </r>
  </si>
  <si>
    <t>Master - Add (3) recess cans: (2) in closets and (1) in Master Hallway
Master Toilet - Add (1) recess can
Add switch for Chandeleir - braced for heavy fixture
Master Bath - Add switch and (4) recess cans. 
Master Vanity - Add (1) recess can and (2) wall light locations
Credit for 40 amp wall over
Credit for (5) LED under cab lights</t>
  </si>
  <si>
    <t>Olsen Cost</t>
  </si>
  <si>
    <t>Need final list from johns</t>
  </si>
  <si>
    <t>Revisons</t>
  </si>
  <si>
    <t>Buildertrend</t>
  </si>
  <si>
    <t>Need to add colors</t>
  </si>
  <si>
    <t>NEED INVOICE</t>
  </si>
  <si>
    <t>04.19.2026</t>
  </si>
  <si>
    <t>need pricing</t>
  </si>
  <si>
    <r>
      <t xml:space="preserve">Upgrading from platinum selection to: 
</t>
    </r>
    <r>
      <rPr>
        <sz val="14"/>
        <rFont val="Times New Roman"/>
        <family val="1"/>
      </rPr>
      <t xml:space="preserve">Style: Cove Crown
Size: 5 1/4"
Locations:
Main Living Area
Master Bedroom Suite 
Master Bedroom Tray Ceiling 
Master Bathroom Tray Ceiling </t>
    </r>
  </si>
  <si>
    <t>tate we need to talk about why you put this on the cof ML</t>
  </si>
  <si>
    <t>NO ALLOWANCE??????????????</t>
  </si>
  <si>
    <t>need to send to skyline for pricing</t>
  </si>
  <si>
    <t>need to send the cambrisa for ordering</t>
  </si>
  <si>
    <t>Kitchen Stove Wall:</t>
  </si>
  <si>
    <t>Kitchen Ref. Wall:</t>
  </si>
  <si>
    <t xml:space="preserve">Kitchen Island: </t>
  </si>
  <si>
    <t>Green on BT</t>
  </si>
  <si>
    <t>Field Changes - Electrical</t>
  </si>
  <si>
    <t>Following area were shifted due to beam installation: 
Living Room CAN LEDs
Kitchen CAN LEDs
Nook CAN LEDs</t>
  </si>
  <si>
    <t>tommy need to add beams and new location to new set of plans</t>
  </si>
  <si>
    <r>
      <t xml:space="preserve">Exterior Door Allowance:
Front Door: </t>
    </r>
    <r>
      <rPr>
        <sz val="14"/>
        <rFont val="Times New Roman"/>
        <family val="1"/>
      </rPr>
      <t>Description: Full Lite Atrium Impact Glass Door 
Glass: Rain Glass
Finish-Exterior: Painted - See Paint Schedule
Finish-Interior: Painted - Match Interior Doors/Trim - See Paint Selection Sheet
Height: Per Plans
See Plans Active Door and Swing Direction</t>
    </r>
  </si>
  <si>
    <r>
      <rPr>
        <b/>
        <sz val="14"/>
        <rFont val="Times New Roman"/>
        <family val="1"/>
      </rPr>
      <t xml:space="preserve">Rear Lanai Doors: </t>
    </r>
    <r>
      <rPr>
        <sz val="14"/>
        <rFont val="Times New Roman"/>
        <family val="1"/>
      </rPr>
      <t xml:space="preserve">Description: Full Lite Atrium Impact Glass Door 
Finish-Exterior: Painted - See Paint Schedule
Finish-Interior: Painted - Match Interior Doors/Trim - See Paint Selection Sheet
Height: Per Plans
</t>
    </r>
    <r>
      <rPr>
        <u/>
        <sz val="14"/>
        <rFont val="Times New Roman"/>
        <family val="1"/>
      </rPr>
      <t>Locations:</t>
    </r>
    <r>
      <rPr>
        <sz val="14"/>
        <rFont val="Times New Roman"/>
        <family val="1"/>
      </rPr>
      <t xml:space="preserve">
Master Bedroom
Hallway</t>
    </r>
  </si>
  <si>
    <t>Rockport cant be used outside</t>
  </si>
  <si>
    <t>overage would be due to accent corbel</t>
  </si>
  <si>
    <r>
      <t xml:space="preserve">Per Platinum Features
Garage Door 1 &amp; 2: </t>
    </r>
    <r>
      <rPr>
        <sz val="14"/>
        <rFont val="Times New Roman"/>
        <family val="1"/>
      </rPr>
      <t>Manufacturer: Clopay    
Finish: Painted - See Paint Selection Sheet
Height: Per Plans
Width: Per Plans</t>
    </r>
  </si>
  <si>
    <t>Req. Pricing from John GPS 4/22 - ST</t>
  </si>
  <si>
    <t>Stucco - $25K
Bahama Shutters $5,800</t>
  </si>
  <si>
    <t>Waiting on final invoices - ST 4/22</t>
  </si>
  <si>
    <t>1662 SF</t>
  </si>
  <si>
    <t>1400 SF</t>
  </si>
  <si>
    <t>Olsen Veranda Bay Model #2</t>
  </si>
  <si>
    <t xml:space="preserve">183 Stillwater Drive, Flagler Beach </t>
  </si>
  <si>
    <t>Cabinets Kitchen</t>
  </si>
  <si>
    <t>Cabinets Laundry</t>
  </si>
  <si>
    <t>Cabinets master</t>
  </si>
  <si>
    <t>Cabinets Bath 2</t>
  </si>
  <si>
    <t>Cabinets bath 3</t>
  </si>
  <si>
    <t>Entertainment center</t>
  </si>
  <si>
    <t>Wetbar cabinets</t>
  </si>
  <si>
    <t>Modern Me</t>
  </si>
  <si>
    <t>Kitchen Perimeter</t>
  </si>
  <si>
    <t>Kitchen Island</t>
  </si>
  <si>
    <t>Stop &amp; Drop</t>
  </si>
  <si>
    <t>Skyline</t>
  </si>
  <si>
    <t>Option</t>
  </si>
  <si>
    <t>Add uppers in the laundry room</t>
  </si>
  <si>
    <t>Add Kitchen Hood with blower</t>
  </si>
  <si>
    <t>Add Kitchen Dog Food &amp; Water Station</t>
  </si>
  <si>
    <t>Add Entertainment shelving with cabinet company</t>
  </si>
  <si>
    <t>Add Stop and Drop Cabinet</t>
  </si>
  <si>
    <t>Trim Carpentry</t>
  </si>
  <si>
    <t>Door Hardware: Confrim the selections in Buildertrend are approved by Shelly</t>
  </si>
  <si>
    <t>Standard 5 1/4" Crown 680 LF</t>
  </si>
  <si>
    <t>Cove 5 1/4" Crown 680 LF</t>
  </si>
  <si>
    <t>Added Olsen Cost</t>
  </si>
  <si>
    <t>Charge HO / .65</t>
  </si>
  <si>
    <t>4/19/2026
4/22/2026</t>
  </si>
  <si>
    <t>ML
ST</t>
  </si>
  <si>
    <t>Please switch to J&amp;N Stone - ST 4/22</t>
  </si>
  <si>
    <t>4/2/2026
4/22/2026</t>
  </si>
  <si>
    <t>TJ
ST</t>
  </si>
  <si>
    <t>Upgrading from Carrier to Bosch
Model: Bosch IDS Heat Pump
Premium Connected Series Condensing Unit
2-3-4-5 Ton Capacity | R454B</t>
  </si>
  <si>
    <t>eric this is Henry's unsed unit</t>
  </si>
  <si>
    <t>05.07.2026</t>
  </si>
  <si>
    <t>Master Fixture - Manufacturer: Moen
Model: T430BZG
Collection: Jase
Description: Jase Bronzed gold two-handle non diverter roman tub faucet
Finish: Bronzed Gold
Quantity: 1
Location: Master Bathroom</t>
  </si>
  <si>
    <t>should this be under exterior finished allowances? ML</t>
  </si>
  <si>
    <t xml:space="preserve">Windows Allowance: Black In and Out. Windows and sliders. Per Plan. </t>
  </si>
  <si>
    <t>Allowance?</t>
  </si>
  <si>
    <t xml:space="preserve">Entertainment Center: </t>
  </si>
  <si>
    <t>Beams
U-Wrapped
Size: 12" W x 10" H
Material: Pine
Finish: Stain Grade
Living Room Tray 
Qty: 5
Kitchen 
Qty: 3
Nook
Qty: 3
Foyer Tray 
Qty: 4 (Boarder Style)</t>
  </si>
  <si>
    <t>Carpentry - Mantles / Shelves</t>
  </si>
  <si>
    <t>Mantle - Living room
Brand: The Barn Collection
Interior or Exterior Placement
Interior
Height &amp; Depth
10"H x 10"D
Length
78" (6.5 ft)
Finishing Color
Weathered Siding
Mounting Installation
Mantel Notching
QTY: 1</t>
  </si>
  <si>
    <t>Mantle - Master
Brand: The Barn Collection
Interior or Exterior Placement
Interior
Height &amp; Depth
10"H x 10"D
Length
48" (4 ft)
Finishing Color
Weathered Siding
Mounting Installation
Mantel Notching
QTY: 1</t>
  </si>
  <si>
    <t>Shelves - Living room
Brand: The Barn Collection
Length: 42"
Finish Color: Weathered Siding
QTY: 4
Install: 2 on each side
Spacing: 22"</t>
  </si>
  <si>
    <t>Shelves - Master
Brand: The Barn Collection
Length: 24"
Finish Color: Weathered Siding
QTY: 8
Install: 4 on each side
Spacing: 22"</t>
  </si>
  <si>
    <t xml:space="preserve">Specialties - Glass - </t>
  </si>
  <si>
    <t>need pictures from vendor</t>
  </si>
  <si>
    <t xml:space="preserve">Plumbing - Bath Accessories: </t>
  </si>
  <si>
    <t>Plumbing - Faucet:</t>
  </si>
  <si>
    <t>Master Bedroom W.I.C.s</t>
  </si>
  <si>
    <t>NEED PRICING</t>
  </si>
  <si>
    <t>Tile</t>
  </si>
  <si>
    <t>Main flooring: Cottage 		Fassa 		9x40</t>
  </si>
  <si>
    <t>Carenza		Oro (Polished)		12x24</t>
  </si>
  <si>
    <t>place holder</t>
  </si>
  <si>
    <t>Allowances</t>
  </si>
  <si>
    <t>In House Notes</t>
  </si>
  <si>
    <t>Design Meeting Times</t>
  </si>
  <si>
    <t>Changes Made During Color Selection Stage</t>
  </si>
  <si>
    <t>Changes Made During Plan Design Stage</t>
  </si>
  <si>
    <r>
      <t xml:space="preserve">Kitchen: </t>
    </r>
    <r>
      <rPr>
        <sz val="14"/>
        <rFont val="Times New Roman"/>
        <family val="1"/>
      </rPr>
      <t>Add 18" Stacks. Solid Doors.</t>
    </r>
  </si>
  <si>
    <t>Option #1</t>
  </si>
  <si>
    <t>Option #2</t>
  </si>
  <si>
    <t>Allowance - Cabinets</t>
  </si>
  <si>
    <t>05.11.2026</t>
  </si>
  <si>
    <r>
      <t xml:space="preserve">Cabinetry Allowance: </t>
    </r>
    <r>
      <rPr>
        <strike/>
        <sz val="14"/>
        <rFont val="Times New Roman"/>
        <family val="1"/>
      </rPr>
      <t xml:space="preserve">This is allowance for base cabinetry throughout the home. Added items or options will be priced separately below. </t>
    </r>
  </si>
  <si>
    <r>
      <t xml:space="preserve">Master Bedroom Custom W.I.C.s: </t>
    </r>
    <r>
      <rPr>
        <sz val="14"/>
        <rFont val="Times New Roman"/>
        <family val="1"/>
      </rPr>
      <t>Wall hung closet organizers.</t>
    </r>
    <r>
      <rPr>
        <b/>
        <sz val="14"/>
        <rFont val="Times New Roman"/>
        <family val="1"/>
      </rPr>
      <t xml:space="preserve"> In Both His &amp; Her's W.I.C.s</t>
    </r>
  </si>
  <si>
    <t>$5 per sf</t>
  </si>
  <si>
    <t>Island Veneer with translucent upgrade</t>
  </si>
  <si>
    <t>18" upper cabs</t>
  </si>
  <si>
    <t>Wetbar under counter fridge panel w. translucent up</t>
  </si>
  <si>
    <t xml:space="preserve">Custom 42" w appliance garge </t>
  </si>
  <si>
    <t>Cabinets Bath 2 w. translucent upgrade</t>
  </si>
  <si>
    <t>Cabinets bath 3 w. translucent upgrade</t>
  </si>
  <si>
    <t>Fireplace wall</t>
  </si>
  <si>
    <t>Uprade Options</t>
  </si>
  <si>
    <r>
      <rPr>
        <b/>
        <strike/>
        <sz val="14"/>
        <rFont val="Times New Roman"/>
        <family val="1"/>
      </rPr>
      <t xml:space="preserve">Ceiling Texture: </t>
    </r>
    <r>
      <rPr>
        <strike/>
        <sz val="14"/>
        <rFont val="Times New Roman"/>
        <family val="1"/>
      </rPr>
      <t xml:space="preserve">Regular Knockdown 
</t>
    </r>
    <r>
      <rPr>
        <b/>
        <strike/>
        <sz val="14"/>
        <rFont val="Times New Roman"/>
        <family val="1"/>
      </rPr>
      <t>Drywall Texture:</t>
    </r>
    <r>
      <rPr>
        <strike/>
        <sz val="14"/>
        <rFont val="Times New Roman"/>
        <family val="1"/>
      </rPr>
      <t xml:space="preserve"> Knockdown 
</t>
    </r>
    <r>
      <rPr>
        <b/>
        <strike/>
        <sz val="14"/>
        <rFont val="Times New Roman"/>
        <family val="1"/>
      </rPr>
      <t>All Corner Beads:</t>
    </r>
    <r>
      <rPr>
        <strike/>
        <sz val="14"/>
        <rFont val="Times New Roman"/>
        <family val="1"/>
      </rPr>
      <t xml:space="preserve"> Style - Squared (all locations) 
</t>
    </r>
    <r>
      <rPr>
        <b/>
        <strike/>
        <sz val="14"/>
        <rFont val="Times New Roman"/>
        <family val="1"/>
      </rPr>
      <t>Window Corner Bead:</t>
    </r>
    <r>
      <rPr>
        <strike/>
        <sz val="14"/>
        <rFont val="Times New Roman"/>
        <family val="1"/>
      </rPr>
      <t xml:space="preserve"> Squared throughout </t>
    </r>
  </si>
  <si>
    <r>
      <t xml:space="preserve">Electrical Allowance: </t>
    </r>
    <r>
      <rPr>
        <strike/>
        <sz val="14"/>
        <rFont val="Times New Roman"/>
        <family val="1"/>
      </rPr>
      <t xml:space="preserve">This allowance is for base electrical for the home. Upgraded or added items will be priced separately below. </t>
    </r>
  </si>
  <si>
    <r>
      <t xml:space="preserve">Redlined Additions:
</t>
    </r>
    <r>
      <rPr>
        <strike/>
        <sz val="14"/>
        <rFont val="Times New Roman"/>
        <family val="1"/>
      </rPr>
      <t xml:space="preserve">Exterior - Add switch and soffit lights
Exterior - Add switch and (2) column lights
Laundry - Add (2) recess cans
Laundry - Add 20 amp circuit for audio
Laundry - Add (1) recess can in hallway
Pantry - Add (4) recess cans
Garage Closet - Add switch and (1) recess can
Drop Off Area - Add switch for 2 - 4" recess cans
Wet Bar - Add switch for 3 - 4" recess cans
Bed #3 &amp; 4 - Add swtiched outlet
Hallway - Add (2) 6" recess cans and (1) 4" recess can
Nook - Add switch and (4) recess cans
Summer Kitchen - Add (4) recess cans.
Lanai - Add (4) recess cans
Family Room - Add (4) recess cans
Entertainment Center - Add swithc for (2) 4" cans
Kitchen Island - Add switch and (2) pendant light locations.
Ktichen - Add switch and (6) 24" over cabinet lights
Kitchen - Add (5) task LED power strips
Study - Add switch and (4) recess cans
</t>
    </r>
    <r>
      <rPr>
        <b/>
        <strike/>
        <sz val="14"/>
        <rFont val="Times New Roman"/>
        <family val="1"/>
      </rPr>
      <t xml:space="preserve">
</t>
    </r>
  </si>
  <si>
    <t>Plan Changes</t>
  </si>
  <si>
    <t>Items for Tommy to add to new set</t>
  </si>
  <si>
    <r>
      <t xml:space="preserve">Exterior Door Allowance:
Front Door: </t>
    </r>
    <r>
      <rPr>
        <strike/>
        <sz val="14"/>
        <rFont val="Times New Roman"/>
        <family val="1"/>
      </rPr>
      <t>Description: Full Lite Atrium Impact Glass Door 
Glass: Rain Glass
Finish-Exterior: Painted - See Paint Schedule
Finish-Interior: Painted - Match Interior Doors/Trim - See Paint Selection Sheet
Height: Per Plans
See Plans Active Door and Swing Direction</t>
    </r>
  </si>
  <si>
    <r>
      <rPr>
        <b/>
        <strike/>
        <sz val="14"/>
        <rFont val="Times New Roman"/>
        <family val="1"/>
      </rPr>
      <t xml:space="preserve">Rear Lanai Doors: </t>
    </r>
    <r>
      <rPr>
        <strike/>
        <sz val="14"/>
        <rFont val="Times New Roman"/>
        <family val="1"/>
      </rPr>
      <t xml:space="preserve">Description: Full Lite Atrium Impact Glass Door 
Finish-Exterior: Painted - See Paint Schedule
Finish-Interior: Painted - Match Interior Doors/Trim - See Paint Selection Sheet
Height: Per Plans
</t>
    </r>
    <r>
      <rPr>
        <strike/>
        <u/>
        <sz val="14"/>
        <rFont val="Times New Roman"/>
        <family val="1"/>
      </rPr>
      <t>Locations:</t>
    </r>
    <r>
      <rPr>
        <strike/>
        <sz val="14"/>
        <rFont val="Times New Roman"/>
        <family val="1"/>
      </rPr>
      <t xml:space="preserve">
Master Bedroom
Hallway</t>
    </r>
  </si>
  <si>
    <r>
      <rPr>
        <b/>
        <strike/>
        <sz val="14"/>
        <rFont val="Times New Roman"/>
        <family val="1"/>
      </rPr>
      <t xml:space="preserve">Garage to Interior: </t>
    </r>
    <r>
      <rPr>
        <strike/>
        <sz val="14"/>
        <rFont val="Times New Roman"/>
        <family val="1"/>
      </rPr>
      <t>Door Style: Rockport
Description: Molded - 5 Panel Smooth Bead &amp; Cove
Finish/Color: See Paint Selection Sheet
Size: Per Plans
Quantity: Per Plans</t>
    </r>
  </si>
  <si>
    <r>
      <rPr>
        <b/>
        <strike/>
        <sz val="14"/>
        <rFont val="Times New Roman"/>
        <family val="1"/>
      </rPr>
      <t>Garage To Exterior Side</t>
    </r>
    <r>
      <rPr>
        <strike/>
        <sz val="14"/>
        <rFont val="Times New Roman"/>
        <family val="1"/>
      </rPr>
      <t>: Door Style: Carrara
Molded - 2 Panel Squaretop Smooth Bead &amp; Cove
Finish/Color: See Paint Selection Sheet
Size: Per Plans
Quantity: Per Plans
Location: Per Plans</t>
    </r>
  </si>
  <si>
    <r>
      <rPr>
        <b/>
        <sz val="14"/>
        <color theme="1"/>
        <rFont val="Times New Roman"/>
        <family val="1"/>
      </rPr>
      <t>Exterior Finish Allowance:</t>
    </r>
    <r>
      <rPr>
        <b/>
        <sz val="14"/>
        <color rgb="FFFF0000"/>
        <rFont val="Times New Roman"/>
        <family val="1"/>
      </rPr>
      <t xml:space="preserve">
</t>
    </r>
    <r>
      <rPr>
        <b/>
        <sz val="14"/>
        <color theme="1"/>
        <rFont val="Times New Roman"/>
        <family val="1"/>
      </rPr>
      <t xml:space="preserve">Stucco Material: </t>
    </r>
    <r>
      <rPr>
        <sz val="14"/>
        <color theme="1"/>
        <rFont val="Times New Roman"/>
        <family val="1"/>
      </rPr>
      <t xml:space="preserve">Exterior Finish - Linear Skip Trowel (Most popular) 
Banded Windows: Per plan 
Decorative Foam Bands: Per plan 
Exterior Ceilings: Per Plan 
Interior Garage Walls: Smooth Skim Coat Stucco &amp; Painted 
</t>
    </r>
    <r>
      <rPr>
        <sz val="14"/>
        <rFont val="Times New Roman"/>
        <family val="1"/>
      </rPr>
      <t xml:space="preserve">
</t>
    </r>
    <r>
      <rPr>
        <b/>
        <sz val="14"/>
        <rFont val="Times New Roman"/>
        <family val="1"/>
      </rPr>
      <t>Accent Corbel</t>
    </r>
    <r>
      <rPr>
        <sz val="14"/>
        <rFont val="Times New Roman"/>
        <family val="1"/>
      </rPr>
      <t xml:space="preserve">: Material: Wood
Finish: Stain MW 415 Tidal Wood
Stained: See Paint Schedule
Areas: Per Plan
Qty: 22 (Per Plans)
Rustic Wood Bracket w/ Offset Brace, Thorton Style, Craftsman Ends,
Size: 4"W x 14"D x 26"H
Type: Rough Sawn Western Red Cedar
</t>
    </r>
    <r>
      <rPr>
        <b/>
        <sz val="14"/>
        <rFont val="Times New Roman"/>
        <family val="1"/>
      </rPr>
      <t>Corbel Detail F:</t>
    </r>
    <r>
      <rPr>
        <sz val="14"/>
        <rFont val="Times New Roman"/>
        <family val="1"/>
      </rPr>
      <t xml:space="preserve"> Style: Per Plan
Size: Per Plan
Material: Foam
Finish: Stucco (to be paint grade) See Paint Schedule</t>
    </r>
  </si>
  <si>
    <r>
      <rPr>
        <b/>
        <strike/>
        <sz val="14"/>
        <color theme="1"/>
        <rFont val="Times New Roman"/>
        <family val="1"/>
      </rPr>
      <t>Exterior Finish Allowance:</t>
    </r>
    <r>
      <rPr>
        <b/>
        <strike/>
        <sz val="14"/>
        <color rgb="FFFF0000"/>
        <rFont val="Times New Roman"/>
        <family val="1"/>
      </rPr>
      <t xml:space="preserve"> IS THERE AN EXTERIOR FINSIH ALLOWANCE? 
</t>
    </r>
    <r>
      <rPr>
        <b/>
        <strike/>
        <sz val="14"/>
        <color theme="1"/>
        <rFont val="Times New Roman"/>
        <family val="1"/>
      </rPr>
      <t xml:space="preserve">Stucco Material: </t>
    </r>
    <r>
      <rPr>
        <strike/>
        <sz val="14"/>
        <color theme="1"/>
        <rFont val="Times New Roman"/>
        <family val="1"/>
      </rPr>
      <t xml:space="preserve">Exterior Finish - Linear Skip Trowel (Most popular) 
Banded Windows: Per plan 
Decorative Foam Bands: Per plan 
Exterior Ceilings: Per Plan 
Interior Garage Walls: Smooth Skim Coat Stucco &amp; Painted 
</t>
    </r>
    <r>
      <rPr>
        <strike/>
        <sz val="14"/>
        <rFont val="Times New Roman"/>
        <family val="1"/>
      </rPr>
      <t xml:space="preserve">
</t>
    </r>
    <r>
      <rPr>
        <b/>
        <strike/>
        <sz val="14"/>
        <rFont val="Times New Roman"/>
        <family val="1"/>
      </rPr>
      <t>Accent Corbel</t>
    </r>
    <r>
      <rPr>
        <strike/>
        <sz val="14"/>
        <rFont val="Times New Roman"/>
        <family val="1"/>
      </rPr>
      <t xml:space="preserve">: Material: Wood
Finish: Stain MW 415 Tidal Wood
Stained: See Paint Schedule
Areas: Per Plan
Qty: 22 (Per Plans)
Rustic Wood Bracket w/ Offset Brace, Thorton Style, Craftsman Ends,
Size: 4"W x 14"D x 26"H
Type: Rough Sawn Western Red Cedar
</t>
    </r>
    <r>
      <rPr>
        <b/>
        <strike/>
        <sz val="14"/>
        <rFont val="Times New Roman"/>
        <family val="1"/>
      </rPr>
      <t>Corbel Detail F:</t>
    </r>
    <r>
      <rPr>
        <strike/>
        <sz val="14"/>
        <rFont val="Times New Roman"/>
        <family val="1"/>
      </rPr>
      <t xml:space="preserve"> Style: Per Plan
Size: Per Plan
Material: Foam
Finish: Stucco (to be paint grade) See Paint Schedule</t>
    </r>
  </si>
  <si>
    <t>move to fireplace allowance</t>
  </si>
  <si>
    <r>
      <rPr>
        <b/>
        <sz val="14"/>
        <rFont val="Times New Roman"/>
        <family val="1"/>
      </rPr>
      <t xml:space="preserve">Center Face Material: (Stone) </t>
    </r>
    <r>
      <rPr>
        <sz val="14"/>
        <rFont val="Times New Roman"/>
        <family val="1"/>
      </rPr>
      <t xml:space="preserve">
Manufacturer: Pioneer Stone
Product Code: STV-ASH-002
Product Details    
Color  Austin
Collection  Ashlar 
Living Room Fireplace Center Wall Edge to Edge Floor to Ceiling.</t>
    </r>
  </si>
  <si>
    <r>
      <t>Fireplace Mantle:</t>
    </r>
    <r>
      <rPr>
        <sz val="14"/>
        <rFont val="Times New Roman"/>
        <family val="1"/>
      </rPr>
      <t xml:space="preserve"> Brand: The Barn Collection
Interior or Exterior Placement
Interior
Height &amp; Depth
10"H x 10"D
Length
78" (6.5 ft)
Finishing Color
Weathered Siding
Mounting Installation
Mantel Notching
QTY: 1</t>
    </r>
    <r>
      <rPr>
        <b/>
        <sz val="14"/>
        <rFont val="Times New Roman"/>
        <family val="1"/>
      </rPr>
      <t xml:space="preserve">
</t>
    </r>
  </si>
  <si>
    <r>
      <t xml:space="preserve">Interior Stone: OPTION #1 
</t>
    </r>
    <r>
      <rPr>
        <strike/>
        <sz val="14"/>
        <rFont val="Times New Roman"/>
        <family val="1"/>
      </rPr>
      <t xml:space="preserve">Manufacturer: Pro Via
Description: Edge Cut Polar Manufactured Stone Profile
Areas: See plans
Master Bathroom Shower Tub Wall (around the windows)
Living Room Fireplace Center Wall Wrapped Floor to Ceiling
Wet Bar Stone Elipse (Front wide only)
Nook Header Stone Elipse (all 3 sides)
Grout Color: No grout
</t>
    </r>
    <r>
      <rPr>
        <b/>
        <strike/>
        <sz val="14"/>
        <rFont val="Times New Roman"/>
        <family val="1"/>
      </rPr>
      <t xml:space="preserve">OPTION #2: </t>
    </r>
    <r>
      <rPr>
        <strike/>
        <sz val="14"/>
        <rFont val="Times New Roman"/>
        <family val="1"/>
      </rPr>
      <t>Manufacturer: Pro Via
Description: Terra Cut Acadia Manufactured Stone Profile
Areas: See plans
Master Bathroom Shower Tub Wall (around the windows)
Living Room Fireplace Center Wall Wrapped Floor to Ceiling
Wet Bar Stone Elipse (Front wide only)
Nook Header Stone Elipse (all 3 sides)
Grout Color: White Grout 
OPTION TO POSSIBILY WHITE WASH AFTER INSTALL</t>
    </r>
  </si>
  <si>
    <r>
      <rPr>
        <b/>
        <strike/>
        <sz val="14"/>
        <rFont val="Times New Roman"/>
        <family val="1"/>
      </rPr>
      <t xml:space="preserve">Front Door Hardware: </t>
    </r>
    <r>
      <rPr>
        <strike/>
        <sz val="14"/>
        <rFont val="Times New Roman"/>
        <family val="1"/>
      </rPr>
      <t xml:space="preserve">Prava Handleset with Prava Lever (Rectangle) - Deadbolt Keyed One Side - featuring SmartKey 
818PVHXPVL RCT SMT 4 Satin Bronze
Install Dummy Hardware on Exterior side of front door. 
Manufacturer: Schlage
Handleset Style: 
Finish: Brushed Gold 
Quantity: Per Plans
Door Bell and Chime: Included for Front Door
</t>
    </r>
    <r>
      <rPr>
        <strike/>
        <sz val="14"/>
        <color rgb="FFFF0000"/>
        <rFont val="Times New Roman"/>
        <family val="1"/>
      </rPr>
      <t>Note: Interior side of Front Door hardware to Match Interior Door hardware selection</t>
    </r>
  </si>
  <si>
    <r>
      <rPr>
        <b/>
        <strike/>
        <sz val="14"/>
        <rFont val="Times New Roman"/>
        <family val="1"/>
      </rPr>
      <t xml:space="preserve">Interior Doors Hardware: </t>
    </r>
    <r>
      <rPr>
        <strike/>
        <sz val="14"/>
        <rFont val="Times New Roman"/>
        <family val="1"/>
      </rPr>
      <t xml:space="preserve">Beds and Baths 
730PVL RCT 514
</t>
    </r>
    <r>
      <rPr>
        <strike/>
        <sz val="14"/>
        <color rgb="FFFF0000"/>
        <rFont val="Times New Roman"/>
        <family val="1"/>
      </rPr>
      <t xml:space="preserve">Match door hinge color to door hardware finish color </t>
    </r>
  </si>
  <si>
    <r>
      <rPr>
        <b/>
        <strike/>
        <sz val="14"/>
        <rFont val="Times New Roman"/>
        <family val="1"/>
      </rPr>
      <t>Exterior Doors Hardware:</t>
    </r>
    <r>
      <rPr>
        <strike/>
        <sz val="14"/>
        <rFont val="Times New Roman"/>
        <family val="1"/>
      </rPr>
      <t xml:space="preserve"> Prava Lever (Rectangle) - Keyed - featuring SmartKey
740PVL RCT SMT 514 
</t>
    </r>
    <r>
      <rPr>
        <strike/>
        <sz val="14"/>
        <color rgb="FFFF0000"/>
        <rFont val="Times New Roman"/>
        <family val="1"/>
      </rPr>
      <t>https://www.kwikset.com/products/detail/prava-lever-rectangle-keyed-featuring-smartkey?variant=740pvl-rct-smt-514</t>
    </r>
  </si>
  <si>
    <r>
      <rPr>
        <b/>
        <strike/>
        <sz val="14"/>
        <rFont val="Times New Roman"/>
        <family val="1"/>
      </rPr>
      <t xml:space="preserve">Pocket Doors Hardware: </t>
    </r>
    <r>
      <rPr>
        <strike/>
        <sz val="14"/>
        <rFont val="Times New Roman"/>
        <family val="1"/>
      </rPr>
      <t xml:space="preserve">All pocket doors to be: 
93340 - Square Pocket Door Lock 
93340 514 SQT
</t>
    </r>
    <r>
      <rPr>
        <strike/>
        <sz val="14"/>
        <color rgb="FFFF0000"/>
        <rFont val="Times New Roman"/>
        <family val="1"/>
      </rPr>
      <t xml:space="preserve">See redlines </t>
    </r>
  </si>
  <si>
    <r>
      <t xml:space="preserve">Swing Doors Hardware: </t>
    </r>
    <r>
      <rPr>
        <strike/>
        <sz val="14"/>
        <rFont val="Times New Roman"/>
        <family val="1"/>
      </rPr>
      <t>All closets and linen closets 
Prava Lever (Rectangle) - Hall / Closet 
720PVL RCT 514</t>
    </r>
  </si>
  <si>
    <r>
      <t xml:space="preserve">Per Platinum Features
Garage Door 1 &amp; 2: </t>
    </r>
    <r>
      <rPr>
        <strike/>
        <sz val="14"/>
        <rFont val="Times New Roman"/>
        <family val="1"/>
      </rPr>
      <t>Manufacturer: Clopay    
Finish: Painted - See Paint Selection Sheet
Height: Per Plans
Width: Per Plans</t>
    </r>
  </si>
  <si>
    <r>
      <rPr>
        <b/>
        <strike/>
        <sz val="14"/>
        <rFont val="Times New Roman"/>
        <family val="1"/>
      </rPr>
      <t xml:space="preserve">Garage Door Opener: </t>
    </r>
    <r>
      <rPr>
        <strike/>
        <sz val="14"/>
        <rFont val="Times New Roman"/>
        <family val="1"/>
      </rPr>
      <t xml:space="preserve">Garage Door Opener - Lift Master 8160W 1/2 HP Chain Drive
Includes 2 Units &amp; 1 push button for each unit
</t>
    </r>
    <r>
      <rPr>
        <b/>
        <strike/>
        <sz val="14"/>
        <rFont val="Times New Roman"/>
        <family val="1"/>
      </rPr>
      <t>Above model is discontinued</t>
    </r>
    <r>
      <rPr>
        <strike/>
        <sz val="14"/>
        <rFont val="Times New Roman"/>
        <family val="1"/>
      </rPr>
      <t xml:space="preserve">
Lift Master 2220L Chain Drive ¾ HP with Camera</t>
    </r>
  </si>
  <si>
    <t xml:space="preserve">Countertop Allowance: </t>
  </si>
  <si>
    <t>Stone</t>
  </si>
  <si>
    <r>
      <rPr>
        <b/>
        <sz val="14"/>
        <rFont val="Times New Roman"/>
        <family val="1"/>
      </rPr>
      <t xml:space="preserve">Master Bathroom Shower Tub Wall (around the windows): </t>
    </r>
    <r>
      <rPr>
        <sz val="14"/>
        <rFont val="Times New Roman"/>
        <family val="1"/>
      </rPr>
      <t xml:space="preserve">
Manufacturer: Pioneer Stone
Product Code: STV-ASH-002
Product Details    
Color  Austin
Collection  Ashlar
Areas: See plans
Front Elevation
Rear Column Bases
Grout Color: White (IF NEEDED)
(Dry-stack Install Method, Or Tight install) </t>
    </r>
  </si>
  <si>
    <r>
      <t xml:space="preserve">Exterior Stone: Option #2 </t>
    </r>
    <r>
      <rPr>
        <strike/>
        <sz val="14"/>
        <rFont val="Times New Roman"/>
        <family val="1"/>
      </rPr>
      <t>Manufacturer: Pro Via
Description: Edge Cut Polar Manufactured Stone Profile
Areas: See plans
Front Elevation
Rear Column Bases
Grout Color: No grout</t>
    </r>
  </si>
  <si>
    <t>Specialties - Closet Shelving</t>
  </si>
  <si>
    <r>
      <t xml:space="preserve">Windsor Brass: 
</t>
    </r>
    <r>
      <rPr>
        <strike/>
        <sz val="14"/>
        <color rgb="FFFF0000"/>
        <rFont val="Times New Roman"/>
        <family val="1"/>
      </rPr>
      <t>NOTE: This color was selected because it is being given by Cambria for the model.</t>
    </r>
    <r>
      <rPr>
        <strike/>
        <sz val="14"/>
        <rFont val="Times New Roman"/>
        <family val="1"/>
      </rPr>
      <t xml:space="preserve">
Manufacturer: Skyline
Material: Quartz
Color: Windsor Brass
Level: 12
Finish: Polished
Locations:
Kitchen Island Top 
Thickness: 3cm
Edge Style: Eased
Kitchen Island Double Waterfall Edge
Thickness: 3cm
Edge Style: Eased
Kitchen Hood Wrapped 3 sides
Thickness: 1cm
Edge Style: Mitered</t>
    </r>
  </si>
  <si>
    <r>
      <t xml:space="preserve">Fantasy Brown: 
</t>
    </r>
    <r>
      <rPr>
        <strike/>
        <sz val="14"/>
        <rFont val="Times New Roman"/>
        <family val="1"/>
      </rPr>
      <t xml:space="preserve">Manufacturer: Skyline
Material: Qaurtzite
Color: Fantasy Brown 
Level: 2
Finish: Leathered
Edge Style: Eased
Location
Summer Kitchen Island
Edge Style: Eased
Summer Kitchen Perimeter
Edge Style: Eased
Summer Kitchen Backsplash 
From countertop to bottom of opening est. 24" </t>
    </r>
  </si>
  <si>
    <r>
      <t xml:space="preserve">White Fantasy: 
</t>
    </r>
    <r>
      <rPr>
        <strike/>
        <sz val="14"/>
        <rFont val="Times New Roman"/>
        <family val="1"/>
      </rPr>
      <t>Manufacturer: Skyline
Material: Marble
Color: White Fantasy
Level: 4
Finish: Polished
Locations:
Pantry
Edge Style: Eased
4" Backsplash and Sidesplash
Laundry
Edge Style: Eased
4" Backsplash and Sidesplash
Dog Crate
Edge Style: Eased
4" Backsplash and Sidesplash (Left side)
Drop Zone
Edge Style: Eased
4" Backsplash and Sidesplash</t>
    </r>
  </si>
  <si>
    <r>
      <t xml:space="preserve">Super White: 
</t>
    </r>
    <r>
      <rPr>
        <strike/>
        <sz val="14"/>
        <rFont val="Times New Roman"/>
        <family val="1"/>
      </rPr>
      <t>Manufacturer: Skyline
Material: Quartz
Color: Super White
Level: 3
Finish: Polished
Locations
Kitchen Perimeter 
Edge Style: Eased
No Backsplash
Wet Bar
Edge Style: Eased
No Backsplash
Entertainment Cabinets
Edge Style: Eased
No Backsplash
Master Bathroom Countertops
No Backsplash 
No Side Splash
Bath #2
Edge Style: Eased
4" Backsplash &amp; Sidesplash
Bath #3
Edge Style: Eased
4" Backsplash &amp; Sidesplash</t>
    </r>
    <r>
      <rPr>
        <b/>
        <strike/>
        <sz val="14"/>
        <rFont val="Times New Roman"/>
        <family val="1"/>
      </rPr>
      <t xml:space="preserve">	</t>
    </r>
  </si>
  <si>
    <t>need bobbys docs</t>
  </si>
  <si>
    <t>Light Fixture Allowance: Vendor - Fergason</t>
  </si>
  <si>
    <t>Vendor: ITS
Manufacturer: Tremron
Color: Glacier (Pervious)
Installation Pattern: Euro 3pc Random 
(See Attached Photo)
Locations:
Driveway 
Walkway
Front Entry</t>
  </si>
  <si>
    <r>
      <t xml:space="preserve">Paver Allowance: More may be needed once survey is finalized and approved. 
</t>
    </r>
    <r>
      <rPr>
        <sz val="14"/>
        <rFont val="Times New Roman"/>
        <family val="1"/>
      </rPr>
      <t>Vendor: ITS
Manufacturer: Tremron
Color: Glacier (Pervious)
Installation Pattern: Euro 3pc Random 
(See Attached Photo)
Locations:
Driveway 
Walkway
Front Entry</t>
    </r>
  </si>
  <si>
    <r>
      <t xml:space="preserve">Plumbing Allowance: </t>
    </r>
    <r>
      <rPr>
        <strike/>
        <sz val="14"/>
        <rFont val="Times New Roman"/>
        <family val="1"/>
      </rPr>
      <t>This allowance is for base plumbing for the home. Upgraded or added items will be priced separately below.</t>
    </r>
    <r>
      <rPr>
        <b/>
        <strike/>
        <sz val="14"/>
        <rFont val="Times New Roman"/>
        <family val="1"/>
      </rPr>
      <t xml:space="preserve"> </t>
    </r>
  </si>
  <si>
    <t xml:space="preserve">Plumbing - Bath Accessories </t>
  </si>
  <si>
    <r>
      <t xml:space="preserve">Manufacturer: </t>
    </r>
    <r>
      <rPr>
        <strike/>
        <sz val="14"/>
        <rFont val="Times New Roman"/>
        <family val="1"/>
      </rPr>
      <t xml:space="preserve">Moen
Model: YB0708BZG
Style: Jase
Color: Bronzed Gold
Description: Jase Bronzed Gold Pivoting Paper Holder 
QTY: 1 
Locations: Master Bathroom Toilet Room — Right side of toilet
</t>
    </r>
    <r>
      <rPr>
        <b/>
        <strike/>
        <sz val="14"/>
        <rFont val="Times New Roman"/>
        <family val="1"/>
      </rPr>
      <t>Manufacturer</t>
    </r>
    <r>
      <rPr>
        <strike/>
        <sz val="14"/>
        <rFont val="Times New Roman"/>
        <family val="1"/>
      </rPr>
      <t xml:space="preserve">: Moen
Model: YB0786BZG
Style: Jase
Color: Bronzed Gold
Description: Jase Bronzed Gold Towel Ring
QTY: 2
Locations: Master Bathroom Sinks
Sink 1 (Left side of room): Install on wall to the left of the sink
Sink 2 (Right side of room): Install on wall to the right of the sink
</t>
    </r>
  </si>
  <si>
    <t>this should not be on the COF its not an upgrade or add</t>
  </si>
  <si>
    <r>
      <t xml:space="preserve">Manufacturer: </t>
    </r>
    <r>
      <rPr>
        <strike/>
        <sz val="14"/>
        <rFont val="Times New Roman"/>
        <family val="1"/>
      </rPr>
      <t xml:space="preserve">Moen
Model: BH3886BL
Style: Genta LX
Color: Matte Black
Description: Genta LX Matte Black Hand Towel Bar
QTY: 4
Locations: 
Laundry:(Left of sink) @ 20" above countertop
Pantry: (Right of sink) @ 20" above countertop
Bath #2 (Right of sink) @ 20" above countertop
Bath #3 (Right of sink) @ 20" above countertop
</t>
    </r>
    <r>
      <rPr>
        <b/>
        <strike/>
        <sz val="14"/>
        <rFont val="Times New Roman"/>
        <family val="1"/>
      </rPr>
      <t>Manufacturer</t>
    </r>
    <r>
      <rPr>
        <strike/>
        <sz val="14"/>
        <rFont val="Times New Roman"/>
        <family val="1"/>
      </rPr>
      <t>: Moen
Model: BH3808BL
Style: Genta LX
Color: Matte Black
Description: Genta LX Matte Black Pivoting Toilet Paper Holder
QTY: 2
Locations: 
Bath #2 (On exterior wall) @26" A.F.F.
Bath #3 (On exterior wall) @26" A.F.F.</t>
    </r>
  </si>
  <si>
    <r>
      <t xml:space="preserve">Plumbing - Tankless Water Heater: </t>
    </r>
    <r>
      <rPr>
        <strike/>
        <sz val="14"/>
        <rFont val="Times New Roman"/>
        <family val="1"/>
      </rPr>
      <t>Manufacturer: Rinnai
Model Numbers: RUR199e (REU-NP3237W-US)
Approved Gas Types: Propane
Wi-Fi Technology for Remote Monitoring and Management</t>
    </r>
  </si>
  <si>
    <t>Plumbing</t>
  </si>
  <si>
    <r>
      <t xml:space="preserve">Upgraded from a Platinum Featured Collection to the below
Manufacturer: </t>
    </r>
    <r>
      <rPr>
        <sz val="14"/>
        <rFont val="Times New Roman"/>
        <family val="1"/>
      </rPr>
      <t xml:space="preserve">Moen
Model: YB0708BZG
Style: Jase
Color: Bronzed Gold
Description: Jase Bronzed Gold Pivoting Paper Holder 
QTY: 1 
Locations: Master Bathroom Toilet Room — Right side of toilet
</t>
    </r>
    <r>
      <rPr>
        <b/>
        <sz val="14"/>
        <rFont val="Times New Roman"/>
        <family val="1"/>
      </rPr>
      <t>Manufacturer</t>
    </r>
    <r>
      <rPr>
        <sz val="14"/>
        <rFont val="Times New Roman"/>
        <family val="1"/>
      </rPr>
      <t xml:space="preserve">: Moen
Model: YB0786BZG
Style: Jase
Color: Bronzed Gold
Description: Jase Bronzed Gold Towel Ring
QTY: 2
Locations: Master Bathroom Sinks
Sink 1 (Left side of room): Install on wall to the left of the sink
Sink 2 (Right side of room): Install on wall to the right of the sink
</t>
    </r>
  </si>
  <si>
    <r>
      <t xml:space="preserve">Garbage Disposal: Upgraded from a Platinum Featured Collection to the below:
</t>
    </r>
    <r>
      <rPr>
        <sz val="14"/>
        <rFont val="Times New Roman"/>
        <family val="1"/>
      </rPr>
      <t xml:space="preserve">Manufacturer: Moen
Model: EXL100C
Description: EX Series 1 Horsepower Lighted Garbage Disposal
</t>
    </r>
  </si>
  <si>
    <r>
      <t xml:space="preserve">Garbage Disposal Switch: Upgraded from under sink switch to the below: 
</t>
    </r>
    <r>
      <rPr>
        <sz val="14"/>
        <rFont val="Times New Roman"/>
        <family val="1"/>
      </rPr>
      <t>Air Switch: Manufacturer: Moen
Model: AS-4201-BL
Quantity: 1
Location: Kitchen</t>
    </r>
  </si>
  <si>
    <r>
      <t xml:space="preserve">Plumbing - Disposal: </t>
    </r>
    <r>
      <rPr>
        <strike/>
        <sz val="14"/>
        <rFont val="Times New Roman"/>
        <family val="1"/>
      </rPr>
      <t xml:space="preserve">Manufacturer: Moen
Model: EXL100C
Description: EX Series 1 Horsepower Lighted Garbage Disposal
</t>
    </r>
    <r>
      <rPr>
        <b/>
        <strike/>
        <sz val="14"/>
        <rFont val="Times New Roman"/>
        <family val="1"/>
      </rPr>
      <t xml:space="preserve">Air Switch: </t>
    </r>
    <r>
      <rPr>
        <strike/>
        <sz val="14"/>
        <rFont val="Times New Roman"/>
        <family val="1"/>
      </rPr>
      <t>Manufacturer: Moen
Model: AS-4201-BL
Quantity: 1
Location: Kitchen</t>
    </r>
  </si>
  <si>
    <t>kitchen is faucet is not an upgrade</t>
  </si>
  <si>
    <r>
      <t xml:space="preserve"> Kitchen </t>
    </r>
    <r>
      <rPr>
        <strike/>
        <sz val="14"/>
        <rFont val="Times New Roman"/>
        <family val="1"/>
      </rPr>
      <t xml:space="preserve">Manufacturer: Moen
Model: 7882BL
Collection: Genta LX
Description: Genta Matte Black One-Handle High Arc Kitchen Faucet
Finish: Matte Black
Qty: 1
Location: Kitchen
</t>
    </r>
    <r>
      <rPr>
        <b/>
        <strike/>
        <sz val="14"/>
        <rFont val="Times New Roman"/>
        <family val="1"/>
      </rPr>
      <t xml:space="preserve">Pot Filler: </t>
    </r>
    <r>
      <rPr>
        <strike/>
        <sz val="14"/>
        <rFont val="Times New Roman"/>
        <family val="1"/>
      </rPr>
      <t xml:space="preserve">Manufacturer: Moen
Model: S665BL
Style: Modern Matte Black Pot Filler Kitchen Faucet
Finish: Matte Black
Qty: 1
Location: Kitchen
</t>
    </r>
  </si>
  <si>
    <t>not an upgrade</t>
  </si>
  <si>
    <r>
      <t xml:space="preserve">Wet Bar: </t>
    </r>
    <r>
      <rPr>
        <strike/>
        <sz val="14"/>
        <rFont val="Times New Roman"/>
        <family val="1"/>
      </rPr>
      <t xml:space="preserve">Manufacturer: Moen
Model: 5882BZG
Collection: Genta LX
Description: Genta LX Bronzed gold one-handle high arc bar faucet
Finish: Bronzed Gold
Qty: 1
Location: Wet Bar
</t>
    </r>
    <r>
      <rPr>
        <b/>
        <strike/>
        <sz val="14"/>
        <rFont val="Times New Roman"/>
        <family val="1"/>
      </rPr>
      <t xml:space="preserve">Pantry: </t>
    </r>
    <r>
      <rPr>
        <strike/>
        <sz val="14"/>
        <rFont val="Times New Roman"/>
        <family val="1"/>
      </rPr>
      <t>Manufacturer: Moen
Model: 7882BL
Collection: Genta LX
Description: Genta Matte Black One-Handle High Arc Kitchen Faucet
Finish: Matte Black
Qty: 1
Location: Pantry</t>
    </r>
  </si>
  <si>
    <r>
      <t xml:space="preserve">Upgraded: This is a Platinum Featured Collection. The Finish is an upgrade.
</t>
    </r>
    <r>
      <rPr>
        <sz val="14"/>
        <rFont val="Times New Roman"/>
        <family val="1"/>
      </rPr>
      <t>Master Bath Faucet: Manufacturer: Moen
Model: TV64433BZG
Collection: Jase
Description: Jase Bronzed gold two-handle high arc bathroom faucet
Finish: Bronzed Gold
Qty: 2
Location: Master Bath</t>
    </r>
  </si>
  <si>
    <t>bath 2 and 3 not an upgrade</t>
  </si>
  <si>
    <r>
      <t>Master Bath Faucet:</t>
    </r>
    <r>
      <rPr>
        <strike/>
        <sz val="14"/>
        <rFont val="Times New Roman"/>
        <family val="1"/>
      </rPr>
      <t xml:space="preserve"> Manufacturer: Moen
Model: TV64433BZG
Collection: Jase
Description: Jase Bronzed gold two-handle high arc bathroom faucet
Finish: Bronzed Gold
Qty: 2
Location: Master Bath
</t>
    </r>
    <r>
      <rPr>
        <b/>
        <strike/>
        <sz val="14"/>
        <rFont val="Times New Roman"/>
        <family val="1"/>
      </rPr>
      <t xml:space="preserve">Bath 2-3: </t>
    </r>
    <r>
      <rPr>
        <strike/>
        <sz val="14"/>
        <rFont val="Times New Roman"/>
        <family val="1"/>
      </rPr>
      <t>Manufacturer: Moen
Model: 64430BL
Collection: Jase
Description: Jase Matte black one-handle high arc bathroom faucet
Finish: Matte Black
Qty: 2 (One in each bathroom)
Location: Bath #2 &amp; Bath #3</t>
    </r>
  </si>
  <si>
    <r>
      <t xml:space="preserve">Laundry Faucet: </t>
    </r>
    <r>
      <rPr>
        <strike/>
        <sz val="14"/>
        <rFont val="Times New Roman"/>
        <family val="1"/>
      </rPr>
      <t xml:space="preserve">Manufacturer: Moen
Model: 7882BL
Collection: Genta LX
Description: Genta Matte Black One-Handle High Arc Kitchen Faucet
Finish: Matte Black
Qty: 1
Location: Laundry
</t>
    </r>
    <r>
      <rPr>
        <b/>
        <strike/>
        <sz val="14"/>
        <rFont val="Times New Roman"/>
        <family val="1"/>
      </rPr>
      <t xml:space="preserve">Summer Kitchen Faucet: </t>
    </r>
    <r>
      <rPr>
        <strike/>
        <sz val="14"/>
        <rFont val="Times New Roman"/>
        <family val="1"/>
      </rPr>
      <t>Manufacturer: Moen
Model: 7882SRS
Collection: Genta LX
Description: Genta Spot Resist Stainless One-Handle High Arc Kitchen Faucet
Finish: Spot Resist Stainless
Qty: 1
Location: Summer Kitchen</t>
    </r>
  </si>
  <si>
    <r>
      <t xml:space="preserve">Plumbing - Filtration System: </t>
    </r>
    <r>
      <rPr>
        <strike/>
        <sz val="14"/>
        <rFont val="Times New Roman"/>
        <family val="1"/>
      </rPr>
      <t xml:space="preserve">Wet bar Beverage Faucet 
Manufacturer: Moen
Model: F7660BZG
Description: Sip Modern Bronzed Gold one-handle high arc beverage faucet
Finish: Bronzed Gold
Qty: 1
Location: Wet Bar
</t>
    </r>
    <r>
      <rPr>
        <b/>
        <strike/>
        <sz val="14"/>
        <rFont val="Times New Roman"/>
        <family val="1"/>
      </rPr>
      <t xml:space="preserve">Filtration System: </t>
    </r>
    <r>
      <rPr>
        <strike/>
        <sz val="14"/>
        <rFont val="Times New Roman"/>
        <family val="1"/>
      </rPr>
      <t>Manufacturer: Moen
Model: F9800
Description: Single-Stage Under Sink Advanced Water Filtration System
Qty: 1
Location: Wet Bar</t>
    </r>
  </si>
  <si>
    <t>do not transfer</t>
  </si>
  <si>
    <r>
      <t xml:space="preserve">Plumbing - Showers: Master Bath </t>
    </r>
    <r>
      <rPr>
        <strike/>
        <sz val="14"/>
        <rFont val="Times New Roman"/>
        <family val="1"/>
      </rPr>
      <t>INCLUDED
Manufacturer: Moen
Model: T2412EPBZG
Description: Jase Bronzed gold (bzg) Posi-Temp® shower only
Finish: Bronzed gold
Quantity: 2
Location: Master Shower
NOTE: Do not use valve trim attached to this system. See correct diverter valve trim listed.</t>
    </r>
  </si>
  <si>
    <r>
      <t xml:space="preserve">Plumbing - Showers: Master Shower handheld 
</t>
    </r>
    <r>
      <rPr>
        <strike/>
        <sz val="14"/>
        <rFont val="Times New Roman"/>
        <family val="1"/>
      </rPr>
      <t>ADD TO COF
Manufacturer: Moen
Model: 3887EPBZG
Description: Moen Bronzed gold eco-performance handshower handheld shower
Finish: Bronzed gold
Quantity: 2
Location: Master Shower</t>
    </r>
  </si>
  <si>
    <r>
      <t xml:space="preserve">Plumbing - Showers: Master Drop Ell for Handshower 
</t>
    </r>
    <r>
      <rPr>
        <strike/>
        <sz val="14"/>
        <rFont val="Times New Roman"/>
        <family val="1"/>
      </rPr>
      <t>ADD TO COF
Manufacturer: Moen
Model: A725BZG
Description: Moen Bronzed gold drop ell
Finish: Bronzed gold
Quantity: 2
Location: Master Shower</t>
    </r>
  </si>
  <si>
    <r>
      <t xml:space="preserve">Plumbing - Showers: Master Diverter Trim Valve 
</t>
    </r>
    <r>
      <rPr>
        <strike/>
        <sz val="14"/>
        <rFont val="Times New Roman"/>
        <family val="1"/>
      </rPr>
      <t>ADD TO COF
Manufacturer: Moen
Model: T2195BZG
Description: Jase Bronzed gold Posi-Temp® with diverter valve trim
Finish: Bronzed gold
Quantity: 2
Location: Master Shower</t>
    </r>
  </si>
  <si>
    <r>
      <t xml:space="preserve">Plumbing - Showers: Bath 2
</t>
    </r>
    <r>
      <rPr>
        <strike/>
        <sz val="14"/>
        <rFont val="Times New Roman"/>
        <family val="1"/>
      </rPr>
      <t>INCLUDED
Manufacturer: Moen
Model: T2412EPBL
Description: Jase Matte Black Posi-Temp® shower only
Finish: Matte Black
Quantity: 1
Location: Bath #2</t>
    </r>
  </si>
  <si>
    <r>
      <t xml:space="preserve">Plumbing - Showers: Bath 3 
</t>
    </r>
    <r>
      <rPr>
        <strike/>
        <sz val="14"/>
        <rFont val="Times New Roman"/>
        <family val="1"/>
      </rPr>
      <t>INCLUDED
Manufacturer: Moen
Model: T2412EPBL
Description: Jase Matte Black Posi-Temp® shower only
Finish: Matte Black
Quantity: 1
Location: Bath #3</t>
    </r>
  </si>
  <si>
    <r>
      <t xml:space="preserve">Plumbing - Showers: Drains 2-3 
</t>
    </r>
    <r>
      <rPr>
        <strike/>
        <sz val="14"/>
        <rFont val="Times New Roman"/>
        <family val="1"/>
      </rPr>
      <t>Manufacturer: Oatey
Description: 4" Standard Square Shower Drain
Color: Matte Black
Locations: Bath #2 &amp; #3
Supplied By: Plumber</t>
    </r>
  </si>
  <si>
    <r>
      <t xml:space="preserve">Plumbing - Showers: Linear Drain
</t>
    </r>
    <r>
      <rPr>
        <strike/>
        <sz val="14"/>
        <rFont val="Times New Roman"/>
        <family val="1"/>
      </rPr>
      <t>ADD TO COF
Location: Master Bath
Tile-In Linear Shower Drain
Model: Per Plumber
QTY: 2
Finish: To Match Shower Head Finish 
Supplied By: Plumber</t>
    </r>
  </si>
  <si>
    <r>
      <t xml:space="preserve">Plumbing - Kitchen Sink 
</t>
    </r>
    <r>
      <rPr>
        <strike/>
        <sz val="14"/>
        <rFont val="Times New Roman"/>
        <family val="1"/>
      </rPr>
      <t>Kohler Riverby 33" Undermount Single-Bowl Workstation Kitchen Sink
Model: K-5871-5UPC-7
Item: bci5056189
from theRiverby Collection</t>
    </r>
  </si>
  <si>
    <r>
      <t>Plumbing - Toilets: Master bath</t>
    </r>
    <r>
      <rPr>
        <strike/>
        <sz val="14"/>
        <rFont val="Times New Roman"/>
        <family val="1"/>
      </rPr>
      <t xml:space="preserve">
Manufacturer: Kohler
Model: K-3999 and K-4636
Description: Highline® Comfort Height® Two-piece elongated 1.28 gpf chair height toilet with Cachet Elongated Quiet Close Seat
*Match handle color to faucet color in said room*
</t>
    </r>
    <r>
      <rPr>
        <b/>
        <strike/>
        <sz val="14"/>
        <rFont val="Times New Roman"/>
        <family val="1"/>
      </rPr>
      <t xml:space="preserve">Bath #2: </t>
    </r>
    <r>
      <rPr>
        <strike/>
        <sz val="14"/>
        <rFont val="Times New Roman"/>
        <family val="1"/>
      </rPr>
      <t xml:space="preserve">Manufacturer: Kohler
Model: K-3999 and K-4636
Description: Highline® Comfort Height® Two-piece elongated 1.28 gpf chair height toilet with Cachet Elongated Quiet Close Seat
*Match handle color to faucet color*
</t>
    </r>
    <r>
      <rPr>
        <b/>
        <strike/>
        <sz val="14"/>
        <rFont val="Times New Roman"/>
        <family val="1"/>
      </rPr>
      <t>Bath #3:</t>
    </r>
    <r>
      <rPr>
        <strike/>
        <sz val="14"/>
        <rFont val="Times New Roman"/>
        <family val="1"/>
      </rPr>
      <t xml:space="preserve"> Manufacturer: Kohler
Model: K-3999 and K-4636
Description: Highline® Comfort Height® Two-piece elongated 1.28 gpf chair height toilet with Cachet Elongated Quiet Close Seat
*Match handle color to faucet color*</t>
    </r>
  </si>
  <si>
    <t>Master Bathroom Tub: Drop in tub located in shower was changed to a freestanding tub. Drop in tub on plan does not fit in the space. Tommy can make the Master shower larger on next plans</t>
  </si>
  <si>
    <r>
      <t>Plumbing - Tub and Fixture
Master</t>
    </r>
    <r>
      <rPr>
        <strike/>
        <sz val="14"/>
        <rFont val="Times New Roman"/>
        <family val="1"/>
      </rPr>
      <t xml:space="preserve"> </t>
    </r>
    <r>
      <rPr>
        <b/>
        <strike/>
        <sz val="14"/>
        <rFont val="Times New Roman"/>
        <family val="1"/>
      </rPr>
      <t>Tub</t>
    </r>
    <r>
      <rPr>
        <strike/>
        <sz val="14"/>
        <rFont val="Times New Roman"/>
        <family val="1"/>
      </rPr>
      <t xml:space="preserve"> - Manufacturer: Royal Bath
Model: Brazos VI Drop-In Bathtub
Faucet Mount: Deck-Mounted
Size: 6-Foot: 72” L x 37” W x 21” D
Finish/Color: White
Tub Drain and Overflow Color: MATCH PLUMBING FIXTURES
Quantity: 1
Notes: FIELD NEEDS TO MEASURE CLEARANCE SPACE BEFORE ORDERING
Deleted during walk through. changed to below tub
Manufacturer: Royal Bath
Model: FS-2051
Description: The Paloma is a 5.5-foot acrylic freestanding tub with a center drain.
Faucet Mount: Deck-Mounted
Size: 5.5-Foot: (67” L x 32” W x 23” D)
Finish/Color: White
Quantity: 1</t>
    </r>
  </si>
  <si>
    <r>
      <t xml:space="preserve">Upgraded from a Platinum Featured Collection to the below:
</t>
    </r>
    <r>
      <rPr>
        <sz val="14"/>
        <rFont val="Times New Roman"/>
        <family val="1"/>
      </rPr>
      <t>Linear Drain
Location: Master Bath
Tile-In Linear Shower Drain
Model: Per Plumber
QTY: 2
Finish: To Match Shower Head Finish 
Supplied By: Plumber</t>
    </r>
  </si>
  <si>
    <r>
      <t xml:space="preserve">Upgraded: This is a Platinum Featured Collection. The Finish is an upgrade.
</t>
    </r>
    <r>
      <rPr>
        <sz val="14"/>
        <rFont val="Times New Roman"/>
        <family val="1"/>
      </rPr>
      <t>Master Fixture - Manufacturer: Moen
Model: T430BZG
Collection: Jase
Description: Jase Bronzed gold two-handle non diverter roman tub faucet
Finish: Bronzed Gold
Quantity: 1
Location: Master Bathroom</t>
    </r>
  </si>
  <si>
    <t>Pool Allowance: Collins Built Pools</t>
  </si>
  <si>
    <t>Eric dp you want me to change the Soffit from Hardie</t>
  </si>
  <si>
    <r>
      <t xml:space="preserve">Roofing: </t>
    </r>
    <r>
      <rPr>
        <strike/>
        <sz val="14"/>
        <rFont val="Times New Roman"/>
        <family val="1"/>
      </rPr>
      <t xml:space="preserve">Manufacturer: Eagle Roofing
Style: Bel Air
Color: 4503 Sierra Madre
Drip Edge - White 
Soffit - White, Hardie
Fascia - White </t>
    </r>
  </si>
  <si>
    <t>Kitchen Pot Filler Location. Model Listed in Plumbing Allowances</t>
  </si>
  <si>
    <t>Beams in Tray Ceilings See Specialites</t>
  </si>
  <si>
    <t xml:space="preserve">Window Master Bathroom: Remove 6020 FG window and Frame in opening. Adjust elec. For vanity lights. </t>
  </si>
  <si>
    <r>
      <rPr>
        <b/>
        <strike/>
        <sz val="14"/>
        <rFont val="Times New Roman"/>
        <family val="1"/>
      </rPr>
      <t>Master Bathroom</t>
    </r>
    <r>
      <rPr>
        <strike/>
        <sz val="14"/>
        <rFont val="Times New Roman"/>
        <family val="1"/>
      </rPr>
      <t xml:space="preserve">: Remove 6020 FG window and Frame in opening. Adjust elec. For vanity lights. </t>
    </r>
  </si>
  <si>
    <r>
      <t xml:space="preserve">Windows &amp; Sliders: 
</t>
    </r>
    <r>
      <rPr>
        <sz val="14"/>
        <rFont val="Times New Roman"/>
        <family val="1"/>
      </rPr>
      <t xml:space="preserve">Grid: Per Plans
Exterior Color: Black
Interior Color: Black
Locations: Front Elevation, Above Front Entry Door, Rear Elevation, Side Elevation, Obscured Windows, Glass Sliders
</t>
    </r>
    <r>
      <rPr>
        <b/>
        <sz val="14"/>
        <rFont val="Times New Roman"/>
        <family val="1"/>
      </rPr>
      <t xml:space="preserve">Window Screens: </t>
    </r>
    <r>
      <rPr>
        <sz val="14"/>
        <color rgb="FFFF0000"/>
        <rFont val="Times New Roman"/>
        <family val="1"/>
      </rPr>
      <t>NOTE:  Screens are included for operable windows.  Screens are NOT standard for Glass Sliders.  If you would like a screen for your slider, this will be added to your change order for pricing.</t>
    </r>
    <r>
      <rPr>
        <sz val="14"/>
        <rFont val="Times New Roman"/>
        <family val="1"/>
      </rPr>
      <t xml:space="preserve">
</t>
    </r>
  </si>
  <si>
    <r>
      <rPr>
        <b/>
        <sz val="14"/>
        <rFont val="Times New Roman"/>
        <family val="1"/>
      </rPr>
      <t>Master Bathroom</t>
    </r>
    <r>
      <rPr>
        <sz val="14"/>
        <rFont val="Times New Roman"/>
        <family val="1"/>
      </rPr>
      <t>: Remove 6020 FG window and Frame in opening. Adjust elec. For vanity lights. (See Allowances)</t>
    </r>
  </si>
  <si>
    <r>
      <t xml:space="preserve">Master Bathroom: </t>
    </r>
    <r>
      <rPr>
        <sz val="14"/>
        <rFont val="Times New Roman"/>
        <family val="1"/>
      </rPr>
      <t>Remove 6020 FG window and Frame in opening. Adjust elec. For vanity lights</t>
    </r>
  </si>
  <si>
    <t>See Allowances Above</t>
  </si>
  <si>
    <r>
      <t xml:space="preserve">Window Sliders: 
</t>
    </r>
    <r>
      <rPr>
        <strike/>
        <sz val="14"/>
        <rFont val="Times New Roman"/>
        <family val="1"/>
      </rPr>
      <t xml:space="preserve">Grid: Per Plans
Exterior Color: Black
Interior Color: Black
Locations: Front Elevation, Above Front Entry Door, Rear Elevation, Side Elevation, Obscured Windows, Glass Sliders
</t>
    </r>
    <r>
      <rPr>
        <b/>
        <strike/>
        <sz val="14"/>
        <rFont val="Times New Roman"/>
        <family val="1"/>
      </rPr>
      <t xml:space="preserve">Window Screens: </t>
    </r>
    <r>
      <rPr>
        <strike/>
        <sz val="14"/>
        <color rgb="FFFF0000"/>
        <rFont val="Times New Roman"/>
        <family val="1"/>
      </rPr>
      <t>NOTE:  Screens are included for operable windows.  Screens are NOT standard for Glass Sliders.  If you would like a screen for your slider, this will be added to your change order for pricing.</t>
    </r>
    <r>
      <rPr>
        <strike/>
        <sz val="14"/>
        <rFont val="Times New Roman"/>
        <family val="1"/>
      </rPr>
      <t xml:space="preserve">
</t>
    </r>
  </si>
  <si>
    <r>
      <t xml:space="preserve">Master Bathroom: </t>
    </r>
    <r>
      <rPr>
        <strike/>
        <sz val="14"/>
        <rFont val="Times New Roman"/>
        <family val="1"/>
      </rPr>
      <t>Remove 6020 FG window and Frame in opening. Adjust elec. For vanity lights</t>
    </r>
  </si>
  <si>
    <t>Not an upgrade</t>
  </si>
  <si>
    <r>
      <t xml:space="preserve">Attic Lift: </t>
    </r>
    <r>
      <rPr>
        <strike/>
        <sz val="14"/>
        <rFont val="Times New Roman"/>
        <family val="1"/>
      </rPr>
      <t xml:space="preserve">Manufacturer: Marwin
Description: Aluminum Pull-Down Attic Stairs
Model: Titan T-201 
Dimensions: 30" x 54" x 10"- 4"  
Opening Size: Per Plans
</t>
    </r>
    <r>
      <rPr>
        <strike/>
        <sz val="14"/>
        <color rgb="FFFF0000"/>
        <rFont val="Times New Roman"/>
        <family val="1"/>
      </rPr>
      <t>Note: Confirm height of ceiling before purchasing.</t>
    </r>
  </si>
  <si>
    <r>
      <rPr>
        <b/>
        <strike/>
        <sz val="14"/>
        <rFont val="Times New Roman"/>
        <family val="1"/>
      </rPr>
      <t>Base/Skirtboard / Under Sill:</t>
    </r>
    <r>
      <rPr>
        <strike/>
        <sz val="14"/>
        <rFont val="Times New Roman"/>
        <family val="1"/>
      </rPr>
      <t xml:space="preserve"> Description: Base Molding, Skirt Board, Under Window Sill.
Manufacturer: MSI
Style: LWM 4335
Size: 9/16" x 5-1/4"
Color: Primed and Painted - See Paint Schedule</t>
    </r>
  </si>
  <si>
    <r>
      <rPr>
        <b/>
        <strike/>
        <sz val="14"/>
        <rFont val="Times New Roman"/>
        <family val="1"/>
      </rPr>
      <t xml:space="preserve">Door Casing and Under Window Sill Trim: </t>
    </r>
    <r>
      <rPr>
        <strike/>
        <sz val="14"/>
        <rFont val="Times New Roman"/>
        <family val="1"/>
      </rPr>
      <t>Description: Door Casing
Style: SQ Edge Casing
Size: 1 x 4(3/4" x 3-1/2")
Color: See Paint &amp; Stain Finish Selection Sheet</t>
    </r>
  </si>
  <si>
    <r>
      <t xml:space="preserve">Stucco: </t>
    </r>
    <r>
      <rPr>
        <strike/>
        <sz val="14"/>
        <rFont val="Times New Roman"/>
        <family val="1"/>
      </rPr>
      <t xml:space="preserve">Exterior Finish - Linear Skip Trowel (Most popular) </t>
    </r>
    <r>
      <rPr>
        <b/>
        <strike/>
        <sz val="14"/>
        <rFont val="Times New Roman"/>
        <family val="1"/>
      </rPr>
      <t xml:space="preserve">
Banded Windows: </t>
    </r>
    <r>
      <rPr>
        <strike/>
        <sz val="14"/>
        <rFont val="Times New Roman"/>
        <family val="1"/>
      </rPr>
      <t xml:space="preserve">Per plan </t>
    </r>
    <r>
      <rPr>
        <b/>
        <strike/>
        <sz val="14"/>
        <rFont val="Times New Roman"/>
        <family val="1"/>
      </rPr>
      <t xml:space="preserve">
Decorative Foam Bands: </t>
    </r>
    <r>
      <rPr>
        <strike/>
        <sz val="14"/>
        <rFont val="Times New Roman"/>
        <family val="1"/>
      </rPr>
      <t xml:space="preserve">Per plan 
</t>
    </r>
    <r>
      <rPr>
        <b/>
        <strike/>
        <sz val="14"/>
        <rFont val="Times New Roman"/>
        <family val="1"/>
      </rPr>
      <t xml:space="preserve">Exterior Ceilings: </t>
    </r>
    <r>
      <rPr>
        <strike/>
        <sz val="14"/>
        <rFont val="Times New Roman"/>
        <family val="1"/>
      </rPr>
      <t xml:space="preserve">Per Plan </t>
    </r>
    <r>
      <rPr>
        <b/>
        <strike/>
        <sz val="14"/>
        <rFont val="Times New Roman"/>
        <family val="1"/>
      </rPr>
      <t xml:space="preserve">
Interior Garage Walls: </t>
    </r>
    <r>
      <rPr>
        <strike/>
        <sz val="14"/>
        <rFont val="Times New Roman"/>
        <family val="1"/>
      </rPr>
      <t xml:space="preserve">Smooth Skim Coat Stucco &amp; Painted </t>
    </r>
  </si>
  <si>
    <t>Carpentry - Trim Carpentry</t>
  </si>
  <si>
    <r>
      <t xml:space="preserve">Upgrading from platinum selection to: 
</t>
    </r>
    <r>
      <rPr>
        <strike/>
        <sz val="14"/>
        <rFont val="Times New Roman"/>
        <family val="1"/>
      </rPr>
      <t xml:space="preserve">Style: Cove Crown
Size: 5 1/4"
Locations:
Main Living Area
Master Bedroom Suite 
Master Bedroom Tray Ceiling 
Master Bathroom Tray Ceiling </t>
    </r>
  </si>
  <si>
    <r>
      <rPr>
        <b/>
        <strike/>
        <sz val="14"/>
        <rFont val="Times New Roman"/>
        <family val="1"/>
      </rPr>
      <t xml:space="preserve">HVAC: </t>
    </r>
    <r>
      <rPr>
        <strike/>
        <sz val="14"/>
        <rFont val="Times New Roman"/>
        <family val="1"/>
      </rPr>
      <t xml:space="preserve">Filter - STD: Washable Filter. Metal  
Bath Fan - Exhaust Fan Standard 50 CFM Model: 688 
Registers - Color: White </t>
    </r>
  </si>
  <si>
    <t>HVAC</t>
  </si>
  <si>
    <r>
      <rPr>
        <b/>
        <strike/>
        <sz val="14"/>
        <rFont val="Times New Roman"/>
        <family val="1"/>
      </rPr>
      <t xml:space="preserve">Insulation: </t>
    </r>
    <r>
      <rPr>
        <strike/>
        <sz val="14"/>
        <rFont val="Times New Roman"/>
        <family val="1"/>
      </rPr>
      <t xml:space="preserve">Garage Walls - R11 
Living Area Ceiling - R38 Blown/Batt 
Outslide Walls - PLAT. - 3/4" Foam 
Interior Ceiling - PLAT. R-38 Blown/Batt - Trays </t>
    </r>
  </si>
  <si>
    <r>
      <rPr>
        <b/>
        <strike/>
        <sz val="14"/>
        <rFont val="Times New Roman"/>
        <family val="1"/>
      </rPr>
      <t xml:space="preserve">Exterior Paint: </t>
    </r>
    <r>
      <rPr>
        <strike/>
        <sz val="14"/>
        <rFont val="Times New Roman"/>
        <family val="1"/>
      </rPr>
      <t xml:space="preserve">Manufacturer: Sherwin Williams
</t>
    </r>
    <r>
      <rPr>
        <strike/>
        <sz val="14"/>
        <color rgb="FFFF0000"/>
        <rFont val="Times New Roman"/>
        <family val="1"/>
      </rPr>
      <t>Color</t>
    </r>
    <r>
      <rPr>
        <strike/>
        <sz val="14"/>
        <rFont val="Times New Roman"/>
        <family val="1"/>
      </rPr>
      <t xml:space="preserve">: SW 7009 Pearly White 
Areas: Main Body, Trim &amp; Banding
Manufacturer: Sherwin Williams
</t>
    </r>
    <r>
      <rPr>
        <strike/>
        <sz val="14"/>
        <color rgb="FFFF0000"/>
        <rFont val="Times New Roman"/>
        <family val="1"/>
      </rPr>
      <t>Color</t>
    </r>
    <r>
      <rPr>
        <strike/>
        <sz val="14"/>
        <rFont val="Times New Roman"/>
        <family val="1"/>
      </rPr>
      <t xml:space="preserve">: SW 7069 Iron Ore
Areas:
Front Door
Garage Doors
All Other Exterior Doors
Manufacturer: Sherwin Williams
</t>
    </r>
    <r>
      <rPr>
        <strike/>
        <sz val="14"/>
        <color rgb="FFFF0000"/>
        <rFont val="Times New Roman"/>
        <family val="1"/>
      </rPr>
      <t>Color</t>
    </r>
    <r>
      <rPr>
        <strike/>
        <sz val="14"/>
        <rFont val="Times New Roman"/>
        <family val="1"/>
      </rPr>
      <t>: RAL 7021 Black Grey 
Areas: Shutters/ Awning &amp; Metal Roof</t>
    </r>
  </si>
  <si>
    <r>
      <t xml:space="preserve">Garage Floor Coating: </t>
    </r>
    <r>
      <rPr>
        <strike/>
        <sz val="14"/>
        <rFont val="Times New Roman"/>
        <family val="1"/>
      </rPr>
      <t>Standard Collection
Stock Flake Color: Coyote
Location: Garage Floor
Basebords: N/A</t>
    </r>
  </si>
  <si>
    <r>
      <t xml:space="preserve">Gas/Propane: </t>
    </r>
    <r>
      <rPr>
        <strike/>
        <sz val="14"/>
        <rFont val="Times New Roman"/>
        <family val="1"/>
      </rPr>
      <t>250 Gallon Buried Tank (Leased) 
Included locations for Gas piping (200') - 
Cooktop
Pool Heater
Tankless Hot Water Heater</t>
    </r>
  </si>
  <si>
    <r>
      <rPr>
        <b/>
        <sz val="14"/>
        <rFont val="Times New Roman"/>
        <family val="1"/>
      </rPr>
      <t>Shutters</t>
    </r>
    <r>
      <rPr>
        <sz val="14"/>
        <rFont val="Times New Roman"/>
        <family val="1"/>
      </rPr>
      <t>: Shutter Color: See Paint Selections
Size: Per Plans
Locations: Per Plans
Install Method: Shutters over openings and windows are installed on an angel.
(4) Shutters appear to be on a solid wall with no opening. These should be installed flat. 
Note: Project Manager, please confirm installation methods with the vendor PRIOR to scheduling. </t>
    </r>
  </si>
  <si>
    <r>
      <t xml:space="preserve">Shutters: </t>
    </r>
    <r>
      <rPr>
        <strike/>
        <sz val="14"/>
        <rFont val="Times New Roman"/>
        <family val="1"/>
      </rPr>
      <t>Shutter Color: See Paint Selections
Size: Per Plans
Locations: Per Plans
Install Method: Shutters over openings and windows are installed on an angel.
(4) Shutters appear to be on a solid wall with no opening. These should be installed flat. 
Note: Project Manager, please confirm installation methods with the vendor PRIOR to scheduling. </t>
    </r>
  </si>
  <si>
    <r>
      <t xml:space="preserve">Master Bath: 
</t>
    </r>
    <r>
      <rPr>
        <sz val="14"/>
        <rFont val="Times New Roman"/>
        <family val="1"/>
      </rPr>
      <t xml:space="preserve">Shower Entry Doors
Style: Arched Doors
Swing: In &amp; Out
Handles: Rounded
Clips: To match shower fixture finish
Notes: Check vendor est. And cross reference with height of arched header.
</t>
    </r>
  </si>
  <si>
    <t xml:space="preserve">Specialties - Glass </t>
  </si>
  <si>
    <r>
      <t xml:space="preserve">Bath #2: </t>
    </r>
    <r>
      <rPr>
        <sz val="14"/>
        <rFont val="Times New Roman"/>
        <family val="1"/>
      </rPr>
      <t>Height: 8' A.F.F
Style: Bypass Glass Doors
Handles: Round Vertical (No Horiz. Bar)
Hinge Bracket: to match plumbing fixtures in shower</t>
    </r>
  </si>
  <si>
    <r>
      <t xml:space="preserve">Bath #3: </t>
    </r>
    <r>
      <rPr>
        <sz val="14"/>
        <rFont val="Times New Roman"/>
        <family val="1"/>
      </rPr>
      <t>Glass Panel on Kneewall up to 8' A.F.F.
Glass Swing Door up to 8' A.F.F.
Hinge Bracket: to match shower fixtures
Kneewall: 48" (See plans)</t>
    </r>
  </si>
  <si>
    <r>
      <t xml:space="preserve">Master Bath: 
</t>
    </r>
    <r>
      <rPr>
        <strike/>
        <sz val="14"/>
        <rFont val="Times New Roman"/>
        <family val="1"/>
      </rPr>
      <t xml:space="preserve">Shower Entry Doors
Style: Arched Doors
Swing: In &amp; Out
Handles: Rounded
Clips: To match shower fixture finish
Notes: Check vendor est. And cross reference with height of arched header.
</t>
    </r>
    <r>
      <rPr>
        <b/>
        <strike/>
        <sz val="14"/>
        <rFont val="Times New Roman"/>
        <family val="1"/>
      </rPr>
      <t xml:space="preserve">Bath #2: </t>
    </r>
    <r>
      <rPr>
        <strike/>
        <sz val="14"/>
        <rFont val="Times New Roman"/>
        <family val="1"/>
      </rPr>
      <t xml:space="preserve">Height: 8' A.F.F
Style: Bypass Glass Doors
Handles: Round Vertical (No Horiz. Bar)
Hinge Bracket: to match plumbing fixtures in shower
</t>
    </r>
    <r>
      <rPr>
        <b/>
        <strike/>
        <sz val="14"/>
        <rFont val="Times New Roman"/>
        <family val="1"/>
      </rPr>
      <t xml:space="preserve">Bath #3: </t>
    </r>
    <r>
      <rPr>
        <strike/>
        <sz val="14"/>
        <rFont val="Times New Roman"/>
        <family val="1"/>
      </rPr>
      <t xml:space="preserve">Glass Panel on Kneewall up to 8' A.F.F.
Glass Swing Door up to 8' A.F.F.
Hinge Bracket: to match shower fixtures
Kneewall: 48" (See plans)
</t>
    </r>
  </si>
  <si>
    <r>
      <t xml:space="preserve">Specialties - Mirrors - Master, Bath2, Bath3: 
</t>
    </r>
    <r>
      <rPr>
        <strike/>
        <sz val="14"/>
        <rFont val="Times New Roman"/>
        <family val="1"/>
      </rPr>
      <t xml:space="preserve">Height: 56"H Standard (to be installed directly above the countertop backsplash, and terminate at 8'-0 A.F.F.)
Style: Beveled Edge Mirror
Notes: Lights mounted on 8' Mirrors. Std. Beveled Edges.
</t>
    </r>
  </si>
  <si>
    <r>
      <t xml:space="preserve">Specialties - Wood Shelving - Bedroom Closets: 
</t>
    </r>
    <r>
      <rPr>
        <strike/>
        <sz val="14"/>
        <rFont val="Times New Roman"/>
        <family val="1"/>
      </rPr>
      <t xml:space="preserve">Color: Driftwood
Select Style: Wood Ventilated Shelving
Select Rows/Location: (See Plans)
Std. Option: Closet - 1 Row with Hanging Bar. 12" Deep. Installed @ 68" A.F.F.
</t>
    </r>
    <r>
      <rPr>
        <b/>
        <strike/>
        <sz val="14"/>
        <rFont val="Times New Roman"/>
        <family val="1"/>
      </rPr>
      <t xml:space="preserve">Linen Closets - </t>
    </r>
    <r>
      <rPr>
        <strike/>
        <sz val="14"/>
        <rFont val="Times New Roman"/>
        <family val="1"/>
      </rPr>
      <t xml:space="preserve">Color: Driftwood
Select Style: Wood Solid Shelving 
Select Rows/Location:
Std. Option: Linen - 4 Rows. 12" Deep. 16" Spacing. 
</t>
    </r>
    <r>
      <rPr>
        <b/>
        <strike/>
        <sz val="14"/>
        <rFont val="Times New Roman"/>
        <family val="1"/>
      </rPr>
      <t xml:space="preserve">Pantry - </t>
    </r>
    <r>
      <rPr>
        <strike/>
        <sz val="14"/>
        <rFont val="Times New Roman"/>
        <family val="1"/>
      </rPr>
      <t>Color: Driftwood
Select Style: Wood Solid Shelving 
Select Rows/Location: Pantry - 5 Rows. 16" Deep. 16" Spacing.</t>
    </r>
  </si>
  <si>
    <r>
      <t xml:space="preserve">Summer Ktichen: 
</t>
    </r>
    <r>
      <rPr>
        <strike/>
        <sz val="14"/>
        <rFont val="Times New Roman"/>
        <family val="1"/>
      </rPr>
      <t xml:space="preserve">Grill: 34" C-Series Grill (Model: C2C34)                                                                                
Sink: See Sink Selection                                    
Faucet: Model: See Faucet Selection                                             
Sink Access: 26" Double Access Doors (Model: CDA2426)                                                                          
Mini Ref.: 24" Outdoor Refrigerator Right Hinge C1BIR24-R                   
Under Grill: 32" Single Storage Drawer (Model: CSSD)                    
Island: 31" Dry Pantry With Drawers (Model: CDPC31)                    
Island: 14" Single Pull Out Trash &amp; Recycle (Model: CSTC)   </t>
    </r>
    <r>
      <rPr>
        <b/>
        <strike/>
        <sz val="14"/>
        <rFont val="Times New Roman"/>
        <family val="1"/>
      </rPr>
      <t>           </t>
    </r>
  </si>
  <si>
    <t>moved to allownaces</t>
  </si>
  <si>
    <r>
      <rPr>
        <b/>
        <sz val="14"/>
        <rFont val="Times New Roman"/>
        <family val="1"/>
      </rPr>
      <t>Upgraded from Drywall Shelving to the following:</t>
    </r>
    <r>
      <rPr>
        <sz val="14"/>
        <rFont val="Times New Roman"/>
        <family val="1"/>
      </rPr>
      <t xml:space="preserve">
Shelves - Master
Brand: The Barn Collection
Length: 24"
Finish Color: Weathered Siding
QTY: 8
Install: 4 on each side
Spacing: 22"</t>
    </r>
  </si>
  <si>
    <t>cross ref all bt</t>
  </si>
  <si>
    <t>Kitchen Base</t>
  </si>
  <si>
    <t>Bathrooms Base</t>
  </si>
  <si>
    <t>Laundry Base</t>
  </si>
  <si>
    <t>Location Adds</t>
  </si>
  <si>
    <t>Total Base Budget</t>
  </si>
  <si>
    <t>Hood Vent Blower only</t>
  </si>
  <si>
    <t>Laundry Dog Crate</t>
  </si>
  <si>
    <t>Laundry Sink Side</t>
  </si>
  <si>
    <t>Wet bar shelves and vertical dividers</t>
  </si>
  <si>
    <t>See tabs</t>
  </si>
  <si>
    <t>Pantry</t>
  </si>
  <si>
    <t xml:space="preserve">Wetbar  </t>
  </si>
  <si>
    <t>Over Budget</t>
  </si>
  <si>
    <t>Cabinets Bath 4</t>
  </si>
  <si>
    <t>05.11.2026
5/12/2026</t>
  </si>
  <si>
    <t>Laundry Pantry Tower</t>
  </si>
  <si>
    <t>remove Ent Center</t>
  </si>
  <si>
    <t>remove Wet Bar</t>
  </si>
  <si>
    <t>Reivsed base Total</t>
  </si>
  <si>
    <t>Fireplace Wall</t>
  </si>
  <si>
    <t>White star board doors</t>
  </si>
  <si>
    <r>
      <t xml:space="preserve">Pantry: 
Cabinets: Manufacturer: </t>
    </r>
    <r>
      <rPr>
        <sz val="14"/>
        <rFont val="Times New Roman"/>
        <family val="1"/>
      </rPr>
      <t>Modern Me</t>
    </r>
    <r>
      <rPr>
        <b/>
        <sz val="14"/>
        <rFont val="Times New Roman"/>
        <family val="1"/>
      </rPr>
      <t xml:space="preserve">
</t>
    </r>
    <r>
      <rPr>
        <sz val="14"/>
        <rFont val="Times New Roman"/>
        <family val="1"/>
      </rPr>
      <t xml:space="preserve">
</t>
    </r>
    <r>
      <rPr>
        <b/>
        <sz val="14"/>
        <rFont val="Times New Roman"/>
        <family val="1"/>
      </rPr>
      <t xml:space="preserve">Granite: </t>
    </r>
    <r>
      <rPr>
        <sz val="14"/>
        <rFont val="Times New Roman"/>
        <family val="1"/>
      </rPr>
      <t>White Fantasy</t>
    </r>
    <r>
      <rPr>
        <b/>
        <sz val="14"/>
        <rFont val="Times New Roman"/>
        <family val="1"/>
      </rPr>
      <t xml:space="preserve">
Manufacturer: </t>
    </r>
    <r>
      <rPr>
        <sz val="14"/>
        <rFont val="Times New Roman"/>
        <family val="1"/>
      </rPr>
      <t>Skyline</t>
    </r>
    <r>
      <rPr>
        <b/>
        <sz val="14"/>
        <rFont val="Times New Roman"/>
        <family val="1"/>
      </rPr>
      <t xml:space="preserve">
Material: </t>
    </r>
    <r>
      <rPr>
        <sz val="14"/>
        <rFont val="Times New Roman"/>
        <family val="1"/>
      </rPr>
      <t>Marble</t>
    </r>
    <r>
      <rPr>
        <b/>
        <sz val="14"/>
        <rFont val="Times New Roman"/>
        <family val="1"/>
      </rPr>
      <t xml:space="preserve">
Color: </t>
    </r>
    <r>
      <rPr>
        <sz val="14"/>
        <rFont val="Times New Roman"/>
        <family val="1"/>
      </rPr>
      <t>White Fantasy</t>
    </r>
    <r>
      <rPr>
        <b/>
        <sz val="14"/>
        <rFont val="Times New Roman"/>
        <family val="1"/>
      </rPr>
      <t xml:space="preserve">
Level: </t>
    </r>
    <r>
      <rPr>
        <sz val="14"/>
        <rFont val="Times New Roman"/>
        <family val="1"/>
      </rPr>
      <t>4</t>
    </r>
    <r>
      <rPr>
        <b/>
        <sz val="14"/>
        <rFont val="Times New Roman"/>
        <family val="1"/>
      </rPr>
      <t xml:space="preserve">
Finish: </t>
    </r>
    <r>
      <rPr>
        <sz val="14"/>
        <rFont val="Times New Roman"/>
        <family val="1"/>
      </rPr>
      <t>Polished</t>
    </r>
    <r>
      <rPr>
        <b/>
        <sz val="14"/>
        <rFont val="Times New Roman"/>
        <family val="1"/>
      </rPr>
      <t xml:space="preserve">
Edge Style: </t>
    </r>
    <r>
      <rPr>
        <sz val="14"/>
        <rFont val="Times New Roman"/>
        <family val="1"/>
      </rPr>
      <t>Eased</t>
    </r>
    <r>
      <rPr>
        <b/>
        <sz val="14"/>
        <rFont val="Times New Roman"/>
        <family val="1"/>
      </rPr>
      <t xml:space="preserve">
4" Backsplash and Sidesplash</t>
    </r>
  </si>
  <si>
    <r>
      <t xml:space="preserve">Stop and Drop Cabinet: </t>
    </r>
    <r>
      <rPr>
        <sz val="14"/>
        <rFont val="Times New Roman"/>
        <family val="1"/>
      </rPr>
      <t>Desk style Cabinet with countertop. See Countertop Allowance</t>
    </r>
    <r>
      <rPr>
        <b/>
        <sz val="14"/>
        <rFont val="Times New Roman"/>
        <family val="1"/>
      </rPr>
      <t xml:space="preserve">
Granite: </t>
    </r>
    <r>
      <rPr>
        <sz val="14"/>
        <rFont val="Times New Roman"/>
        <family val="1"/>
      </rPr>
      <t>White Fantasy</t>
    </r>
    <r>
      <rPr>
        <b/>
        <sz val="14"/>
        <rFont val="Times New Roman"/>
        <family val="1"/>
      </rPr>
      <t xml:space="preserve">
Manufacturer: </t>
    </r>
    <r>
      <rPr>
        <sz val="14"/>
        <rFont val="Times New Roman"/>
        <family val="1"/>
      </rPr>
      <t>Skyline</t>
    </r>
    <r>
      <rPr>
        <b/>
        <sz val="14"/>
        <rFont val="Times New Roman"/>
        <family val="1"/>
      </rPr>
      <t xml:space="preserve">
Material: </t>
    </r>
    <r>
      <rPr>
        <sz val="14"/>
        <rFont val="Times New Roman"/>
        <family val="1"/>
      </rPr>
      <t>Marble</t>
    </r>
    <r>
      <rPr>
        <b/>
        <sz val="14"/>
        <rFont val="Times New Roman"/>
        <family val="1"/>
      </rPr>
      <t xml:space="preserve">
Level: 4
Finish: Polished
Edge Style:</t>
    </r>
    <r>
      <rPr>
        <sz val="14"/>
        <rFont val="Times New Roman"/>
        <family val="1"/>
      </rPr>
      <t xml:space="preserve"> Eased</t>
    </r>
    <r>
      <rPr>
        <b/>
        <sz val="14"/>
        <rFont val="Times New Roman"/>
        <family val="1"/>
      </rPr>
      <t xml:space="preserve">
</t>
    </r>
    <r>
      <rPr>
        <sz val="14"/>
        <rFont val="Times New Roman"/>
        <family val="1"/>
      </rPr>
      <t>4" Backsplash and Sidesplash</t>
    </r>
  </si>
  <si>
    <r>
      <t xml:space="preserve">Fantasy Brown: 
</t>
    </r>
    <r>
      <rPr>
        <sz val="14"/>
        <rFont val="Times New Roman"/>
        <family val="1"/>
      </rPr>
      <t xml:space="preserve">Manufacturer: Skyline
Material: Qaurtzite
Color: Fantasy Brown 
Level: 2
Finish: Leathered
Edge Style: Eased
</t>
    </r>
    <r>
      <rPr>
        <b/>
        <sz val="14"/>
        <rFont val="Times New Roman"/>
        <family val="1"/>
      </rPr>
      <t>Location</t>
    </r>
    <r>
      <rPr>
        <sz val="14"/>
        <rFont val="Times New Roman"/>
        <family val="1"/>
      </rPr>
      <t xml:space="preserve">
</t>
    </r>
    <r>
      <rPr>
        <b/>
        <sz val="14"/>
        <rFont val="Times New Roman"/>
        <family val="1"/>
      </rPr>
      <t>Summer Kitchen Island</t>
    </r>
    <r>
      <rPr>
        <sz val="14"/>
        <rFont val="Times New Roman"/>
        <family val="1"/>
      </rPr>
      <t xml:space="preserve">
Edge Style: Eased
</t>
    </r>
    <r>
      <rPr>
        <b/>
        <sz val="14"/>
        <rFont val="Times New Roman"/>
        <family val="1"/>
      </rPr>
      <t>Summer Kitchen Perimeter</t>
    </r>
    <r>
      <rPr>
        <sz val="14"/>
        <rFont val="Times New Roman"/>
        <family val="1"/>
      </rPr>
      <t xml:space="preserve">
Edge Style: Eased
</t>
    </r>
    <r>
      <rPr>
        <b/>
        <sz val="14"/>
        <rFont val="Times New Roman"/>
        <family val="1"/>
      </rPr>
      <t xml:space="preserve">Summer Kitchen Backsplash </t>
    </r>
    <r>
      <rPr>
        <sz val="14"/>
        <rFont val="Times New Roman"/>
        <family val="1"/>
      </rPr>
      <t xml:space="preserve">
From countertop to bottom of opening est. 24" </t>
    </r>
  </si>
  <si>
    <t>Option - Entertainment Assembly</t>
  </si>
  <si>
    <t>Option - Pantry Assembly</t>
  </si>
  <si>
    <t>Options for Contract Pricing Sheet</t>
  </si>
  <si>
    <t>4/22/2026
5/11/2026
5/12/2026</t>
  </si>
  <si>
    <t>ST
ST
ST</t>
  </si>
  <si>
    <t>MacDermant Stucco</t>
  </si>
  <si>
    <t>Stucco</t>
  </si>
  <si>
    <t>Arch Depot</t>
  </si>
  <si>
    <t>Rough Sawn Western Red</t>
  </si>
  <si>
    <t>(22) Rustic Wood Corbels</t>
  </si>
  <si>
    <t>Install 22 Cedar Corbels @ $50 ea</t>
  </si>
  <si>
    <t>Olsen Total</t>
  </si>
  <si>
    <t>Colorworks</t>
  </si>
  <si>
    <t xml:space="preserve">Stain 22 Cedar Corbels </t>
  </si>
  <si>
    <t>4/2/2026
5/12/2026</t>
  </si>
  <si>
    <t>Touchstone Fireplace</t>
  </si>
  <si>
    <r>
      <rPr>
        <b/>
        <strike/>
        <sz val="14"/>
        <rFont val="Times New Roman"/>
        <family val="1"/>
      </rPr>
      <t>Option #1</t>
    </r>
    <r>
      <rPr>
        <strike/>
        <sz val="14"/>
        <rFont val="Times New Roman"/>
        <family val="1"/>
      </rPr>
      <t xml:space="preserve">
Manufacturer: Pioneer Stone
Product Code: STV-ASH-002
Product Details    
Color  Austin
Collection  Ashlar
Areas: See plans
Front Elevation
Rear Column Bases
Grout Color: White (IF NEEDED)
(Dry-stack Install Method, Or Tight install) 
Master Bathroom Shower Tub Wall (around the windows)
Living Room Fireplace Center Wall Wrapped Floor to Ceiling
Wet Bar Stone Elipse (Front wide only)
Nook Header Stone Elipse (all 3 sides)
</t>
    </r>
    <r>
      <rPr>
        <strike/>
        <sz val="14"/>
        <color rgb="FFFF0000"/>
        <rFont val="Times New Roman"/>
        <family val="1"/>
      </rPr>
      <t>Master Bedroom Fireplace Wall to Wall Floor to Ceiling.</t>
    </r>
  </si>
  <si>
    <r>
      <rPr>
        <b/>
        <sz val="14"/>
        <rFont val="Times New Roman"/>
        <family val="1"/>
      </rPr>
      <t>Cabinets:</t>
    </r>
    <r>
      <rPr>
        <sz val="14"/>
        <rFont val="Times New Roman"/>
        <family val="1"/>
      </rPr>
      <t xml:space="preserve"> 2 Base Cabinets. See Cabinet Drawing
</t>
    </r>
    <r>
      <rPr>
        <b/>
        <sz val="14"/>
        <rFont val="Times New Roman"/>
        <family val="1"/>
      </rPr>
      <t>Granite:</t>
    </r>
    <r>
      <rPr>
        <sz val="14"/>
        <rFont val="Times New Roman"/>
        <family val="1"/>
      </rPr>
      <t xml:space="preserve"> Super White: 
</t>
    </r>
    <r>
      <rPr>
        <b/>
        <sz val="14"/>
        <rFont val="Times New Roman"/>
        <family val="1"/>
      </rPr>
      <t>Manufacturer:</t>
    </r>
    <r>
      <rPr>
        <sz val="14"/>
        <rFont val="Times New Roman"/>
        <family val="1"/>
      </rPr>
      <t xml:space="preserve"> Skyline
Material: Quartz
Level: 3
Finish: Polished
Edge Style: Eased
No Backsplash
</t>
    </r>
    <r>
      <rPr>
        <b/>
        <sz val="14"/>
        <rFont val="Times New Roman"/>
        <family val="1"/>
      </rPr>
      <t>Floating Shelves:</t>
    </r>
    <r>
      <rPr>
        <sz val="14"/>
        <rFont val="Times New Roman"/>
        <family val="1"/>
      </rPr>
      <t xml:space="preserve">
Amish Timber Wood Shelves: Shelves - Living room
Brand: The Barn Collection
Length: 42"
Finish Color: Weathered Siding
QTY: 4
Install: 2 on each side
Spacing: 22"
</t>
    </r>
  </si>
  <si>
    <r>
      <rPr>
        <b/>
        <sz val="14"/>
        <rFont val="Times New Roman"/>
        <family val="1"/>
      </rPr>
      <t xml:space="preserve">Center Face Material: (Stone) </t>
    </r>
    <r>
      <rPr>
        <sz val="14"/>
        <rFont val="Times New Roman"/>
        <family val="1"/>
      </rPr>
      <t xml:space="preserve">
Manufacturer: Pioneer Stone
Product Code: STV-ASH-002
Product Details    
Color  Austin
Collection  Ashlar 
Master Fireplace Wall to Wall Floor to Ceiling.</t>
    </r>
  </si>
  <si>
    <r>
      <t>Fireplace Mantle:</t>
    </r>
    <r>
      <rPr>
        <sz val="14"/>
        <rFont val="Times New Roman"/>
        <family val="1"/>
      </rPr>
      <t>Mantle - Master
Brand: The Barn Collection
Interior or Exterior Placement
Interior
Height &amp; Depth
10"H x 10"D
Length
48" (4 ft)
Finishing Color
Weathered Siding
Mounting Installation
Mantel Notching
QTY: 1</t>
    </r>
    <r>
      <rPr>
        <b/>
        <sz val="14"/>
        <rFont val="Times New Roman"/>
        <family val="1"/>
      </rPr>
      <t xml:space="preserve">
</t>
    </r>
  </si>
  <si>
    <t>Mantle 10" x 10" x  8'</t>
  </si>
  <si>
    <t>Mantle Install</t>
  </si>
  <si>
    <t>Real Cost to Olsen</t>
  </si>
  <si>
    <t xml:space="preserve">Includes Material &amp; Install </t>
  </si>
  <si>
    <t>Barnwood Collection Mantle</t>
  </si>
  <si>
    <r>
      <rPr>
        <b/>
        <sz val="13"/>
        <color theme="1"/>
        <rFont val="Calibri"/>
        <family val="2"/>
        <scheme val="minor"/>
      </rPr>
      <t xml:space="preserve">J&amp;N Stone </t>
    </r>
    <r>
      <rPr>
        <sz val="13"/>
        <color theme="1"/>
        <rFont val="Calibri"/>
        <family val="2"/>
        <scheme val="minor"/>
      </rPr>
      <t>92 SF @ $19.50/sf</t>
    </r>
  </si>
  <si>
    <t>Olsen Total Cost</t>
  </si>
  <si>
    <t>Modern Me Masterpiece</t>
  </si>
  <si>
    <t>See allowance above</t>
  </si>
  <si>
    <t>Included in allowance above</t>
  </si>
  <si>
    <t>4/14/2026
5/14/2026</t>
  </si>
  <si>
    <t>Break out price is $8,245</t>
  </si>
  <si>
    <t>SF</t>
  </si>
  <si>
    <t>LF</t>
  </si>
  <si>
    <t xml:space="preserve">Take Off - Front Elevation </t>
  </si>
  <si>
    <t>Take Off - Rear Columns to 4' High</t>
  </si>
  <si>
    <t>Total Stone SF</t>
  </si>
  <si>
    <t>Total Stone Corners</t>
  </si>
  <si>
    <t>$11.50 per sf</t>
  </si>
  <si>
    <t>Charge for add / .65</t>
  </si>
  <si>
    <r>
      <rPr>
        <b/>
        <sz val="13"/>
        <color theme="1"/>
        <rFont val="Calibri"/>
        <family val="2"/>
        <scheme val="minor"/>
      </rPr>
      <t xml:space="preserve">J&amp;N Stone </t>
    </r>
    <r>
      <rPr>
        <sz val="13"/>
        <color theme="1"/>
        <rFont val="Calibri"/>
        <family val="2"/>
        <scheme val="minor"/>
      </rPr>
      <t xml:space="preserve">390 SF @ </t>
    </r>
    <r>
      <rPr>
        <b/>
        <sz val="13"/>
        <color theme="1"/>
        <rFont val="Calibri"/>
        <family val="2"/>
        <scheme val="minor"/>
      </rPr>
      <t>$19.50/sf</t>
    </r>
  </si>
  <si>
    <t>Light Fixture Allowance: Vendor - Ferguson</t>
  </si>
  <si>
    <t>Johns ABC</t>
  </si>
  <si>
    <t>Sink</t>
  </si>
  <si>
    <r>
      <rPr>
        <b/>
        <sz val="14"/>
        <rFont val="Times New Roman"/>
        <family val="1"/>
      </rPr>
      <t xml:space="preserve">Plumbing - Master Tub: </t>
    </r>
    <r>
      <rPr>
        <sz val="14"/>
        <rFont val="Times New Roman"/>
        <family val="1"/>
      </rPr>
      <t>Manufacturer: Royal Bath
Model: FS-2051
Description: The Paloma is a 5.5-foot acrylic freestanding tub with a center drain.
Faucet Mount: Deck-Mounted
Size: 5.5-Foot: (67” L x 32” W x 23” D)
Finish/Color: White
Quantity: 1</t>
    </r>
  </si>
  <si>
    <r>
      <t xml:space="preserve">Plumbing: Kitchen Pot Filler: Added During Color Selection. This price is for the add location, material and labor.
</t>
    </r>
    <r>
      <rPr>
        <sz val="14"/>
        <rFont val="Times New Roman"/>
        <family val="1"/>
      </rPr>
      <t>Pot Filler: Manufacturer: Moen
Model: S665BL
Style: Modern Matte Black Pot Filler Kitchen Faucet
Finish: Matte Black
Qty: 1
Location: Kitchen</t>
    </r>
  </si>
  <si>
    <t>Added plumb Line</t>
  </si>
  <si>
    <t>Fixture: S665BL</t>
  </si>
  <si>
    <t>Builder Cost</t>
  </si>
  <si>
    <t>https://www.fergusonhome.com/moen-s665/s688947?uid=3595192</t>
  </si>
  <si>
    <t>Total Cost</t>
  </si>
  <si>
    <t>05.11.2026
5/14/2026</t>
  </si>
  <si>
    <r>
      <rPr>
        <b/>
        <sz val="14"/>
        <rFont val="Times New Roman"/>
        <family val="1"/>
      </rPr>
      <t>Stone:</t>
    </r>
    <r>
      <rPr>
        <sz val="14"/>
        <rFont val="Times New Roman"/>
        <family val="1"/>
      </rPr>
      <t xml:space="preserve"> </t>
    </r>
    <r>
      <rPr>
        <b/>
        <sz val="14"/>
        <rFont val="Times New Roman"/>
        <family val="1"/>
      </rPr>
      <t xml:space="preserve">Exterior Elevations: </t>
    </r>
    <r>
      <rPr>
        <sz val="14"/>
        <rFont val="Times New Roman"/>
        <family val="1"/>
      </rPr>
      <t xml:space="preserve">Manufacturer: Pioneer Stone
Product Code: STV-ASH-002
Product Details    
Color  Austin
Collection  Ashlar
Flats Height: 3 1/2 – 9 1/2
Length: 5 1/4 – 16
Thickness: 1 1/4 – 2 1/2
Weight: 7.98 lbs/ln ft
Corners Height: 3 1/2 – 9 1/2
Length: 5 1/4 – 13 3/4
Thickness: 1 1/4 – 2 1/2
Return: 4
Weight: 9.14 lbs/ln ft
Areas: See plans
Front Elevation
Rear Column Bases to 4' high
</t>
    </r>
    <r>
      <rPr>
        <strike/>
        <sz val="14"/>
        <rFont val="Times New Roman"/>
        <family val="1"/>
      </rPr>
      <t xml:space="preserve">Summer Kitchen Base
Summer Kitchen Island
</t>
    </r>
    <r>
      <rPr>
        <sz val="14"/>
        <rFont val="Times New Roman"/>
        <family val="1"/>
      </rPr>
      <t>Grout Color: White (IF NEEDED)
(Dry-stack Install Method, Or Tight install)</t>
    </r>
  </si>
  <si>
    <r>
      <rPr>
        <b/>
        <sz val="14"/>
        <rFont val="Times New Roman"/>
        <family val="1"/>
      </rPr>
      <t>Stone: Interior Arches:</t>
    </r>
    <r>
      <rPr>
        <sz val="14"/>
        <rFont val="Times New Roman"/>
        <family val="1"/>
      </rPr>
      <t xml:space="preserve">
Manufacturer: Pioneer Stone
Product Code: STV-ASH-002
Product Details    
Color  Austin
Collection  Ashlar
Areas: See plans
Front Elevation
Rear Column Bases
Grout Color: White (IF NEEDED)
(Dry-stack Install Method, Or Tight install) 
Wet Bar Stone Elipse (Front wide only)
Nook Header Stone Elipse (all 3 sides)</t>
    </r>
  </si>
  <si>
    <t>Take Off - Wet Bar</t>
  </si>
  <si>
    <t>Take Off - Nook Header</t>
  </si>
  <si>
    <t>Wet Bar Eclipse</t>
  </si>
  <si>
    <t>Nook Eclipse</t>
  </si>
  <si>
    <r>
      <rPr>
        <b/>
        <sz val="13"/>
        <color theme="1"/>
        <rFont val="Calibri"/>
        <family val="2"/>
        <scheme val="minor"/>
      </rPr>
      <t xml:space="preserve">J&amp;N Stone 100 </t>
    </r>
    <r>
      <rPr>
        <sz val="13"/>
        <color theme="1"/>
        <rFont val="Calibri"/>
        <family val="2"/>
        <scheme val="minor"/>
      </rPr>
      <t xml:space="preserve">SF @ </t>
    </r>
    <r>
      <rPr>
        <b/>
        <sz val="13"/>
        <color theme="1"/>
        <rFont val="Calibri"/>
        <family val="2"/>
        <scheme val="minor"/>
      </rPr>
      <t>$19.50/sf</t>
    </r>
  </si>
  <si>
    <t>$13.50 per sf</t>
  </si>
  <si>
    <r>
      <rPr>
        <b/>
        <sz val="14"/>
        <rFont val="Times New Roman"/>
        <family val="1"/>
      </rPr>
      <t>Stone:</t>
    </r>
    <r>
      <rPr>
        <sz val="14"/>
        <rFont val="Times New Roman"/>
        <family val="1"/>
      </rPr>
      <t xml:space="preserve"> Manufacturer: Pioneer Stone
Product Code: STV-ASH-002
Product Details    
Color  Austin
Collection  Ashlar
Flats Height: 3 1/2 – 9 1/2
Length: 5 1/4 – 16
Thickness: 1 1/4 – 2 1/2
Weight: 7.98 lbs/ln ft
Corners Height: 3 1/2 – 9 1/2
Length: 5 1/4 – 13 3/4
Thickness: 1 1/4 – 2 1/2
Return: 4
Weight: 9.14 lbs/ln ft
Areas: See plans
</t>
    </r>
    <r>
      <rPr>
        <b/>
        <sz val="14"/>
        <rFont val="Times New Roman"/>
        <family val="1"/>
      </rPr>
      <t>Front Elevation
Rear Column Bases to 3' High</t>
    </r>
    <r>
      <rPr>
        <sz val="14"/>
        <rFont val="Times New Roman"/>
        <family val="1"/>
      </rPr>
      <t xml:space="preserve">
</t>
    </r>
    <r>
      <rPr>
        <strike/>
        <sz val="14"/>
        <rFont val="Times New Roman"/>
        <family val="1"/>
      </rPr>
      <t xml:space="preserve">Summer Kitchen Base
Summer Kitchen Island
</t>
    </r>
    <r>
      <rPr>
        <sz val="14"/>
        <rFont val="Times New Roman"/>
        <family val="1"/>
      </rPr>
      <t>Grout Color: White (IF NEEDED)
(Dry-stack Install Method, Or Tight install)</t>
    </r>
  </si>
  <si>
    <r>
      <rPr>
        <b/>
        <sz val="14"/>
        <rFont val="Times New Roman"/>
        <family val="1"/>
      </rPr>
      <t xml:space="preserve">Garage Door Opener: </t>
    </r>
    <r>
      <rPr>
        <sz val="14"/>
        <rFont val="Times New Roman"/>
        <family val="1"/>
      </rPr>
      <t>Lift Master 2220L Chain Drive ¾ HP with Camera</t>
    </r>
  </si>
  <si>
    <r>
      <rPr>
        <b/>
        <sz val="14"/>
        <rFont val="Times New Roman"/>
        <family val="1"/>
      </rPr>
      <t>Great Room Fireplace Unit:</t>
    </r>
    <r>
      <rPr>
        <sz val="14"/>
        <rFont val="Times New Roman"/>
        <family val="1"/>
      </rPr>
      <t xml:space="preserve"> The Sideline 72"
Manufacturer: Touchstone
Model: 80015
Description: The Sideline 72 Inch Recessed Smart Electric Fireplace 80015 -
Smart-home ready with lifelike LED flames, front heat vent, and a sleek recessed design. Includes logs and crystals for a customizable, connected fireplace experience. 
Remote: Touchstone Fireplace Remote
Driftwood &amp; Clear Crystals
Notes: See Framing
</t>
    </r>
  </si>
  <si>
    <t xml:space="preserve">Option </t>
  </si>
  <si>
    <r>
      <rPr>
        <b/>
        <sz val="14"/>
        <rFont val="Times New Roman"/>
        <family val="1"/>
      </rPr>
      <t>Fireplace Unit:</t>
    </r>
    <r>
      <rPr>
        <sz val="14"/>
        <rFont val="Times New Roman"/>
        <family val="1"/>
      </rPr>
      <t xml:space="preserve"> </t>
    </r>
    <r>
      <rPr>
        <b/>
        <sz val="14"/>
        <rFont val="Times New Roman"/>
        <family val="1"/>
      </rPr>
      <t xml:space="preserve">Master: </t>
    </r>
    <r>
      <rPr>
        <sz val="14"/>
        <rFont val="Times New Roman"/>
        <family val="1"/>
      </rPr>
      <t xml:space="preserve">The Forte Elite 40"
Manufacturer: Touchstone
Model: 80052
Description: The Forte Elite 40 Inch Recessed Smart Electric Fireplace 80052
Remote: Touchstone Fireplace Remote
Driftwood &amp; Clear Crystals
Notes: See Framing
</t>
    </r>
  </si>
  <si>
    <r>
      <rPr>
        <b/>
        <sz val="14"/>
        <rFont val="Times New Roman"/>
        <family val="1"/>
      </rPr>
      <t xml:space="preserve">Fireplace Unit: Great Room: </t>
    </r>
    <r>
      <rPr>
        <sz val="14"/>
        <rFont val="Times New Roman"/>
        <family val="1"/>
      </rPr>
      <t xml:space="preserve">The Sideline 72"
Manufacturer: Touchstone
Model: 80015
Description: The Sideline 72 Inch Recessed Smart Electric Fireplace 80015 -
Smart-home ready with lifelike LED flames, front heat vent, and a sleek recessed design. Includes logs and crystals for a customizable, connected fireplace experience. 
Remote: Touchstone Fireplace Remote
Driftwood &amp; Clear Crystals
Notes: See Framing
</t>
    </r>
  </si>
  <si>
    <r>
      <t xml:space="preserve">Entertainment Cabinets: </t>
    </r>
    <r>
      <rPr>
        <sz val="14"/>
        <rFont val="Times New Roman"/>
        <family val="1"/>
      </rPr>
      <t xml:space="preserve">This is allowance for base cabinets. Added items or options will be priced separately below. 
</t>
    </r>
  </si>
  <si>
    <t>Barnwood Collection</t>
  </si>
  <si>
    <t>Floating Shelves (4)</t>
  </si>
  <si>
    <r>
      <rPr>
        <b/>
        <sz val="14"/>
        <rFont val="Times New Roman"/>
        <family val="1"/>
      </rPr>
      <t>Cabinets:</t>
    </r>
    <r>
      <rPr>
        <sz val="14"/>
        <rFont val="Times New Roman"/>
        <family val="1"/>
      </rPr>
      <t xml:space="preserve"> 2 Base Cabinets. See Cabinet Drawing
</t>
    </r>
    <r>
      <rPr>
        <b/>
        <sz val="14"/>
        <rFont val="Times New Roman"/>
        <family val="1"/>
      </rPr>
      <t>Granite:</t>
    </r>
    <r>
      <rPr>
        <sz val="14"/>
        <rFont val="Times New Roman"/>
        <family val="1"/>
      </rPr>
      <t xml:space="preserve"> Super White: 
</t>
    </r>
    <r>
      <rPr>
        <b/>
        <sz val="14"/>
        <rFont val="Times New Roman"/>
        <family val="1"/>
      </rPr>
      <t>Manufacturer:</t>
    </r>
    <r>
      <rPr>
        <sz val="14"/>
        <rFont val="Times New Roman"/>
        <family val="1"/>
      </rPr>
      <t xml:space="preserve"> Skyline
Material: Quartz
Level: 3
Finish: Polished
Edge Style: Eased
No Backsplash
</t>
    </r>
    <r>
      <rPr>
        <b/>
        <sz val="14"/>
        <rFont val="Times New Roman"/>
        <family val="1"/>
      </rPr>
      <t>Floating Shelves:</t>
    </r>
    <r>
      <rPr>
        <sz val="14"/>
        <rFont val="Times New Roman"/>
        <family val="1"/>
      </rPr>
      <t xml:space="preserve">
Amish Timber Wood Shelves: Shelves - Living room
Brand: The Barn Collection
Length: 42"
Finish Color: Weathered Siding
QTY: 4
Install: 2 on each side
Spacing: 22"
</t>
    </r>
  </si>
  <si>
    <t>Faucet 7882SRS</t>
  </si>
  <si>
    <t>Grill cutout</t>
  </si>
  <si>
    <t>7% Tax</t>
  </si>
  <si>
    <r>
      <rPr>
        <b/>
        <sz val="14"/>
        <rFont val="Times New Roman"/>
        <family val="1"/>
      </rPr>
      <t>DKA Option 1: Summer Kitchen Appliances &amp; Fixtures</t>
    </r>
    <r>
      <rPr>
        <sz val="14"/>
        <rFont val="Times New Roman"/>
        <family val="1"/>
      </rPr>
      <t xml:space="preserve">
Grill: 34" C-Series Grill (Model: C2C34)                  
Mini Ref.: 24" Outdoor Refrigerator Right Hinge C1BIR24-R</t>
    </r>
    <r>
      <rPr>
        <b/>
        <sz val="14"/>
        <color rgb="FFFF0000"/>
        <rFont val="Times New Roman"/>
        <family val="1"/>
      </rPr>
      <t> (In appliance allowance)                   </t>
    </r>
    <r>
      <rPr>
        <sz val="14"/>
        <rFont val="Times New Roman"/>
        <family val="1"/>
      </rPr>
      <t xml:space="preserve">
Coyote Accessories IF Installed by DKA
Under Grill: 32" Single Storage Drawer (Model: CSSD)                    
Island: 31" Dry Pantry With Drawers (Model: CDPC31)                    
Island: 14" Single Pull Out Trash &amp; Recycle (Model: CSTC)              
Sink Access: 26" Double Access Doors (Model: CDA2426)     </t>
    </r>
  </si>
  <si>
    <t xml:space="preserve">DKA </t>
  </si>
  <si>
    <t>11' Captiva Cab C-COK11</t>
  </si>
  <si>
    <t>6' Captiva Cab C-COK6</t>
  </si>
  <si>
    <t>Tax &amp; Freight</t>
  </si>
  <si>
    <t>Level 2: Fantasy Brown</t>
  </si>
  <si>
    <t>Grill C3-C2C34</t>
  </si>
  <si>
    <t>C3-SSD                    </t>
  </si>
  <si>
    <t>C3-DPC31                   </t>
  </si>
  <si>
    <t xml:space="preserve"> C3-STC              </t>
  </si>
  <si>
    <t>C3-DA2426</t>
  </si>
  <si>
    <t>Solid smooth color</t>
  </si>
  <si>
    <t xml:space="preserve">Select Option </t>
  </si>
  <si>
    <r>
      <rPr>
        <b/>
        <sz val="14"/>
        <rFont val="Times New Roman"/>
        <family val="1"/>
      </rPr>
      <t>Exquisite Pool Option 3: Summer Kitchen Appliances &amp; Fixtures</t>
    </r>
    <r>
      <rPr>
        <sz val="14"/>
        <rFont val="Times New Roman"/>
        <family val="1"/>
      </rPr>
      <t xml:space="preserve">
Grill: 34" C-Series Grill (Model: C2C34)                  
Mini Ref.: 24" Outdoor Refrigerator Right Hinge C1BIR24-R</t>
    </r>
    <r>
      <rPr>
        <b/>
        <sz val="14"/>
        <color rgb="FFFF0000"/>
        <rFont val="Times New Roman"/>
        <family val="1"/>
      </rPr>
      <t> (In appliance allowance)                   </t>
    </r>
    <r>
      <rPr>
        <sz val="14"/>
        <rFont val="Times New Roman"/>
        <family val="1"/>
      </rPr>
      <t xml:space="preserve">
</t>
    </r>
    <r>
      <rPr>
        <b/>
        <sz val="14"/>
        <rFont val="Times New Roman"/>
        <family val="1"/>
      </rPr>
      <t>Coyote Accessories - FOR Comparison Purposes</t>
    </r>
    <r>
      <rPr>
        <sz val="14"/>
        <rFont val="Times New Roman"/>
        <family val="1"/>
      </rPr>
      <t xml:space="preserve">
Under Grill: 32" Single Storage Drawer (Model: CSSD)                    
Island: 31" Dry Pantry With Drawers (Model: CDPC31)                    
Island: 14" Single Pull Out Trash &amp; Recycle (Model: CSTC)              
Sink Access: 26" Double Access Doors (Model: CDA2426)     </t>
    </r>
  </si>
  <si>
    <t>Mantle 10" x 10" x  4'</t>
  </si>
  <si>
    <r>
      <t xml:space="preserve">Fireplace Mantle: </t>
    </r>
    <r>
      <rPr>
        <sz val="14"/>
        <rFont val="Times New Roman"/>
        <family val="1"/>
      </rPr>
      <t>Mantle - Master
Brand: The Barn Collection
Interior or Exterior Placement
Interior
Height &amp; Depth
10"H x 10"D
Length
48" (4 ft)
Finishing Color
Weathered Siding
Mounting Installation
Mantel Notching
QTY: 1</t>
    </r>
    <r>
      <rPr>
        <b/>
        <sz val="14"/>
        <rFont val="Times New Roman"/>
        <family val="1"/>
      </rPr>
      <t xml:space="preserve">
</t>
    </r>
  </si>
  <si>
    <r>
      <rPr>
        <b/>
        <sz val="13"/>
        <color theme="1"/>
        <rFont val="Calibri"/>
        <family val="2"/>
        <scheme val="minor"/>
      </rPr>
      <t xml:space="preserve">J&amp;N Stone 58 </t>
    </r>
    <r>
      <rPr>
        <sz val="13"/>
        <color theme="1"/>
        <rFont val="Calibri"/>
        <family val="2"/>
        <scheme val="minor"/>
      </rPr>
      <t>SF @ $19.50/sf</t>
    </r>
  </si>
  <si>
    <t>Trim Carpentry - Beams</t>
  </si>
  <si>
    <t>Trim Carpentry - Mantles / Shelves</t>
  </si>
  <si>
    <t xml:space="preserve">All Custom </t>
  </si>
  <si>
    <t>Living Room (5) 16' Long</t>
  </si>
  <si>
    <t>Kitchen (3) 16' Long</t>
  </si>
  <si>
    <t>Nook (3) 7.5' Long</t>
  </si>
  <si>
    <t>Foyer Tray (4) 8.5' Long</t>
  </si>
  <si>
    <t>Stain beams</t>
  </si>
  <si>
    <t>per LF</t>
  </si>
  <si>
    <t>All Customs Price - Olsen Cost</t>
  </si>
  <si>
    <t>05.07.2026
5/14/2026</t>
  </si>
  <si>
    <t xml:space="preserve">Barnwood Collection </t>
  </si>
  <si>
    <t>(8) 24" Weathered Shelves</t>
  </si>
  <si>
    <t>Install Shelves @ $75 each</t>
  </si>
  <si>
    <t>Customer Cost</t>
  </si>
  <si>
    <t>Level 3 Super White</t>
  </si>
  <si>
    <t xml:space="preserve">Level 4 White Fantasy </t>
  </si>
  <si>
    <t>Marble with 4" BS</t>
  </si>
  <si>
    <t>Level 4: White Fantasy</t>
  </si>
  <si>
    <t>Marble w/ 4" BS</t>
  </si>
  <si>
    <t>Lease 250 gallon</t>
  </si>
  <si>
    <t>Tank set</t>
  </si>
  <si>
    <t>Exterior gas line</t>
  </si>
  <si>
    <t>Interior gas line</t>
  </si>
  <si>
    <t>(4) Drops</t>
  </si>
  <si>
    <t>(3) regulators</t>
  </si>
  <si>
    <t>(2) Connection/Apps</t>
  </si>
  <si>
    <t>(2) Connect/convert</t>
  </si>
  <si>
    <t>Pool equipment line</t>
  </si>
  <si>
    <t>Waiting on Exquisite</t>
  </si>
  <si>
    <t>Countertops Kitchen</t>
  </si>
  <si>
    <t>Granite laundry</t>
  </si>
  <si>
    <t>Granite Master</t>
  </si>
  <si>
    <t>Granite bath 2</t>
  </si>
  <si>
    <t>Granite bath 3</t>
  </si>
  <si>
    <t>Entertainment center top</t>
  </si>
  <si>
    <t>Wet bar tops</t>
  </si>
  <si>
    <t>All Sinks</t>
  </si>
  <si>
    <t xml:space="preserve">Polish under </t>
  </si>
  <si>
    <t>Over</t>
  </si>
  <si>
    <t>Homeowner cost with standard mark up - ST</t>
  </si>
  <si>
    <t>4/19/2026
5/15/2026</t>
  </si>
  <si>
    <r>
      <rPr>
        <b/>
        <sz val="14"/>
        <color theme="4" tint="-0.249977111117893"/>
        <rFont val="Times New Roman"/>
        <family val="1"/>
      </rPr>
      <t xml:space="preserve">White Fantasy: </t>
    </r>
    <r>
      <rPr>
        <b/>
        <sz val="14"/>
        <rFont val="Times New Roman"/>
        <family val="1"/>
      </rPr>
      <t xml:space="preserve">
</t>
    </r>
    <r>
      <rPr>
        <sz val="14"/>
        <rFont val="Times New Roman"/>
        <family val="1"/>
      </rPr>
      <t xml:space="preserve">Manufacturer: Skyline
Material: Marble
Color: White Fantasy
Level: 4
Finish: Polished
</t>
    </r>
    <r>
      <rPr>
        <b/>
        <sz val="14"/>
        <rFont val="Times New Roman"/>
        <family val="1"/>
      </rPr>
      <t>Locations:</t>
    </r>
    <r>
      <rPr>
        <sz val="14"/>
        <rFont val="Times New Roman"/>
        <family val="1"/>
      </rPr>
      <t xml:space="preserve">
</t>
    </r>
    <r>
      <rPr>
        <b/>
        <sz val="14"/>
        <color theme="4" tint="-0.249977111117893"/>
        <rFont val="Times New Roman"/>
        <family val="1"/>
      </rPr>
      <t>Laundry</t>
    </r>
    <r>
      <rPr>
        <sz val="14"/>
        <rFont val="Times New Roman"/>
        <family val="1"/>
      </rPr>
      <t xml:space="preserve">
Edge Style: Eased
4" Backsplash and Sidesplash
</t>
    </r>
    <r>
      <rPr>
        <b/>
        <sz val="14"/>
        <color theme="4" tint="-0.249977111117893"/>
        <rFont val="Times New Roman"/>
        <family val="1"/>
      </rPr>
      <t>Dog Crate</t>
    </r>
    <r>
      <rPr>
        <sz val="14"/>
        <rFont val="Times New Roman"/>
        <family val="1"/>
      </rPr>
      <t xml:space="preserve">
Edge Style: Eased
4" Backsplash and Sidesplash (Left side)
</t>
    </r>
  </si>
  <si>
    <r>
      <rPr>
        <b/>
        <sz val="14"/>
        <color theme="4" tint="-0.249977111117893"/>
        <rFont val="Times New Roman"/>
        <family val="1"/>
      </rPr>
      <t xml:space="preserve">Super White: </t>
    </r>
    <r>
      <rPr>
        <b/>
        <sz val="12"/>
        <rFont val="Times New Roman"/>
        <family val="1"/>
      </rPr>
      <t xml:space="preserve">
</t>
    </r>
    <r>
      <rPr>
        <sz val="12"/>
        <rFont val="Times New Roman"/>
        <family val="1"/>
      </rPr>
      <t xml:space="preserve">Manufacturer: Skyline
Material: Quartz
Color: Super White
Level: 3
Finish: Polished
Locations
</t>
    </r>
    <r>
      <rPr>
        <b/>
        <sz val="12"/>
        <color theme="4" tint="-0.249977111117893"/>
        <rFont val="Times New Roman"/>
        <family val="1"/>
      </rPr>
      <t xml:space="preserve">Kitchen Perimeter </t>
    </r>
    <r>
      <rPr>
        <sz val="12"/>
        <rFont val="Times New Roman"/>
        <family val="1"/>
      </rPr>
      <t xml:space="preserve">
Edge Style: Eased
No Backsplash
</t>
    </r>
    <r>
      <rPr>
        <b/>
        <sz val="12"/>
        <color theme="4" tint="-0.249977111117893"/>
        <rFont val="Times New Roman"/>
        <family val="1"/>
      </rPr>
      <t>Master Bathroom Countertops</t>
    </r>
    <r>
      <rPr>
        <sz val="12"/>
        <rFont val="Times New Roman"/>
        <family val="1"/>
      </rPr>
      <t xml:space="preserve">
No Backsplash 
No Side Splash
</t>
    </r>
    <r>
      <rPr>
        <b/>
        <sz val="12"/>
        <color theme="4" tint="-0.249977111117893"/>
        <rFont val="Times New Roman"/>
        <family val="1"/>
      </rPr>
      <t>Bath #2</t>
    </r>
    <r>
      <rPr>
        <sz val="12"/>
        <rFont val="Times New Roman"/>
        <family val="1"/>
      </rPr>
      <t xml:space="preserve">
Edge Style: Eased
4" Backsplash &amp; Sidesplash
</t>
    </r>
    <r>
      <rPr>
        <b/>
        <sz val="12"/>
        <color theme="4" tint="-0.249977111117893"/>
        <rFont val="Times New Roman"/>
        <family val="1"/>
      </rPr>
      <t>Bath #3</t>
    </r>
    <r>
      <rPr>
        <sz val="12"/>
        <rFont val="Times New Roman"/>
        <family val="1"/>
      </rPr>
      <t xml:space="preserve">
Edge Style: Eased
4" Backsplash &amp; Sidesplash</t>
    </r>
    <r>
      <rPr>
        <b/>
        <sz val="12"/>
        <rFont val="Times New Roman"/>
        <family val="1"/>
      </rPr>
      <t xml:space="preserve">	</t>
    </r>
  </si>
  <si>
    <r>
      <t xml:space="preserve">Countertop Allowance:
</t>
    </r>
    <r>
      <rPr>
        <b/>
        <sz val="14"/>
        <color theme="4" tint="-0.249977111117893"/>
        <rFont val="Times New Roman"/>
        <family val="1"/>
      </rPr>
      <t xml:space="preserve">Cambria Windsor Brass: </t>
    </r>
    <r>
      <rPr>
        <b/>
        <sz val="14"/>
        <rFont val="Times New Roman"/>
        <family val="1"/>
      </rPr>
      <t xml:space="preserve">
</t>
    </r>
    <r>
      <rPr>
        <sz val="14"/>
        <color rgb="FFFF0000"/>
        <rFont val="Times New Roman"/>
        <family val="1"/>
      </rPr>
      <t>NOTE: This color was selected because it is being given by Cambria for the model.</t>
    </r>
    <r>
      <rPr>
        <sz val="14"/>
        <rFont val="Times New Roman"/>
        <family val="1"/>
      </rPr>
      <t xml:space="preserve">
Manufacturer: Skyline
Material: Quartz
Color: Windsor Brass
Level: 12
Finish: Polished
</t>
    </r>
    <r>
      <rPr>
        <b/>
        <sz val="14"/>
        <rFont val="Times New Roman"/>
        <family val="1"/>
      </rPr>
      <t>Locations:</t>
    </r>
    <r>
      <rPr>
        <sz val="14"/>
        <rFont val="Times New Roman"/>
        <family val="1"/>
      </rPr>
      <t xml:space="preserve">
</t>
    </r>
    <r>
      <rPr>
        <b/>
        <sz val="14"/>
        <color theme="4" tint="-0.249977111117893"/>
        <rFont val="Times New Roman"/>
        <family val="1"/>
      </rPr>
      <t xml:space="preserve">Kitchen Island Top </t>
    </r>
    <r>
      <rPr>
        <sz val="14"/>
        <rFont val="Times New Roman"/>
        <family val="1"/>
      </rPr>
      <t xml:space="preserve">
Thickness: 3cm
Edge Style: Eased
</t>
    </r>
    <r>
      <rPr>
        <b/>
        <sz val="14"/>
        <color theme="4" tint="-0.249977111117893"/>
        <rFont val="Times New Roman"/>
        <family val="1"/>
      </rPr>
      <t>Kitchen Island Double Waterfall Edge</t>
    </r>
    <r>
      <rPr>
        <sz val="14"/>
        <rFont val="Times New Roman"/>
        <family val="1"/>
      </rPr>
      <t xml:space="preserve">
Thickness: 3cm
Edge Style: Eased
</t>
    </r>
    <r>
      <rPr>
        <b/>
        <sz val="14"/>
        <color theme="4" tint="-0.249977111117893"/>
        <rFont val="Times New Roman"/>
        <family val="1"/>
      </rPr>
      <t>Kitchen Hood Wrapped 3 sides</t>
    </r>
    <r>
      <rPr>
        <sz val="14"/>
        <rFont val="Times New Roman"/>
        <family val="1"/>
      </rPr>
      <t xml:space="preserve">
Thickness: 1cm
Edge Style: Mitered</t>
    </r>
  </si>
  <si>
    <r>
      <t>Countertop Allowance</t>
    </r>
    <r>
      <rPr>
        <sz val="14"/>
        <rFont val="Times New Roman"/>
        <family val="1"/>
      </rPr>
      <t xml:space="preserve">
Thickness: 1cm
Edge Style: Mitered</t>
    </r>
  </si>
  <si>
    <t>Exterior Doors</t>
  </si>
  <si>
    <t>Front door</t>
  </si>
  <si>
    <t>Install exterior doors</t>
  </si>
  <si>
    <t>Custom Design</t>
  </si>
  <si>
    <t>6080 SM FG 1 Lite Rain Glass (Entry)</t>
  </si>
  <si>
    <t>3080 SM FG 1 Lite Clear Gass (Master)</t>
  </si>
  <si>
    <t>2880 SM FG 1 Lite Clear (Hall)</t>
  </si>
  <si>
    <t>2880 SM FG 2 Panel Square (Garage Exit)</t>
  </si>
  <si>
    <t>3080 SC Rockport (Garage to House)</t>
  </si>
  <si>
    <t>Misc. Materials</t>
  </si>
  <si>
    <t>Installation</t>
  </si>
  <si>
    <t>Under Budget</t>
  </si>
  <si>
    <t>4/2/2026
5/15/2026</t>
  </si>
  <si>
    <t>Garage Door</t>
  </si>
  <si>
    <t>D&amp;D Garage Doors</t>
  </si>
  <si>
    <t>16x8 Ranch long panel</t>
  </si>
  <si>
    <t>9x8 Ranch Panel</t>
  </si>
  <si>
    <t>Insulation Kits</t>
  </si>
  <si>
    <t>Lift Master 2220L083</t>
  </si>
  <si>
    <t>Key Pad</t>
  </si>
  <si>
    <t>Under</t>
  </si>
  <si>
    <t>Base Labor &amp; Base Fixtures</t>
  </si>
  <si>
    <t>Model - 183 Stillwater</t>
  </si>
  <si>
    <t>Plumbing Selection Form</t>
  </si>
  <si>
    <t>Base</t>
  </si>
  <si>
    <t>Pipe material:</t>
  </si>
  <si>
    <t>CPVC all areas</t>
  </si>
  <si>
    <t>Water Heater:</t>
  </si>
  <si>
    <t xml:space="preserve"> 1 -Tankless heater RUR 199EP Rinnai</t>
  </si>
  <si>
    <t>Hot water heater system:</t>
  </si>
  <si>
    <t>Gas</t>
  </si>
  <si>
    <t>Reciruit system:</t>
  </si>
  <si>
    <t>built in recirculating pump with transfer valve</t>
  </si>
  <si>
    <t>Water meter notes:</t>
  </si>
  <si>
    <t>1" from water meter</t>
  </si>
  <si>
    <t>Utilities</t>
  </si>
  <si>
    <t>Washing machine:</t>
  </si>
  <si>
    <t>recessed box with hammer arrestors</t>
  </si>
  <si>
    <t>Sewer lines:</t>
  </si>
  <si>
    <t>4" 3034 sewer pipe</t>
  </si>
  <si>
    <t>Water lines:</t>
  </si>
  <si>
    <t>CPVC</t>
  </si>
  <si>
    <t>A/C chase:</t>
  </si>
  <si>
    <t>Include</t>
  </si>
  <si>
    <t>Fridge:</t>
  </si>
  <si>
    <t>Dishwasher:</t>
  </si>
  <si>
    <t>Hose bibs:</t>
  </si>
  <si>
    <t>Plumbing Fixtures</t>
  </si>
  <si>
    <t>Brantford</t>
  </si>
  <si>
    <t>Qty</t>
  </si>
  <si>
    <t>Sink:</t>
  </si>
  <si>
    <t>GSM-3218 Dakota-supplied by granite company-single bowl sink</t>
  </si>
  <si>
    <t>sink faucet:</t>
  </si>
  <si>
    <t>Moen Brantford 7185ORB</t>
  </si>
  <si>
    <t>Disposal:</t>
  </si>
  <si>
    <t>1/2 HP Insinkerator badger 5</t>
  </si>
  <si>
    <t>Air switch:</t>
  </si>
  <si>
    <t>None</t>
  </si>
  <si>
    <t>Pot filler:</t>
  </si>
  <si>
    <t>Laundry room</t>
  </si>
  <si>
    <t>sink:</t>
  </si>
  <si>
    <t>GSM-2318 Dakota-supplied by granite company</t>
  </si>
  <si>
    <t>Bar</t>
  </si>
  <si>
    <t>Master bathroom</t>
  </si>
  <si>
    <t xml:space="preserve"> sinks undermount-supplied by granite company</t>
  </si>
  <si>
    <t>Moen Brantford TV6620ORB with corresponding valve</t>
  </si>
  <si>
    <t>Shower fixture:</t>
  </si>
  <si>
    <t>Moen Brantford T2152ORB with corresponding valve</t>
  </si>
  <si>
    <t>Roman Tub faucet:</t>
  </si>
  <si>
    <t>Moen Brantford T933ORB with corresponding valve</t>
  </si>
  <si>
    <t>Toilet:</t>
  </si>
  <si>
    <t xml:space="preserve"> Highline comfort 2 piece elongated chair height model# K-4636 seat model# K-3999</t>
  </si>
  <si>
    <t>match handle to fuacet colors</t>
  </si>
  <si>
    <t>Tub:</t>
  </si>
  <si>
    <t>Freestanding-Paloma from Royal bath</t>
  </si>
  <si>
    <t>Notes:</t>
  </si>
  <si>
    <t xml:space="preserve">3/4 inch to the master bathroom </t>
  </si>
  <si>
    <t>Bath #2</t>
  </si>
  <si>
    <t>Moen Brantford T2153ORB with corresponding valve</t>
  </si>
  <si>
    <t>American standard #2393 Princeton 60" shite porcelian enameled steel tub</t>
  </si>
  <si>
    <t>right hand drain alcove bathtub-olor White</t>
  </si>
  <si>
    <t>Bath #3</t>
  </si>
  <si>
    <t>Summer kitchen</t>
  </si>
  <si>
    <t>Preplumb only:</t>
  </si>
  <si>
    <t>yes</t>
  </si>
  <si>
    <t>5965SRS Align Spot Resist Stainless One-Handle Arce Pulldown Bar Faucet (Deck Plate or Sink Hole?)</t>
  </si>
  <si>
    <t>Base Total</t>
  </si>
  <si>
    <t>Leading Edge Labor Only</t>
  </si>
  <si>
    <t xml:space="preserve">Total Base Plumbing </t>
  </si>
  <si>
    <r>
      <rPr>
        <b/>
        <sz val="14"/>
        <rFont val="Times New Roman"/>
        <family val="1"/>
      </rPr>
      <t>Modern Me - King Starboard Material Option 2: Summer Kitchen Appliances &amp; Fixtures</t>
    </r>
    <r>
      <rPr>
        <sz val="14"/>
        <rFont val="Times New Roman"/>
        <family val="1"/>
      </rPr>
      <t xml:space="preserve">
Grill: 34" C-Series Grill (Model: C2C34)                  
Mini Ref.: 24" Outdoor Refrigerator Right Hinge C1BIR24-R</t>
    </r>
    <r>
      <rPr>
        <b/>
        <sz val="14"/>
        <color rgb="FFFF0000"/>
        <rFont val="Times New Roman"/>
        <family val="1"/>
      </rPr>
      <t> (In appliance allowance)                   </t>
    </r>
    <r>
      <rPr>
        <sz val="14"/>
        <rFont val="Times New Roman"/>
        <family val="1"/>
      </rPr>
      <t xml:space="preserve">
</t>
    </r>
  </si>
  <si>
    <t>Install</t>
  </si>
  <si>
    <t>Charge HO/.65</t>
  </si>
  <si>
    <t>eric this is Henry's unsed unit - ML</t>
  </si>
  <si>
    <t xml:space="preserve">Badger 1/2 HP Dispoasl </t>
  </si>
  <si>
    <t>Moen EXL100C</t>
  </si>
  <si>
    <t>Wholesale $</t>
  </si>
  <si>
    <t>05.11.2026
5/15/2026</t>
  </si>
  <si>
    <t>YB0708BZG</t>
  </si>
  <si>
    <t xml:space="preserve">Model </t>
  </si>
  <si>
    <t>Quantity</t>
  </si>
  <si>
    <t>YB0786BZG</t>
  </si>
  <si>
    <t>Ceramic Fixtures</t>
  </si>
  <si>
    <t xml:space="preserve">Budget </t>
  </si>
  <si>
    <t>NO Charge</t>
  </si>
  <si>
    <t>4/2/2026
5/14/2026</t>
  </si>
  <si>
    <t>Platinum Serires</t>
  </si>
  <si>
    <t>TV64433BZG (2)</t>
  </si>
  <si>
    <t xml:space="preserve">TV6620ORB (2) </t>
  </si>
  <si>
    <t>(2) Included</t>
  </si>
  <si>
    <t>(2) 36" Installed</t>
  </si>
  <si>
    <t>T430BZG</t>
  </si>
  <si>
    <t>T933ORB</t>
  </si>
  <si>
    <t>No Charge</t>
  </si>
  <si>
    <t xml:space="preserve">Master Shower Tub Wall </t>
  </si>
  <si>
    <t xml:space="preserve">Wall </t>
  </si>
  <si>
    <t>Bath 4 shower enclosure</t>
  </si>
  <si>
    <t>Bath 3 glass on KW</t>
  </si>
  <si>
    <t xml:space="preserve">Master </t>
  </si>
  <si>
    <t>Shelving</t>
  </si>
  <si>
    <t>Mirrors</t>
  </si>
  <si>
    <t>Per Plan</t>
  </si>
  <si>
    <t>Double doors and (2) panels</t>
  </si>
  <si>
    <t xml:space="preserve">on 48" high knee wall to 8' </t>
  </si>
  <si>
    <t>Selected</t>
  </si>
  <si>
    <t>Arched double doors with (2)</t>
  </si>
  <si>
    <t>full walls</t>
  </si>
  <si>
    <t>NO Charge to HO</t>
  </si>
  <si>
    <t>4/2/2026
5/19/2026</t>
  </si>
  <si>
    <t>Frameless bypass doors to 7'</t>
  </si>
  <si>
    <t xml:space="preserve">48" h kneewall with  glass to </t>
  </si>
  <si>
    <t>8' and door to 8'</t>
  </si>
  <si>
    <t>J&amp;H</t>
  </si>
  <si>
    <r>
      <t xml:space="preserve">Master Bath: 
</t>
    </r>
    <r>
      <rPr>
        <sz val="14"/>
        <rFont val="Times New Roman"/>
        <family val="1"/>
      </rPr>
      <t xml:space="preserve">Shower Entry Doors
Style: Arched Doors
Swing: In &amp; Out
Handles: Rounded
Clips: To match shower fixture finish
Notes: Check vendor est. And cross reference with 
height of arched header.
</t>
    </r>
  </si>
  <si>
    <t xml:space="preserve">Master Shelving Per </t>
  </si>
  <si>
    <t>Plan</t>
  </si>
  <si>
    <t>34.5 LF @ $20.57 per LF</t>
  </si>
  <si>
    <t xml:space="preserve">Removed kneewalls and panels </t>
  </si>
  <si>
    <t>VERNS Base 2-24-2026</t>
  </si>
  <si>
    <t>Kitchen</t>
  </si>
  <si>
    <t>Master</t>
  </si>
  <si>
    <t>Laundry</t>
  </si>
  <si>
    <t>Wet Bar</t>
  </si>
  <si>
    <t>Entertainment</t>
  </si>
  <si>
    <t>Verns Location Adds</t>
  </si>
  <si>
    <t>See Tabs</t>
  </si>
  <si>
    <t>Verns</t>
  </si>
  <si>
    <t xml:space="preserve">Verns </t>
  </si>
  <si>
    <t>Driveway Pavers</t>
  </si>
  <si>
    <t>Tremron Standard $6.50 sf</t>
  </si>
  <si>
    <t>2021 SF</t>
  </si>
  <si>
    <t>sf</t>
  </si>
  <si>
    <t>Charge HO $10 per sf over</t>
  </si>
  <si>
    <t>Tremron Permeable Opt $9.14 sf</t>
  </si>
  <si>
    <t>Upgraded paver Permeable</t>
  </si>
  <si>
    <t xml:space="preserve">Charge HO </t>
  </si>
  <si>
    <t>Tremron Pervious Opt $8.58 sf</t>
  </si>
  <si>
    <t>ITS - OPTION #2</t>
  </si>
  <si>
    <t>ITS - OPTION #3</t>
  </si>
  <si>
    <t>ITS - OPTION #1</t>
  </si>
  <si>
    <t>Profit</t>
  </si>
  <si>
    <t>2001 SF</t>
  </si>
  <si>
    <r>
      <t xml:space="preserve">Paver Allowance: More may be needed once survey is finalized and approved.  </t>
    </r>
    <r>
      <rPr>
        <b/>
        <sz val="14"/>
        <color rgb="FFFF0000"/>
        <rFont val="Times New Roman"/>
        <family val="1"/>
      </rPr>
      <t xml:space="preserve">Pricing is for added 621 SF of pavers and 2001 SF of upgraded pavers from standard Tremron to Pervious Tremron Paver. </t>
    </r>
    <r>
      <rPr>
        <b/>
        <sz val="14"/>
        <rFont val="Times New Roman"/>
        <family val="1"/>
      </rPr>
      <t xml:space="preserve">
</t>
    </r>
    <r>
      <rPr>
        <sz val="14"/>
        <rFont val="Times New Roman"/>
        <family val="1"/>
      </rPr>
      <t xml:space="preserve">Vendor: ITS
Manufacturer: Tremron
Color: Glacier </t>
    </r>
    <r>
      <rPr>
        <b/>
        <sz val="14"/>
        <rFont val="Times New Roman"/>
        <family val="1"/>
      </rPr>
      <t>(Pervious)</t>
    </r>
    <r>
      <rPr>
        <sz val="14"/>
        <rFont val="Times New Roman"/>
        <family val="1"/>
      </rPr>
      <t xml:space="preserve">
Installation Pattern: Euro 3pc Random 
(See Attached Photo)
Locations:
Driveway 
Walkway
Front Entry</t>
    </r>
  </si>
  <si>
    <r>
      <t xml:space="preserve">Bath #2: </t>
    </r>
    <r>
      <rPr>
        <sz val="14"/>
        <rFont val="Times New Roman"/>
        <family val="1"/>
      </rPr>
      <t xml:space="preserve">Height: </t>
    </r>
    <r>
      <rPr>
        <strike/>
        <sz val="14"/>
        <rFont val="Times New Roman"/>
        <family val="1"/>
      </rPr>
      <t>8'</t>
    </r>
    <r>
      <rPr>
        <sz val="14"/>
        <rFont val="Times New Roman"/>
        <family val="1"/>
      </rPr>
      <t xml:space="preserve"> </t>
    </r>
    <r>
      <rPr>
        <b/>
        <sz val="14"/>
        <color rgb="FFFF0000"/>
        <rFont val="Times New Roman"/>
        <family val="1"/>
      </rPr>
      <t xml:space="preserve">7' </t>
    </r>
    <r>
      <rPr>
        <sz val="14"/>
        <rFont val="Times New Roman"/>
        <family val="1"/>
      </rPr>
      <t xml:space="preserve">A.F.F
Style: Bypass Glass Doors </t>
    </r>
    <r>
      <rPr>
        <b/>
        <sz val="14"/>
        <color rgb="FFFF0000"/>
        <rFont val="Times New Roman"/>
        <family val="1"/>
      </rPr>
      <t>84" is max height for a 2 door system</t>
    </r>
    <r>
      <rPr>
        <sz val="14"/>
        <rFont val="Times New Roman"/>
        <family val="1"/>
      </rPr>
      <t xml:space="preserve">
Handles: Round Vertical (No Horiz. Bar)
Hinge Bracket: to match plumbing fixtures in shower</t>
    </r>
  </si>
  <si>
    <t>Tile Floors matl</t>
  </si>
  <si>
    <t>Tile floor labor</t>
  </si>
  <si>
    <t>Woodfloors</t>
  </si>
  <si>
    <t>Carpet Install</t>
  </si>
  <si>
    <t xml:space="preserve">Master bathroom </t>
  </si>
  <si>
    <t>Shower flor</t>
  </si>
  <si>
    <t>2nd Floor Duro and Install</t>
  </si>
  <si>
    <t>Sills</t>
  </si>
  <si>
    <t>Seat</t>
  </si>
  <si>
    <t>Tile Walls</t>
  </si>
  <si>
    <t>Master Tub</t>
  </si>
  <si>
    <t>Kitchen Backsplash</t>
  </si>
  <si>
    <t>Cermaic fixt</t>
  </si>
  <si>
    <t>Above</t>
  </si>
  <si>
    <t xml:space="preserve">MASTER BATH </t>
  </si>
  <si>
    <t>CARENZA Oro Polished 12x24</t>
  </si>
  <si>
    <t>Walls to 8'</t>
  </si>
  <si>
    <t xml:space="preserve">8' to 10' </t>
  </si>
  <si>
    <t>Unit $</t>
  </si>
  <si>
    <t>Olsen $</t>
  </si>
  <si>
    <t>Added Cost</t>
  </si>
  <si>
    <t>Charge HO/.75</t>
  </si>
  <si>
    <t>Shower Bench</t>
  </si>
  <si>
    <t>Niche</t>
  </si>
  <si>
    <t>Vanity Wall Arch Behind Mirror</t>
  </si>
  <si>
    <t>ea</t>
  </si>
  <si>
    <t>TBD</t>
  </si>
  <si>
    <t>GOTHAM NERO 2x2</t>
  </si>
  <si>
    <t>Shower Floor</t>
  </si>
  <si>
    <t>BATH #2</t>
  </si>
  <si>
    <t>IMMERSE CARRARA 12x24</t>
  </si>
  <si>
    <t>WAVES LAGUNA 2x2</t>
  </si>
  <si>
    <t>Shower Floor - Zero Entry</t>
  </si>
  <si>
    <t>Floors</t>
  </si>
  <si>
    <t>COTTAGE FASSA 9X40</t>
  </si>
  <si>
    <t>Foyer</t>
  </si>
  <si>
    <t>Halls</t>
  </si>
  <si>
    <t>Great Room</t>
  </si>
  <si>
    <t>Nook</t>
  </si>
  <si>
    <t>Dining</t>
  </si>
  <si>
    <t>Study</t>
  </si>
  <si>
    <t>Master Bedroom</t>
  </si>
  <si>
    <t>Master Bathroom</t>
  </si>
  <si>
    <t>Master Entry/Hall</t>
  </si>
  <si>
    <t>Master WIC's</t>
  </si>
  <si>
    <t>Bed #2</t>
  </si>
  <si>
    <t>Bed #3</t>
  </si>
  <si>
    <t>BACKSPLASH</t>
  </si>
  <si>
    <t>VETRI BIANCO 4x12</t>
  </si>
  <si>
    <t>SILLS</t>
  </si>
  <si>
    <t>Includes /.75 mark up</t>
  </si>
  <si>
    <r>
      <rPr>
        <b/>
        <sz val="14"/>
        <rFont val="Times New Roman"/>
        <family val="1"/>
      </rPr>
      <t xml:space="preserve">Main flooring: </t>
    </r>
    <r>
      <rPr>
        <sz val="14"/>
        <rFont val="Times New Roman"/>
        <family val="1"/>
      </rPr>
      <t>Cottage 		Fassa 		9x40</t>
    </r>
  </si>
  <si>
    <r>
      <rPr>
        <b/>
        <sz val="14"/>
        <rFont val="Times New Roman"/>
        <family val="1"/>
      </rPr>
      <t xml:space="preserve">Master Bath Shower Walls: </t>
    </r>
    <r>
      <rPr>
        <sz val="14"/>
        <rFont val="Times New Roman"/>
        <family val="1"/>
      </rPr>
      <t xml:space="preserve">Upgrade to Carenz Oro (Polished) 12x24 and add tile from 8' to 10' ceiling. </t>
    </r>
  </si>
  <si>
    <t>05.07.2026
5/18/2026</t>
  </si>
  <si>
    <r>
      <t xml:space="preserve">Bath #2 Shower Walls: </t>
    </r>
    <r>
      <rPr>
        <sz val="14"/>
        <rFont val="Times New Roman"/>
        <family val="1"/>
      </rPr>
      <t>Upgrade to IMMERSE CARRARA 12x24  tile from 8' to 10' ceiling.</t>
    </r>
  </si>
  <si>
    <r>
      <t xml:space="preserve">Bath #3 Shower Walls: </t>
    </r>
    <r>
      <rPr>
        <sz val="14"/>
        <rFont val="Times New Roman"/>
        <family val="1"/>
      </rPr>
      <t>Upgrade to IMMERSE CARRARA 12x24  tile from 8' to 10' ceiling.</t>
    </r>
  </si>
  <si>
    <r>
      <rPr>
        <b/>
        <sz val="14"/>
        <rFont val="Times New Roman"/>
        <family val="1"/>
      </rPr>
      <t xml:space="preserve">Master Bath Shower: </t>
    </r>
    <r>
      <rPr>
        <sz val="14"/>
        <rFont val="Times New Roman"/>
        <family val="1"/>
      </rPr>
      <t xml:space="preserve">Add Tiled Niche
</t>
    </r>
  </si>
  <si>
    <r>
      <rPr>
        <b/>
        <sz val="14"/>
        <rFont val="Times New Roman"/>
        <family val="1"/>
      </rPr>
      <t xml:space="preserve">Bath #2 Shower: </t>
    </r>
    <r>
      <rPr>
        <sz val="14"/>
        <rFont val="Times New Roman"/>
        <family val="1"/>
      </rPr>
      <t xml:space="preserve">Add Tiled Niche
</t>
    </r>
  </si>
  <si>
    <r>
      <rPr>
        <b/>
        <sz val="14"/>
        <rFont val="Times New Roman"/>
        <family val="1"/>
      </rPr>
      <t xml:space="preserve">Bath #3 Shower: </t>
    </r>
    <r>
      <rPr>
        <sz val="14"/>
        <rFont val="Times New Roman"/>
        <family val="1"/>
      </rPr>
      <t xml:space="preserve">Add Tiled Niche
</t>
    </r>
  </si>
  <si>
    <r>
      <t xml:space="preserve">Bath #3 Shower Floor: </t>
    </r>
    <r>
      <rPr>
        <sz val="14"/>
        <rFont val="Times New Roman"/>
        <family val="1"/>
      </rPr>
      <t xml:space="preserve">Upgrade to WAVES LAGUNA 2x2. </t>
    </r>
  </si>
  <si>
    <t>Charge HO</t>
  </si>
  <si>
    <t>Her Closet FM Unit</t>
  </si>
  <si>
    <t>Melamine Color upgrde</t>
  </si>
  <si>
    <t>17.25 LF each WIC</t>
  </si>
  <si>
    <t>Credit for ventilated</t>
  </si>
  <si>
    <t>Her Closet Floor Mounted</t>
  </si>
  <si>
    <t>Her Closet Wall Mounted</t>
  </si>
  <si>
    <t>Her Closet Wall Unit</t>
  </si>
  <si>
    <t>His Closet Wall Mounted</t>
  </si>
  <si>
    <t>His Closet Wall Unit</t>
  </si>
  <si>
    <t>His Closet Floor Mounted</t>
  </si>
  <si>
    <t>His Closet FM Unit</t>
  </si>
  <si>
    <t>Select Option</t>
  </si>
  <si>
    <r>
      <t xml:space="preserve">Master Bedroom Custom W.I.C.s: </t>
    </r>
    <r>
      <rPr>
        <sz val="14"/>
        <rFont val="Times New Roman"/>
        <family val="1"/>
      </rPr>
      <t>Wall hung closet organizers.</t>
    </r>
    <r>
      <rPr>
        <b/>
        <sz val="14"/>
        <rFont val="Times New Roman"/>
        <family val="1"/>
      </rPr>
      <t xml:space="preserve"> In Both His &amp; Her's W.I.C.s. </t>
    </r>
    <r>
      <rPr>
        <b/>
        <sz val="14"/>
        <color rgb="FFFF0000"/>
        <rFont val="Times New Roman"/>
        <family val="1"/>
      </rPr>
      <t xml:space="preserve">Pricing includes credit for wood ventilated shelving. </t>
    </r>
  </si>
  <si>
    <r>
      <t xml:space="preserve">Master Bedroom Custom W.I.C.s: </t>
    </r>
    <r>
      <rPr>
        <sz val="14"/>
        <rFont val="Times New Roman"/>
        <family val="1"/>
      </rPr>
      <t>Floor Mounted closet organizers.</t>
    </r>
    <r>
      <rPr>
        <b/>
        <sz val="14"/>
        <rFont val="Times New Roman"/>
        <family val="1"/>
      </rPr>
      <t xml:space="preserve"> In Both His &amp; Her's W.I.C.s.  </t>
    </r>
    <r>
      <rPr>
        <b/>
        <sz val="14"/>
        <color rgb="FFFF0000"/>
        <rFont val="Times New Roman"/>
        <family val="1"/>
      </rPr>
      <t xml:space="preserve">Pricing includes credit for wood ventilated shelving. </t>
    </r>
  </si>
  <si>
    <t>Revised Total</t>
  </si>
  <si>
    <r>
      <t xml:space="preserve">Kitchen Backsplash: </t>
    </r>
    <r>
      <rPr>
        <sz val="14"/>
        <rFont val="Times New Roman"/>
        <family val="1"/>
      </rPr>
      <t>Upgrade to VETRI BIANCO 4x12</t>
    </r>
  </si>
  <si>
    <t>MODERN ME PRICING</t>
  </si>
  <si>
    <t>Model Name: Veranda Bay 2</t>
  </si>
  <si>
    <t>Masterpiece</t>
  </si>
  <si>
    <t>Selected Finishes=</t>
  </si>
  <si>
    <t>183 Stillwater Olsen Model CABINETS</t>
  </si>
  <si>
    <r>
      <rPr>
        <sz val="14"/>
        <rFont val="Times New Roman"/>
        <family val="1"/>
      </rPr>
      <t>Plywood Boxes in stain finish throughout /  1 roll-
out included in kitchen base cabinets</t>
    </r>
  </si>
  <si>
    <t>Standard Layouts</t>
  </si>
  <si>
    <t>Std Doors</t>
  </si>
  <si>
    <t>hardware</t>
  </si>
  <si>
    <t>Paint upgrade</t>
  </si>
  <si>
    <t>Translucent upgrade</t>
  </si>
  <si>
    <t>Kitchen Perimeter Deluxe</t>
  </si>
  <si>
    <t>Hood vent blower only</t>
  </si>
  <si>
    <t>Custom 42" Wide appliance Garage</t>
  </si>
  <si>
    <t>Kitchen hardware</t>
  </si>
  <si>
    <t>Master Bath</t>
  </si>
  <si>
    <t>Master bath hardware</t>
  </si>
  <si>
    <t>Bath #2 hardware</t>
  </si>
  <si>
    <t>standard</t>
  </si>
  <si>
    <t>Bath #3 hardware</t>
  </si>
  <si>
    <t>Laundry sink side</t>
  </si>
  <si>
    <t>Laundry sink hardware</t>
  </si>
  <si>
    <t>Totals</t>
  </si>
  <si>
    <t>Total w/ all Finishes Olsen cost</t>
  </si>
  <si>
    <t>Upcharge 65%</t>
  </si>
  <si>
    <t>Options</t>
  </si>
  <si>
    <t>upgrade 65%</t>
  </si>
  <si>
    <t>Kitchen Island Veneer</t>
  </si>
  <si>
    <t>18" Top Row cabinets</t>
  </si>
  <si>
    <t>Wet Bar Shelvs wrapping structure</t>
  </si>
  <si>
    <t>Entertainment fireplace wall hardware</t>
  </si>
  <si>
    <t>Pantry hardware</t>
  </si>
  <si>
    <t>Laundry Pantry only</t>
  </si>
  <si>
    <t>Laundry pantry hardware</t>
  </si>
  <si>
    <t>Laundry Dog Crate only</t>
  </si>
  <si>
    <t>Option Total</t>
  </si>
  <si>
    <t>Option Total w/ Finishes Olsen Cost</t>
  </si>
  <si>
    <t>TOTAL UPGRDES</t>
  </si>
  <si>
    <t>Total cost for Masterpiece Cabinets installed with all above-includes options-Olsen Cost</t>
  </si>
  <si>
    <t>Credit From Masterpeice and ModernMe</t>
  </si>
  <si>
    <t>Total due</t>
  </si>
  <si>
    <t xml:space="preserve">Master Closet </t>
  </si>
  <si>
    <t>Her Closet Wall Hang w/ dresser unit</t>
  </si>
  <si>
    <t>Melamine color Upgrade</t>
  </si>
  <si>
    <t>His Closet Wall Hang w/ dresser</t>
  </si>
  <si>
    <t>Her Closet FM  (Floor) Units</t>
  </si>
  <si>
    <t>Melamine color upgrade</t>
  </si>
  <si>
    <t>His Closet FM (Floor) units</t>
  </si>
  <si>
    <t>TOTAL</t>
  </si>
  <si>
    <r>
      <t xml:space="preserve">Cabinetry Allowance: </t>
    </r>
    <r>
      <rPr>
        <sz val="14"/>
        <rFont val="Times New Roman"/>
        <family val="1"/>
      </rPr>
      <t xml:space="preserve">This is allowance for base cabinetry throughout the home. Added items or options will be priced separately below. </t>
    </r>
    <r>
      <rPr>
        <b/>
        <sz val="14"/>
        <rFont val="Times New Roman"/>
        <family val="1"/>
      </rPr>
      <t>Hardware included in priicng</t>
    </r>
  </si>
  <si>
    <t>Olsen Costs $3,376</t>
  </si>
  <si>
    <t>Pantry: add Cabinets in pantry-cabinets only</t>
  </si>
  <si>
    <t>Olsen Cost $4,584.00</t>
  </si>
  <si>
    <t>Laundry: Add dog crate location</t>
  </si>
  <si>
    <t>Olsen Cost $1,145.00</t>
  </si>
  <si>
    <t>Olsen Cost$1,777.00</t>
  </si>
  <si>
    <t>Laundry cabinets (not sink side)</t>
  </si>
  <si>
    <t>Model Name: 2</t>
  </si>
  <si>
    <t>Eric's pricing to play with</t>
  </si>
  <si>
    <t>Paint w/highlight and stain w/glaze upgrade</t>
  </si>
  <si>
    <t>Custom Match paint</t>
  </si>
  <si>
    <t>Ages stain weathered stain aged paint</t>
  </si>
  <si>
    <t>Water sewer Allowance</t>
  </si>
  <si>
    <t>Water sewer allowance</t>
  </si>
  <si>
    <t>???? Check number</t>
  </si>
  <si>
    <t>Paint - Interior</t>
  </si>
  <si>
    <t>added</t>
  </si>
  <si>
    <t>Living rm</t>
  </si>
  <si>
    <t>Location</t>
  </si>
  <si>
    <t>TOTALS</t>
  </si>
  <si>
    <t>Stain</t>
  </si>
  <si>
    <t>Install/material</t>
  </si>
  <si>
    <t>Added-seperated</t>
  </si>
  <si>
    <t>Added</t>
  </si>
  <si>
    <t>did not add-Poloma tub is what we provide</t>
  </si>
  <si>
    <t>added-but need more ifo- side of what??</t>
  </si>
  <si>
    <t>Added together</t>
  </si>
  <si>
    <t>DID NOT ADD</t>
  </si>
  <si>
    <t xml:space="preserve">Olsen Cost </t>
  </si>
  <si>
    <t>added, but do you want Include this in the main pricing??</t>
  </si>
  <si>
    <t>Added within allowance</t>
  </si>
  <si>
    <t>added 28,000-included some plumbing below</t>
  </si>
  <si>
    <t>added-need to change estimate file #'s</t>
  </si>
  <si>
    <t>(9) 42" floating shelves</t>
  </si>
  <si>
    <t>(2) 72" floating Shelves</t>
  </si>
  <si>
    <t>Install (10) each @ $100 ea</t>
  </si>
  <si>
    <t>06.03.2026
6/9/2026</t>
  </si>
  <si>
    <r>
      <t xml:space="preserve">Master Clostes: Add custom Clostes per drawings. Floor Mounted Units
Brand: </t>
    </r>
    <r>
      <rPr>
        <sz val="14"/>
        <rFont val="Times New Roman"/>
        <family val="1"/>
      </rPr>
      <t xml:space="preserve">E Egger
</t>
    </r>
    <r>
      <rPr>
        <b/>
        <sz val="14"/>
        <rFont val="Times New Roman"/>
        <family val="1"/>
      </rPr>
      <t>Color:</t>
    </r>
    <r>
      <rPr>
        <sz val="14"/>
        <rFont val="Times New Roman"/>
        <family val="1"/>
      </rPr>
      <t xml:space="preserve"> Black</t>
    </r>
    <r>
      <rPr>
        <b/>
        <sz val="14"/>
        <rFont val="Times New Roman"/>
        <family val="1"/>
      </rPr>
      <t xml:space="preserve">
Model: </t>
    </r>
    <r>
      <rPr>
        <sz val="14"/>
        <rFont val="Times New Roman"/>
        <family val="1"/>
      </rPr>
      <t>U999 ST 19</t>
    </r>
  </si>
  <si>
    <t>This price is with our standard /.65 markup. ST</t>
  </si>
  <si>
    <t>05.27.26
6/9/2026</t>
  </si>
  <si>
    <r>
      <t>Wet Bar Custom Shelves:</t>
    </r>
    <r>
      <rPr>
        <sz val="14"/>
        <rFont val="Times New Roman"/>
        <family val="1"/>
      </rPr>
      <t xml:space="preserve"> Custom Design to Install. 
Brand: The Barn Collection
Length: 42"
Finish Color: Weathered Siding
QTY: 9
Brand: The Barn Collection
Length: 72"
Finish Color: Weathered Siding
QTY: 2</t>
    </r>
  </si>
  <si>
    <t>NO CLUE WHAT ALL THIS MEANS</t>
  </si>
  <si>
    <t>Total Beams</t>
  </si>
  <si>
    <t>Staining</t>
  </si>
  <si>
    <t>RETAIL</t>
  </si>
  <si>
    <t>COST PER FOOT</t>
  </si>
  <si>
    <t>NO CHARGE</t>
  </si>
  <si>
    <t>Owner cost</t>
  </si>
  <si>
    <t>Doors for dog crate</t>
  </si>
  <si>
    <t>Countertops for dog crate location and over washer and dryer.</t>
  </si>
  <si>
    <t>EO included</t>
  </si>
  <si>
    <t>Low Voltage</t>
  </si>
  <si>
    <r>
      <rPr>
        <b/>
        <sz val="14"/>
        <rFont val="Times New Roman"/>
        <family val="1"/>
      </rPr>
      <t>Network &amp; Connectivity:</t>
    </r>
    <r>
      <rPr>
        <sz val="14"/>
        <rFont val="Times New Roman"/>
        <family val="1"/>
      </rPr>
      <t xml:space="preserve"> Eero Wi-Fi 7 and Wi-Fi 6 wireless network with (2) interior access points and (1) IP66-rated outdoor accdess point. </t>
    </r>
  </si>
  <si>
    <r>
      <rPr>
        <b/>
        <sz val="14"/>
        <rFont val="Times New Roman"/>
        <family val="1"/>
      </rPr>
      <t>Family Room Audio &amp; Video</t>
    </r>
    <r>
      <rPr>
        <sz val="14"/>
        <rFont val="Times New Roman"/>
        <family val="1"/>
      </rPr>
      <t xml:space="preserve"> - Surround sound system centered around a Denon 7.2 channel A/V receiver with Dolby Atmos support, (5) Episode in-ceiling speakers and a dedicated Episode powered subwoofer. A flush flat-panel tv mount completes the video presentation. </t>
    </r>
  </si>
  <si>
    <r>
      <t xml:space="preserve">Covered Lanai Audio: </t>
    </r>
    <r>
      <rPr>
        <sz val="14"/>
        <rFont val="Times New Roman"/>
        <family val="1"/>
      </rPr>
      <t>(4) Episode all-weather in-ceiling speakers, purpose-built to withstand outdoor conditions.</t>
    </r>
  </si>
  <si>
    <r>
      <t xml:space="preserve">Surveillance &amp; Security: </t>
    </r>
    <r>
      <rPr>
        <sz val="14"/>
        <rFont val="Times New Roman"/>
        <family val="1"/>
      </rPr>
      <t xml:space="preserve">(7) Luma 220-Series outdoor turret cameras with Starlight low-light technology and AI analytics. Includes a dedicated 8-channel Luma NVR with 4TB of onboard storage. </t>
    </r>
  </si>
  <si>
    <r>
      <rPr>
        <b/>
        <sz val="14"/>
        <rFont val="Times New Roman"/>
        <family val="1"/>
      </rPr>
      <t>Infrastructure &amp; Prewire:</t>
    </r>
    <r>
      <rPr>
        <sz val="14"/>
        <rFont val="Times New Roman"/>
        <family val="1"/>
      </rPr>
      <t xml:space="preserve"> Installation is supported through low-voltage prewire package, including structured cabling for all network, coaxial, speaker and camera locations. A centralized 30-inch enclosure with a dedicated power conditioner that houses the core network and distribution equipment with conduit provisions in place to support future system expansion. </t>
    </r>
  </si>
  <si>
    <r>
      <rPr>
        <b/>
        <sz val="14"/>
        <rFont val="Times New Roman"/>
        <family val="1"/>
      </rPr>
      <t>Interior Doors:</t>
    </r>
    <r>
      <rPr>
        <sz val="14"/>
        <rFont val="Times New Roman"/>
        <family val="1"/>
      </rPr>
      <t xml:space="preserve"> Upgrading to Accented Interior Door Color, meaning interior doors are a different color fron the trim and the walls.
Manufacturer: Sherwin Williams
Color: SW 7029 Agreeable Gray- APPROVED SLO 4/10/2026 
Areas: All Interior Door Locations
Paint Sheen: FLAT</t>
    </r>
  </si>
  <si>
    <t xml:space="preserve">Installation, Rough in &amp; Programing: </t>
  </si>
  <si>
    <t xml:space="preserve">Included in above. </t>
  </si>
  <si>
    <t>NOT SELECTED 6/23/2026 ST</t>
  </si>
  <si>
    <t>Add (2) UV Lights</t>
  </si>
  <si>
    <t>Add (2) 4" Pleated filters</t>
  </si>
  <si>
    <t>Upgrading from Carrier to Bosch
Model: Bosch IDS Heat Pump
Premium Connected Series Condensing Unit
2 &amp; 4 Ton Capacity | R454B</t>
  </si>
  <si>
    <t>2 Ton</t>
  </si>
  <si>
    <t>4 Ton</t>
  </si>
  <si>
    <t>(2) 4" pleated filters</t>
  </si>
  <si>
    <t>(2)UV Lights</t>
  </si>
  <si>
    <t>Laundry: Lower washer valve box for cabinetry top</t>
  </si>
  <si>
    <t xml:space="preserve">Field Changes </t>
  </si>
  <si>
    <t>Laundry: Lower electrical for w/d to accommodate for cabinet top</t>
  </si>
  <si>
    <t>07.02.2026
7/6/2026</t>
  </si>
  <si>
    <t>(6) Outlet cut outs</t>
  </si>
  <si>
    <t>BASE</t>
  </si>
  <si>
    <t>Wet Bar 1618 HMR Sink</t>
  </si>
  <si>
    <t xml:space="preserve"> </t>
  </si>
  <si>
    <t>Laundry Sink 1618 HMR</t>
  </si>
  <si>
    <t>Sink Cutouts</t>
  </si>
  <si>
    <t>5 Faucet Holes &amp; Bracing</t>
  </si>
  <si>
    <t>Pantry Sink 1618 HMR</t>
  </si>
  <si>
    <t>1618 HMR Sink</t>
  </si>
  <si>
    <t>Olsen Cost with 10% Discount</t>
  </si>
  <si>
    <t>Future Client Cost</t>
  </si>
  <si>
    <t>Fantasy Brown 3 CM with 24" Backsplash - 72.6 SF @ $46.20 SF</t>
  </si>
  <si>
    <t>White Fantasy Marble - 69.8 SF @ $62.70 SF</t>
  </si>
  <si>
    <t>Super White Quartz 146.3 SF @ $55 SF</t>
  </si>
  <si>
    <t>Carmen 2 CM Quartz - 137.2 SF Total @ $70.40 SF</t>
  </si>
  <si>
    <r>
      <t xml:space="preserve">Kitchen Perimeter - </t>
    </r>
    <r>
      <rPr>
        <b/>
        <sz val="13"/>
        <color theme="1"/>
        <rFont val="Calibri"/>
        <family val="2"/>
        <scheme val="minor"/>
      </rPr>
      <t>28 SF</t>
    </r>
    <r>
      <rPr>
        <sz val="13"/>
        <color theme="1"/>
        <rFont val="Calibri"/>
        <family val="2"/>
        <scheme val="minor"/>
      </rPr>
      <t xml:space="preserve"> </t>
    </r>
  </si>
  <si>
    <r>
      <t xml:space="preserve">Kitchen Hood Wrap - </t>
    </r>
    <r>
      <rPr>
        <b/>
        <sz val="13"/>
        <color theme="1"/>
        <rFont val="Calibri"/>
        <family val="2"/>
        <scheme val="minor"/>
      </rPr>
      <t>48 SF</t>
    </r>
    <r>
      <rPr>
        <sz val="13"/>
        <color theme="1"/>
        <rFont val="Calibri"/>
        <family val="2"/>
        <scheme val="minor"/>
      </rPr>
      <t xml:space="preserve"> </t>
    </r>
  </si>
  <si>
    <r>
      <t>Mitre Edge 45 degree hood sides -</t>
    </r>
    <r>
      <rPr>
        <b/>
        <sz val="13"/>
        <color theme="1"/>
        <rFont val="Calibri"/>
        <family val="2"/>
        <scheme val="minor"/>
      </rPr>
      <t xml:space="preserve"> 48 LF</t>
    </r>
    <r>
      <rPr>
        <sz val="13"/>
        <color theme="1"/>
        <rFont val="Calibri"/>
        <family val="2"/>
        <scheme val="minor"/>
      </rPr>
      <t xml:space="preserve"> @ $24.75 LF</t>
    </r>
  </si>
  <si>
    <r>
      <t>Kitchen stove Area Full Height Backsplash -</t>
    </r>
    <r>
      <rPr>
        <b/>
        <sz val="13"/>
        <color theme="1"/>
        <rFont val="Calibri"/>
        <family val="2"/>
        <scheme val="minor"/>
      </rPr>
      <t xml:space="preserve"> 26.5 SF</t>
    </r>
    <r>
      <rPr>
        <sz val="13"/>
        <color theme="1"/>
        <rFont val="Calibri"/>
        <family val="2"/>
        <scheme val="minor"/>
      </rPr>
      <t xml:space="preserve"> </t>
    </r>
  </si>
  <si>
    <r>
      <t>Wet Bar No Backsplash -</t>
    </r>
    <r>
      <rPr>
        <b/>
        <sz val="13"/>
        <color theme="1"/>
        <rFont val="Calibri"/>
        <family val="2"/>
        <scheme val="minor"/>
      </rPr>
      <t xml:space="preserve"> 27.2 SF</t>
    </r>
    <r>
      <rPr>
        <sz val="13"/>
        <color theme="1"/>
        <rFont val="Calibri"/>
        <family val="2"/>
        <scheme val="minor"/>
      </rPr>
      <t xml:space="preserve"> </t>
    </r>
  </si>
  <si>
    <r>
      <t xml:space="preserve">Entertainment - </t>
    </r>
    <r>
      <rPr>
        <b/>
        <sz val="13"/>
        <color theme="1"/>
        <rFont val="Calibri"/>
        <family val="2"/>
        <scheme val="minor"/>
      </rPr>
      <t>7.5</t>
    </r>
    <r>
      <rPr>
        <sz val="13"/>
        <color theme="1"/>
        <rFont val="Calibri"/>
        <family val="2"/>
        <scheme val="minor"/>
      </rPr>
      <t xml:space="preserve"> </t>
    </r>
    <r>
      <rPr>
        <b/>
        <sz val="13"/>
        <color theme="1"/>
        <rFont val="Calibri"/>
        <family val="2"/>
        <scheme val="minor"/>
      </rPr>
      <t xml:space="preserve">SF </t>
    </r>
  </si>
  <si>
    <r>
      <t xml:space="preserve">Kitchen Island 123" x 63" - </t>
    </r>
    <r>
      <rPr>
        <b/>
        <sz val="13"/>
        <color theme="1"/>
        <rFont val="Calibri"/>
        <family val="2"/>
        <scheme val="minor"/>
      </rPr>
      <t>53.81 SF</t>
    </r>
    <r>
      <rPr>
        <sz val="13"/>
        <color theme="1"/>
        <rFont val="Calibri"/>
        <family val="2"/>
        <scheme val="minor"/>
      </rPr>
      <t xml:space="preserve"> </t>
    </r>
  </si>
  <si>
    <r>
      <t xml:space="preserve">2 Kitchen Island Waterfalls - </t>
    </r>
    <r>
      <rPr>
        <b/>
        <sz val="13"/>
        <color theme="1"/>
        <rFont val="Calibri"/>
        <family val="2"/>
        <scheme val="minor"/>
      </rPr>
      <t>31.5 SF</t>
    </r>
    <r>
      <rPr>
        <sz val="13"/>
        <color theme="1"/>
        <rFont val="Calibri"/>
        <family val="2"/>
        <scheme val="minor"/>
      </rPr>
      <t xml:space="preserve"> </t>
    </r>
  </si>
  <si>
    <r>
      <t xml:space="preserve">Mitered Edge at Island - </t>
    </r>
    <r>
      <rPr>
        <b/>
        <sz val="13"/>
        <color theme="1"/>
        <rFont val="Calibri"/>
        <family val="2"/>
        <scheme val="minor"/>
      </rPr>
      <t>21 LF</t>
    </r>
    <r>
      <rPr>
        <sz val="13"/>
        <color theme="1"/>
        <rFont val="Calibri"/>
        <family val="2"/>
        <scheme val="minor"/>
      </rPr>
      <t xml:space="preserve"> @ $27.50 lf</t>
    </r>
  </si>
  <si>
    <r>
      <t xml:space="preserve">Granite Master w. 4" BS - </t>
    </r>
    <r>
      <rPr>
        <b/>
        <sz val="13"/>
        <color theme="1"/>
        <rFont val="Calibri"/>
        <family val="2"/>
        <scheme val="minor"/>
      </rPr>
      <t>49 SF</t>
    </r>
    <r>
      <rPr>
        <sz val="13"/>
        <color theme="1"/>
        <rFont val="Calibri"/>
        <family val="2"/>
        <scheme val="minor"/>
      </rPr>
      <t xml:space="preserve"> </t>
    </r>
  </si>
  <si>
    <r>
      <t xml:space="preserve">Granite bath 2 with 4" BS - </t>
    </r>
    <r>
      <rPr>
        <b/>
        <sz val="13"/>
        <color theme="1"/>
        <rFont val="Calibri"/>
        <family val="2"/>
        <scheme val="minor"/>
      </rPr>
      <t>14.7 SF</t>
    </r>
  </si>
  <si>
    <r>
      <t xml:space="preserve">Granite bath 3 with 4" BS - </t>
    </r>
    <r>
      <rPr>
        <b/>
        <sz val="13"/>
        <color theme="1"/>
        <rFont val="Calibri"/>
        <family val="2"/>
        <scheme val="minor"/>
      </rPr>
      <t>11.09 SF</t>
    </r>
    <r>
      <rPr>
        <sz val="13"/>
        <color theme="1"/>
        <rFont val="Calibri"/>
        <family val="2"/>
        <scheme val="minor"/>
      </rPr>
      <t xml:space="preserve"> </t>
    </r>
  </si>
  <si>
    <t>Bathroom Sinks - 4 @ $60.50</t>
  </si>
  <si>
    <r>
      <t xml:space="preserve">Pantry w. 4" BS - </t>
    </r>
    <r>
      <rPr>
        <b/>
        <sz val="13"/>
        <color theme="1"/>
        <rFont val="Calibri"/>
        <family val="2"/>
        <scheme val="minor"/>
      </rPr>
      <t>12.18 SF</t>
    </r>
  </si>
  <si>
    <r>
      <t xml:space="preserve">Stop-drop - </t>
    </r>
    <r>
      <rPr>
        <b/>
        <sz val="13"/>
        <color theme="1"/>
        <rFont val="Calibri"/>
        <family val="2"/>
        <scheme val="minor"/>
      </rPr>
      <t xml:space="preserve">16 SF </t>
    </r>
    <r>
      <rPr>
        <sz val="13"/>
        <color theme="1"/>
        <rFont val="Calibri"/>
        <family val="2"/>
        <scheme val="minor"/>
      </rPr>
      <t xml:space="preserve">w. 4" BS </t>
    </r>
  </si>
  <si>
    <r>
      <t xml:space="preserve">Summer Kitchen - </t>
    </r>
    <r>
      <rPr>
        <b/>
        <sz val="13"/>
        <color theme="1"/>
        <rFont val="Calibri"/>
        <family val="2"/>
        <scheme val="minor"/>
      </rPr>
      <t>46 SF</t>
    </r>
  </si>
  <si>
    <r>
      <t xml:space="preserve">24" Backsplash - </t>
    </r>
    <r>
      <rPr>
        <b/>
        <sz val="13"/>
        <color theme="1"/>
        <rFont val="Calibri"/>
        <family val="2"/>
        <scheme val="minor"/>
      </rPr>
      <t>26.6 SF</t>
    </r>
  </si>
  <si>
    <t>WPG</t>
  </si>
  <si>
    <t>Winter Park Grantie</t>
  </si>
  <si>
    <r>
      <t>Wet Bar:</t>
    </r>
    <r>
      <rPr>
        <sz val="14"/>
        <rFont val="Times New Roman"/>
        <family val="1"/>
      </rPr>
      <t xml:space="preserve"> This is allowance for base cabinets. Added items or options will be priced separately below.</t>
    </r>
    <r>
      <rPr>
        <b/>
        <sz val="14"/>
        <rFont val="Times New Roman"/>
        <family val="1"/>
      </rPr>
      <t xml:space="preserve"> 
</t>
    </r>
    <r>
      <rPr>
        <sz val="14"/>
        <rFont val="Times New Roman"/>
        <family val="1"/>
      </rPr>
      <t>Remove upper cabinets.
Flip appliance locations.
Add cabinet panel to mini ref.</t>
    </r>
    <r>
      <rPr>
        <b/>
        <sz val="14"/>
        <rFont val="Times New Roman"/>
        <family val="1"/>
      </rPr>
      <t xml:space="preserve">
Granite: Super White: 
Manufacturer: </t>
    </r>
    <r>
      <rPr>
        <sz val="14"/>
        <rFont val="Times New Roman"/>
        <family val="1"/>
      </rPr>
      <t>Skyline</t>
    </r>
    <r>
      <rPr>
        <b/>
        <sz val="14"/>
        <rFont val="Times New Roman"/>
        <family val="1"/>
      </rPr>
      <t xml:space="preserve">
Material:</t>
    </r>
    <r>
      <rPr>
        <sz val="14"/>
        <rFont val="Times New Roman"/>
        <family val="1"/>
      </rPr>
      <t xml:space="preserve"> Quartz</t>
    </r>
    <r>
      <rPr>
        <b/>
        <sz val="14"/>
        <rFont val="Times New Roman"/>
        <family val="1"/>
      </rPr>
      <t xml:space="preserve">
Level: </t>
    </r>
    <r>
      <rPr>
        <sz val="14"/>
        <rFont val="Times New Roman"/>
        <family val="1"/>
      </rPr>
      <t>3</t>
    </r>
    <r>
      <rPr>
        <b/>
        <sz val="14"/>
        <rFont val="Times New Roman"/>
        <family val="1"/>
      </rPr>
      <t xml:space="preserve">
Finish: </t>
    </r>
    <r>
      <rPr>
        <sz val="14"/>
        <rFont val="Times New Roman"/>
        <family val="1"/>
      </rPr>
      <t>Polished</t>
    </r>
    <r>
      <rPr>
        <b/>
        <sz val="14"/>
        <rFont val="Times New Roman"/>
        <family val="1"/>
      </rPr>
      <t xml:space="preserve">
Stone: </t>
    </r>
    <r>
      <rPr>
        <sz val="14"/>
        <rFont val="Times New Roman"/>
        <family val="1"/>
      </rPr>
      <t>Countertop to Ceiling: Pioneer Stone - Ashlar Collection - Austin Color</t>
    </r>
  </si>
  <si>
    <r>
      <t xml:space="preserve">Wet Bar Stone: </t>
    </r>
    <r>
      <rPr>
        <sz val="14"/>
        <rFont val="Times New Roman"/>
        <family val="1"/>
      </rPr>
      <t xml:space="preserve">Add stone in the dry-stack method on the wetbar wall from the countertop to the ceiling using Pioneer Stone, Ashlar Collection in the Austin color. If grout is needed it will be white. </t>
    </r>
  </si>
  <si>
    <r>
      <t>Option: Add Wet Bar Custom Shelves:</t>
    </r>
    <r>
      <rPr>
        <sz val="14"/>
        <rFont val="Times New Roman"/>
        <family val="1"/>
      </rPr>
      <t xml:space="preserve"> Custom Design to Install. 
Brand: The Barn Collection
Length: 42"
Finish Color: Weathered Siding
QTY: 9
Brand: The Barn Collection
Length: 72"
Finish Color: Weathered Siding
QTY: 2</t>
    </r>
  </si>
  <si>
    <t xml:space="preserve">Take Off - Wet Bar Wall </t>
  </si>
  <si>
    <t>Wetbar countertop to ceiling</t>
  </si>
  <si>
    <t>Included in Base</t>
  </si>
  <si>
    <r>
      <t xml:space="preserve">Laundry Sink Cab w. 4" BS - </t>
    </r>
    <r>
      <rPr>
        <b/>
        <sz val="13"/>
        <color theme="1"/>
        <rFont val="Calibri"/>
        <family val="2"/>
        <scheme val="minor"/>
      </rPr>
      <t>15.86 SF</t>
    </r>
    <r>
      <rPr>
        <sz val="13"/>
        <color theme="1"/>
        <rFont val="Calibri"/>
        <family val="2"/>
        <scheme val="minor"/>
      </rPr>
      <t xml:space="preserve"> </t>
    </r>
  </si>
  <si>
    <r>
      <t xml:space="preserve">Laundry Dog Crate w. 4" BS &amp;  6" waterfall </t>
    </r>
    <r>
      <rPr>
        <b/>
        <sz val="13"/>
        <color theme="1"/>
        <rFont val="Calibri"/>
        <family val="2"/>
        <scheme val="minor"/>
      </rPr>
      <t>25.78 SF</t>
    </r>
  </si>
  <si>
    <t>Winter Park Granite</t>
  </si>
  <si>
    <t>Wetbar tab</t>
  </si>
  <si>
    <t>Entertainment Tab</t>
  </si>
  <si>
    <t>Dog Crate Tab</t>
  </si>
  <si>
    <t>Pantry Tab</t>
  </si>
  <si>
    <t>Summer Kitchen Tab</t>
  </si>
  <si>
    <t>Hood wrap Add</t>
  </si>
  <si>
    <t>Backsplash upgrade</t>
  </si>
  <si>
    <t>Waterfall island Add</t>
  </si>
  <si>
    <t>Base Under Budget</t>
  </si>
  <si>
    <t xml:space="preserve">Pantry </t>
  </si>
  <si>
    <t>Laundry dog crate mitered edge - 4.3 LF @ $27.50 LF</t>
  </si>
  <si>
    <t>6" waterfall and mitered edge</t>
  </si>
  <si>
    <t>Winter Park Granite - White Fantasy $57 SF</t>
  </si>
  <si>
    <t>ST 7/24/2026</t>
  </si>
  <si>
    <t>Credit for tile backsplash 36 SF</t>
  </si>
  <si>
    <r>
      <t xml:space="preserve">Entertainment Cabinets and counter tops with sheves: </t>
    </r>
    <r>
      <rPr>
        <sz val="14"/>
        <rFont val="Times New Roman"/>
        <family val="1"/>
      </rPr>
      <t xml:space="preserve">This is allowance for base cabinets. Added items or options will be priced separately below. 
</t>
    </r>
  </si>
  <si>
    <t>Pantry Faucet</t>
  </si>
  <si>
    <r>
      <t xml:space="preserve">Laundry Dog Crate w. 4" BS  </t>
    </r>
    <r>
      <rPr>
        <b/>
        <sz val="14"/>
        <color theme="1"/>
        <rFont val="Calibri"/>
        <family val="2"/>
        <scheme val="minor"/>
      </rPr>
      <t>24.68 SF</t>
    </r>
  </si>
  <si>
    <r>
      <t xml:space="preserve">6" waterfall </t>
    </r>
    <r>
      <rPr>
        <b/>
        <sz val="14"/>
        <color theme="1"/>
        <rFont val="Calibri"/>
        <family val="2"/>
        <scheme val="minor"/>
      </rPr>
      <t>1.1 SF</t>
    </r>
  </si>
  <si>
    <r>
      <t xml:space="preserve">Laundry dog crate mitered edge - </t>
    </r>
    <r>
      <rPr>
        <b/>
        <sz val="14"/>
        <color theme="1"/>
        <rFont val="Calibri"/>
        <family val="2"/>
        <scheme val="minor"/>
      </rPr>
      <t>4.3 LF</t>
    </r>
    <r>
      <rPr>
        <sz val="14"/>
        <color theme="1"/>
        <rFont val="Calibri"/>
        <family val="2"/>
        <scheme val="minor"/>
      </rPr>
      <t xml:space="preserve"> @ $27.50 LF</t>
    </r>
  </si>
  <si>
    <t>Modern Me Cabinets</t>
  </si>
  <si>
    <t>Charge / .65</t>
  </si>
  <si>
    <t>VERNS PRICING</t>
  </si>
  <si>
    <t>Entra</t>
  </si>
  <si>
    <t>Total Olsen Cost</t>
  </si>
  <si>
    <t>Wet Bar Hardware</t>
  </si>
  <si>
    <t>Entertainment wall</t>
  </si>
  <si>
    <t>Entertainment wall Hardware</t>
  </si>
  <si>
    <r>
      <t xml:space="preserve">Pantry: 
Cabinets: Manufacturer: </t>
    </r>
    <r>
      <rPr>
        <sz val="14"/>
        <rFont val="Times New Roman"/>
        <family val="1"/>
      </rPr>
      <t>Verns</t>
    </r>
    <r>
      <rPr>
        <b/>
        <sz val="14"/>
        <rFont val="Times New Roman"/>
        <family val="1"/>
      </rPr>
      <t xml:space="preserve">
</t>
    </r>
    <r>
      <rPr>
        <sz val="14"/>
        <rFont val="Times New Roman"/>
        <family val="1"/>
      </rPr>
      <t xml:space="preserve">
</t>
    </r>
    <r>
      <rPr>
        <b/>
        <sz val="14"/>
        <rFont val="Times New Roman"/>
        <family val="1"/>
      </rPr>
      <t xml:space="preserve">Granite: </t>
    </r>
    <r>
      <rPr>
        <sz val="14"/>
        <rFont val="Times New Roman"/>
        <family val="1"/>
      </rPr>
      <t>White Fantasy</t>
    </r>
    <r>
      <rPr>
        <b/>
        <sz val="14"/>
        <rFont val="Times New Roman"/>
        <family val="1"/>
      </rPr>
      <t xml:space="preserve">
Manufacturer: </t>
    </r>
    <r>
      <rPr>
        <sz val="14"/>
        <rFont val="Times New Roman"/>
        <family val="1"/>
      </rPr>
      <t>Skyline</t>
    </r>
    <r>
      <rPr>
        <b/>
        <sz val="14"/>
        <rFont val="Times New Roman"/>
        <family val="1"/>
      </rPr>
      <t xml:space="preserve">
Material: </t>
    </r>
    <r>
      <rPr>
        <sz val="14"/>
        <rFont val="Times New Roman"/>
        <family val="1"/>
      </rPr>
      <t>Marble</t>
    </r>
    <r>
      <rPr>
        <b/>
        <sz val="14"/>
        <rFont val="Times New Roman"/>
        <family val="1"/>
      </rPr>
      <t xml:space="preserve">
Color: </t>
    </r>
    <r>
      <rPr>
        <sz val="14"/>
        <rFont val="Times New Roman"/>
        <family val="1"/>
      </rPr>
      <t>White Fantasy</t>
    </r>
    <r>
      <rPr>
        <b/>
        <sz val="14"/>
        <rFont val="Times New Roman"/>
        <family val="1"/>
      </rPr>
      <t xml:space="preserve">
Level: </t>
    </r>
    <r>
      <rPr>
        <sz val="14"/>
        <rFont val="Times New Roman"/>
        <family val="1"/>
      </rPr>
      <t>4</t>
    </r>
    <r>
      <rPr>
        <b/>
        <sz val="14"/>
        <rFont val="Times New Roman"/>
        <family val="1"/>
      </rPr>
      <t xml:space="preserve">
Finish: </t>
    </r>
    <r>
      <rPr>
        <sz val="14"/>
        <rFont val="Times New Roman"/>
        <family val="1"/>
      </rPr>
      <t>Polished</t>
    </r>
    <r>
      <rPr>
        <b/>
        <sz val="14"/>
        <rFont val="Times New Roman"/>
        <family val="1"/>
      </rPr>
      <t xml:space="preserve">
Edge Style: </t>
    </r>
    <r>
      <rPr>
        <sz val="14"/>
        <rFont val="Times New Roman"/>
        <family val="1"/>
      </rPr>
      <t>Eased</t>
    </r>
    <r>
      <rPr>
        <b/>
        <sz val="14"/>
        <rFont val="Times New Roman"/>
        <family val="1"/>
      </rPr>
      <t xml:space="preserve">
4" Backsplash and Sidesplash</t>
    </r>
  </si>
  <si>
    <t>Hardware</t>
  </si>
  <si>
    <t>Corbels</t>
  </si>
  <si>
    <r>
      <t xml:space="preserve">Roofing Allowance:
</t>
    </r>
    <r>
      <rPr>
        <sz val="14"/>
        <rFont val="Times New Roman"/>
        <family val="1"/>
      </rPr>
      <t>Manufacturer: Eagle Roofing
Style: Bel Air
Color: 4503 Sierra Madre
Drip Edge - White 
Soffit - White, Hardie</t>
    </r>
    <r>
      <rPr>
        <b/>
        <sz val="14"/>
        <rFont val="Times New Roman"/>
        <family val="1"/>
      </rPr>
      <t xml:space="preserve"> (not part of the allowance)
</t>
    </r>
    <r>
      <rPr>
        <sz val="14"/>
        <rFont val="Times New Roman"/>
        <family val="1"/>
      </rPr>
      <t xml:space="preserve">Fascia - White </t>
    </r>
    <r>
      <rPr>
        <b/>
        <sz val="14"/>
        <rFont val="Times New Roman"/>
        <family val="1"/>
      </rPr>
      <t>(not part of the allowance)</t>
    </r>
  </si>
  <si>
    <t>Upgraded level 1 doors</t>
  </si>
  <si>
    <t>Credit for Drywall Labor</t>
  </si>
  <si>
    <t>Level 2: Natural Stone Fantasy Brown</t>
  </si>
  <si>
    <t>Level 2 Granite $42 per sf</t>
  </si>
  <si>
    <t>Level 5 Granite $66 per sf</t>
  </si>
  <si>
    <t>46 SFLevel 5 @ $66 per SF</t>
  </si>
  <si>
    <t>26.6 SF With 24" Backsplash</t>
  </si>
  <si>
    <t>Level 2 Granite Retail</t>
  </si>
  <si>
    <t>Level 5 Granite Retail</t>
  </si>
  <si>
    <t>Math did not capture everything. ST 7/27</t>
  </si>
  <si>
    <r>
      <t xml:space="preserve">Fantasy Brown: 
</t>
    </r>
    <r>
      <rPr>
        <sz val="14"/>
        <rFont val="Times New Roman"/>
        <family val="1"/>
      </rPr>
      <t xml:space="preserve">Manufacturer: Skyline
Material: Qaurtzite
Color: Fantasy Brown 
</t>
    </r>
    <r>
      <rPr>
        <b/>
        <sz val="14"/>
        <rFont val="Times New Roman"/>
        <family val="1"/>
      </rPr>
      <t>Level: 2</t>
    </r>
    <r>
      <rPr>
        <sz val="14"/>
        <rFont val="Times New Roman"/>
        <family val="1"/>
      </rPr>
      <t xml:space="preserve">
Finish: Leathered
Edge Style: Eased
</t>
    </r>
    <r>
      <rPr>
        <b/>
        <sz val="14"/>
        <rFont val="Times New Roman"/>
        <family val="1"/>
      </rPr>
      <t>Location</t>
    </r>
    <r>
      <rPr>
        <sz val="14"/>
        <rFont val="Times New Roman"/>
        <family val="1"/>
      </rPr>
      <t xml:space="preserve">
</t>
    </r>
    <r>
      <rPr>
        <b/>
        <sz val="14"/>
        <rFont val="Times New Roman"/>
        <family val="1"/>
      </rPr>
      <t>Summer Kitchen Island</t>
    </r>
    <r>
      <rPr>
        <sz val="14"/>
        <rFont val="Times New Roman"/>
        <family val="1"/>
      </rPr>
      <t xml:space="preserve">
Edge Style: Eased
</t>
    </r>
    <r>
      <rPr>
        <b/>
        <sz val="14"/>
        <rFont val="Times New Roman"/>
        <family val="1"/>
      </rPr>
      <t>Summer Kitchen Perimeter</t>
    </r>
    <r>
      <rPr>
        <sz val="14"/>
        <rFont val="Times New Roman"/>
        <family val="1"/>
      </rPr>
      <t xml:space="preserve">
Edge Style: Eased
</t>
    </r>
    <r>
      <rPr>
        <b/>
        <sz val="14"/>
        <rFont val="Times New Roman"/>
        <family val="1"/>
      </rPr>
      <t>Summer Kitchen Backsplash 24</t>
    </r>
    <r>
      <rPr>
        <sz val="14"/>
        <rFont val="Times New Roman"/>
        <family val="1"/>
      </rPr>
      <t xml:space="preserve">" </t>
    </r>
  </si>
  <si>
    <r>
      <t xml:space="preserve">Level 5 Granite 
</t>
    </r>
    <r>
      <rPr>
        <sz val="14"/>
        <rFont val="Times New Roman"/>
        <family val="1"/>
      </rPr>
      <t xml:space="preserve">Manufacturer: Skyline
Material: Qaurtzite
Color: 
</t>
    </r>
    <r>
      <rPr>
        <b/>
        <sz val="14"/>
        <rFont val="Times New Roman"/>
        <family val="1"/>
      </rPr>
      <t>Level: 5</t>
    </r>
    <r>
      <rPr>
        <sz val="14"/>
        <rFont val="Times New Roman"/>
        <family val="1"/>
      </rPr>
      <t xml:space="preserve">
Finish: Leathered
Edge Style: Eased
</t>
    </r>
    <r>
      <rPr>
        <b/>
        <sz val="14"/>
        <rFont val="Times New Roman"/>
        <family val="1"/>
      </rPr>
      <t>Location</t>
    </r>
    <r>
      <rPr>
        <sz val="14"/>
        <rFont val="Times New Roman"/>
        <family val="1"/>
      </rPr>
      <t xml:space="preserve">
</t>
    </r>
    <r>
      <rPr>
        <b/>
        <sz val="14"/>
        <rFont val="Times New Roman"/>
        <family val="1"/>
      </rPr>
      <t>Summer Kitchen Island</t>
    </r>
    <r>
      <rPr>
        <sz val="14"/>
        <rFont val="Times New Roman"/>
        <family val="1"/>
      </rPr>
      <t xml:space="preserve">
Edge Style: Eased
</t>
    </r>
    <r>
      <rPr>
        <b/>
        <sz val="14"/>
        <rFont val="Times New Roman"/>
        <family val="1"/>
      </rPr>
      <t>Summer Kitchen Perimeter</t>
    </r>
    <r>
      <rPr>
        <sz val="14"/>
        <rFont val="Times New Roman"/>
        <family val="1"/>
      </rPr>
      <t xml:space="preserve">
Edge Style: Eased
</t>
    </r>
    <r>
      <rPr>
        <b/>
        <sz val="14"/>
        <rFont val="Times New Roman"/>
        <family val="1"/>
      </rPr>
      <t>Summer Kitchen Backsplash 24</t>
    </r>
    <r>
      <rPr>
        <sz val="14"/>
        <rFont val="Times New Roman"/>
        <family val="1"/>
      </rPr>
      <t xml:space="preserve">" </t>
    </r>
  </si>
  <si>
    <t>Allowance - With Level 5 Granite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</si>
</sst>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m/dd/yyyy;@"/>
    <numFmt numFmtId="166" formatCode="\$\ #,##0"/>
  </numFmts>
  <fonts count="71" x14ac:knownFonts="1">
    <font>
      <sz val="11"/>
      <color theme="1"/>
      <name val="Calibri"/>
      <family val="2"/>
      <scheme val="minor"/>
    </font>
    <font>
      <sz val="11"/>
      <color theme="1"/>
      <name val="Calibri"/>
      <family val="2"/>
      <scheme val="minor"/>
    </font>
    <font>
      <sz val="24"/>
      <name val="Arial"/>
      <family val="2"/>
    </font>
    <font>
      <b/>
      <sz val="20"/>
      <name val="Arial"/>
      <family val="2"/>
    </font>
    <font>
      <sz val="18"/>
      <name val="Arial"/>
      <family val="2"/>
    </font>
    <font>
      <b/>
      <sz val="22"/>
      <name val="Arial"/>
      <family val="2"/>
    </font>
    <font>
      <sz val="11"/>
      <name val="Arial"/>
      <family val="2"/>
    </font>
    <font>
      <b/>
      <sz val="14"/>
      <name val="Arial"/>
      <family val="2"/>
    </font>
    <font>
      <b/>
      <sz val="10"/>
      <color rgb="FFFF0000"/>
      <name val="Arial"/>
      <family val="2"/>
    </font>
    <font>
      <sz val="14"/>
      <name val="Arial"/>
      <family val="2"/>
    </font>
    <font>
      <sz val="14"/>
      <name val="Times New Roman"/>
      <family val="1"/>
    </font>
    <font>
      <i/>
      <sz val="12"/>
      <name val="Arial"/>
      <family val="2"/>
    </font>
    <font>
      <b/>
      <i/>
      <sz val="12"/>
      <color indexed="12"/>
      <name val="Arial"/>
      <family val="2"/>
    </font>
    <font>
      <sz val="12"/>
      <name val="Arial"/>
      <family val="2"/>
    </font>
    <font>
      <b/>
      <sz val="12"/>
      <name val="Arial"/>
      <family val="2"/>
    </font>
    <font>
      <sz val="13"/>
      <color theme="1"/>
      <name val="Calibri"/>
      <family val="2"/>
      <scheme val="minor"/>
    </font>
    <font>
      <sz val="16"/>
      <color theme="1"/>
      <name val="Calibri"/>
      <family val="2"/>
      <scheme val="minor"/>
    </font>
    <font>
      <b/>
      <sz val="13"/>
      <color theme="1"/>
      <name val="Calibri"/>
      <family val="2"/>
      <scheme val="minor"/>
    </font>
    <font>
      <b/>
      <sz val="12"/>
      <color rgb="FF000000"/>
      <name val="Calibri"/>
      <family val="2"/>
      <scheme val="minor"/>
    </font>
    <font>
      <b/>
      <sz val="14"/>
      <name val="Times New Roman"/>
      <family val="1"/>
    </font>
    <font>
      <b/>
      <sz val="13.5"/>
      <name val="Arial"/>
      <family val="2"/>
    </font>
    <font>
      <b/>
      <sz val="11"/>
      <color rgb="FF000000"/>
      <name val="Arial"/>
      <family val="2"/>
    </font>
    <font>
      <b/>
      <sz val="11"/>
      <color rgb="FFFF0000"/>
      <name val="Arial"/>
      <family val="2"/>
    </font>
    <font>
      <sz val="13"/>
      <color rgb="FFFF0000"/>
      <name val="Arial"/>
      <family val="2"/>
    </font>
    <font>
      <b/>
      <sz val="13"/>
      <color rgb="FFFF0000"/>
      <name val="Arial"/>
      <family val="2"/>
    </font>
    <font>
      <sz val="13"/>
      <name val="Arial"/>
      <family val="2"/>
    </font>
    <font>
      <sz val="14"/>
      <color rgb="FFFF0000"/>
      <name val="Times New Roman"/>
      <family val="1"/>
    </font>
    <font>
      <b/>
      <sz val="14"/>
      <color rgb="FFFF0000"/>
      <name val="Times New Roman"/>
      <family val="1"/>
    </font>
    <font>
      <u/>
      <sz val="14"/>
      <name val="Times New Roman"/>
      <family val="1"/>
    </font>
    <font>
      <b/>
      <sz val="14"/>
      <color theme="1"/>
      <name val="Times New Roman"/>
      <family val="1"/>
    </font>
    <font>
      <sz val="14"/>
      <color theme="1"/>
      <name val="Times New Roman"/>
      <family val="1"/>
    </font>
    <font>
      <sz val="13"/>
      <name val="Calibri"/>
      <family val="2"/>
      <scheme val="minor"/>
    </font>
    <font>
      <strike/>
      <sz val="14"/>
      <name val="Times New Roman"/>
      <family val="1"/>
    </font>
    <font>
      <b/>
      <strike/>
      <sz val="14"/>
      <name val="Times New Roman"/>
      <family val="1"/>
    </font>
    <font>
      <strike/>
      <sz val="14"/>
      <name val="Arial"/>
      <family val="2"/>
    </font>
    <font>
      <strike/>
      <sz val="14"/>
      <color rgb="FFFF0000"/>
      <name val="Times New Roman"/>
      <family val="1"/>
    </font>
    <font>
      <strike/>
      <u/>
      <sz val="14"/>
      <name val="Times New Roman"/>
      <family val="1"/>
    </font>
    <font>
      <b/>
      <strike/>
      <sz val="14"/>
      <color theme="1"/>
      <name val="Times New Roman"/>
      <family val="1"/>
    </font>
    <font>
      <b/>
      <strike/>
      <sz val="14"/>
      <color rgb="FFFF0000"/>
      <name val="Times New Roman"/>
      <family val="1"/>
    </font>
    <font>
      <strike/>
      <sz val="14"/>
      <color theme="1"/>
      <name val="Times New Roman"/>
      <family val="1"/>
    </font>
    <font>
      <b/>
      <sz val="12"/>
      <name val="Times New Roman"/>
      <family val="1"/>
    </font>
    <font>
      <sz val="12"/>
      <name val="Times New Roman"/>
      <family val="1"/>
    </font>
    <font>
      <sz val="13"/>
      <color rgb="FFFF0000"/>
      <name val="Calibri"/>
      <family val="2"/>
      <scheme val="minor"/>
    </font>
    <font>
      <u/>
      <sz val="11"/>
      <color theme="10"/>
      <name val="Calibri"/>
      <family val="2"/>
      <scheme val="minor"/>
    </font>
    <font>
      <b/>
      <sz val="11"/>
      <color theme="1"/>
      <name val="Calibri"/>
      <family val="2"/>
      <scheme val="minor"/>
    </font>
    <font>
      <b/>
      <i/>
      <sz val="13"/>
      <color theme="1"/>
      <name val="Calibri"/>
      <family val="2"/>
      <scheme val="minor"/>
    </font>
    <font>
      <b/>
      <sz val="14"/>
      <color theme="4" tint="-0.249977111117893"/>
      <name val="Times New Roman"/>
      <family val="1"/>
    </font>
    <font>
      <b/>
      <sz val="12"/>
      <color theme="4" tint="-0.249977111117893"/>
      <name val="Times New Roman"/>
      <family val="1"/>
    </font>
    <font>
      <b/>
      <sz val="15"/>
      <color theme="1"/>
      <name val="Calibri"/>
      <family val="2"/>
      <scheme val="minor"/>
    </font>
    <font>
      <b/>
      <sz val="16"/>
      <color theme="1"/>
      <name val="Calibri"/>
      <family val="2"/>
      <scheme val="minor"/>
    </font>
    <font>
      <sz val="12"/>
      <color theme="1"/>
      <name val="Calibri"/>
      <family val="2"/>
      <scheme val="minor"/>
    </font>
    <font>
      <b/>
      <u/>
      <sz val="12"/>
      <color theme="1"/>
      <name val="Calibri"/>
      <family val="2"/>
      <scheme val="minor"/>
    </font>
    <font>
      <b/>
      <sz val="14"/>
      <color theme="1"/>
      <name val="Calibri"/>
      <family val="2"/>
      <scheme val="minor"/>
    </font>
    <font>
      <b/>
      <i/>
      <sz val="11"/>
      <color theme="1"/>
      <name val="Calibri"/>
      <family val="2"/>
      <scheme val="minor"/>
    </font>
    <font>
      <b/>
      <sz val="12"/>
      <color theme="1"/>
      <name val="Calibri"/>
      <family val="2"/>
      <scheme val="minor"/>
    </font>
    <font>
      <sz val="11"/>
      <name val="Calibri"/>
      <family val="2"/>
      <scheme val="minor"/>
    </font>
    <font>
      <b/>
      <sz val="13"/>
      <name val="Calibri"/>
      <family val="2"/>
      <scheme val="minor"/>
    </font>
    <font>
      <sz val="14"/>
      <color rgb="FF000000"/>
      <name val="Times New Roman"/>
      <family val="1"/>
    </font>
    <font>
      <sz val="12"/>
      <color rgb="FF000000"/>
      <name val="Times New Roman"/>
      <family val="1"/>
    </font>
    <font>
      <b/>
      <sz val="14"/>
      <color rgb="FF000000"/>
      <name val="Times New Roman"/>
      <family val="1"/>
    </font>
    <font>
      <b/>
      <u/>
      <sz val="14"/>
      <name val="Times New Roman"/>
      <family val="1"/>
    </font>
    <font>
      <sz val="12"/>
      <name val="Calibri"/>
      <family val="2"/>
    </font>
    <font>
      <sz val="12"/>
      <color rgb="FF000000"/>
      <name val="Calibri"/>
      <family val="2"/>
    </font>
    <font>
      <sz val="16"/>
      <color rgb="FF000000"/>
      <name val="Times New Roman"/>
      <family val="1"/>
    </font>
    <font>
      <b/>
      <sz val="12"/>
      <color rgb="FF000000"/>
      <name val="Calibri"/>
      <family val="2"/>
    </font>
    <font>
      <b/>
      <sz val="12"/>
      <color rgb="FF000000"/>
      <name val="Times New Roman"/>
      <family val="1"/>
    </font>
    <font>
      <b/>
      <sz val="16"/>
      <color rgb="FF000000"/>
      <name val="Times New Roman"/>
      <family val="1"/>
    </font>
    <font>
      <b/>
      <strike/>
      <sz val="13"/>
      <color theme="1"/>
      <name val="Calibri"/>
      <family val="2"/>
      <scheme val="minor"/>
    </font>
    <font>
      <strike/>
      <sz val="13"/>
      <color theme="1"/>
      <name val="Calibri"/>
      <family val="2"/>
      <scheme val="minor"/>
    </font>
    <font>
      <sz val="14"/>
      <color theme="1"/>
      <name val="Calibri"/>
      <family val="2"/>
      <scheme val="minor"/>
    </font>
    <font>
      <strike/>
      <sz val="13"/>
      <name val="Calibri"/>
      <family val="2"/>
      <scheme val="minor"/>
    </font>
  </fonts>
  <fills count="4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CFF"/>
        <bgColor indexed="64"/>
      </patternFill>
    </fill>
    <fill>
      <patternFill patternType="solid">
        <fgColor rgb="FFCCFFFF"/>
        <bgColor indexed="64"/>
      </patternFill>
    </fill>
    <fill>
      <patternFill patternType="solid">
        <fgColor rgb="FFCAD082"/>
        <bgColor indexed="64"/>
      </patternFill>
    </fill>
    <fill>
      <patternFill patternType="solid">
        <fgColor rgb="FFFF9966"/>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rgb="FFBEBEBE"/>
      </patternFill>
    </fill>
    <fill>
      <patternFill patternType="solid">
        <fgColor rgb="FF92D050"/>
      </patternFill>
    </fill>
    <fill>
      <patternFill patternType="solid">
        <fgColor rgb="FFB8CCE3"/>
      </patternFill>
    </fill>
    <fill>
      <patternFill patternType="solid">
        <fgColor theme="7" tint="0.59999389629810485"/>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rgb="FFFF99FF"/>
        <bgColor indexed="64"/>
      </patternFill>
    </fill>
    <fill>
      <patternFill patternType="solid">
        <fgColor theme="8" tint="0.59999389629810485"/>
        <bgColor indexed="64"/>
      </patternFill>
    </fill>
    <fill>
      <patternFill patternType="solid">
        <fgColor theme="8"/>
        <bgColor indexed="64"/>
      </patternFill>
    </fill>
    <fill>
      <patternFill patternType="solid">
        <fgColor theme="9"/>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s>
  <borders count="10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right/>
      <top style="thin">
        <color indexed="64"/>
      </top>
      <bottom style="thin">
        <color indexed="64"/>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diagonal/>
    </border>
    <border>
      <left/>
      <right style="double">
        <color rgb="FFFF0000"/>
      </right>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style="medium">
        <color indexed="64"/>
      </left>
      <right style="medium">
        <color indexed="64"/>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0" fontId="43" fillId="0" borderId="0" applyNumberFormat="0" applyFill="0" applyBorder="0" applyAlignment="0" applyProtection="0"/>
  </cellStyleXfs>
  <cellXfs count="1049">
    <xf numFmtId="0" fontId="0" fillId="0" borderId="0" xfId="0"/>
    <xf numFmtId="0" fontId="2" fillId="0" borderId="0" xfId="0" applyFont="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center"/>
    </xf>
    <xf numFmtId="0" fontId="3" fillId="0" borderId="0" xfId="0" applyFont="1" applyAlignment="1">
      <alignment horizontal="left"/>
    </xf>
    <xf numFmtId="0" fontId="4" fillId="0" borderId="0" xfId="0" applyFont="1"/>
    <xf numFmtId="0" fontId="6" fillId="0" borderId="0" xfId="0" applyFont="1"/>
    <xf numFmtId="0" fontId="4" fillId="0" borderId="0" xfId="0" applyFont="1" applyAlignment="1">
      <alignment horizontal="center"/>
    </xf>
    <xf numFmtId="0" fontId="4" fillId="0" borderId="0" xfId="0" applyFont="1" applyAlignment="1">
      <alignment horizontal="left"/>
    </xf>
    <xf numFmtId="0" fontId="7" fillId="0" borderId="0" xfId="0" applyFont="1" applyAlignment="1">
      <alignment horizontal="right"/>
    </xf>
    <xf numFmtId="14" fontId="7" fillId="0" borderId="0" xfId="0" applyNumberFormat="1" applyFont="1" applyAlignment="1">
      <alignment horizontal="left"/>
    </xf>
    <xf numFmtId="0" fontId="7" fillId="0" borderId="0" xfId="0" applyFont="1"/>
    <xf numFmtId="0" fontId="7" fillId="0" borderId="0" xfId="0" applyFont="1" applyAlignment="1">
      <alignment horizontal="center"/>
    </xf>
    <xf numFmtId="0" fontId="9" fillId="0" borderId="0" xfId="0" applyFont="1"/>
    <xf numFmtId="0" fontId="10" fillId="2" borderId="1" xfId="0" applyFont="1" applyFill="1" applyBorder="1" applyAlignment="1">
      <alignment horizontal="center" vertical="top" wrapText="1"/>
    </xf>
    <xf numFmtId="14" fontId="10" fillId="2" borderId="1" xfId="0" applyNumberFormat="1" applyFont="1" applyFill="1" applyBorder="1" applyAlignment="1">
      <alignment horizontal="center" vertical="top" wrapText="1"/>
    </xf>
    <xf numFmtId="8" fontId="10" fillId="2" borderId="1" xfId="0" applyNumberFormat="1" applyFont="1" applyFill="1" applyBorder="1" applyAlignment="1">
      <alignment horizontal="center" vertical="top" wrapText="1"/>
    </xf>
    <xf numFmtId="8" fontId="10" fillId="2" borderId="1" xfId="0" applyNumberFormat="1" applyFont="1" applyFill="1" applyBorder="1" applyAlignment="1">
      <alignment horizontal="right" vertical="top" wrapText="1"/>
    </xf>
    <xf numFmtId="164" fontId="10" fillId="2" borderId="1" xfId="0" applyNumberFormat="1" applyFont="1" applyFill="1" applyBorder="1" applyAlignment="1">
      <alignment horizontal="center" vertical="top" wrapText="1"/>
    </xf>
    <xf numFmtId="164" fontId="10" fillId="2" borderId="1" xfId="0" applyNumberFormat="1" applyFont="1" applyFill="1" applyBorder="1" applyAlignment="1">
      <alignment vertical="top" wrapText="1"/>
    </xf>
    <xf numFmtId="0" fontId="9" fillId="3" borderId="0" xfId="0" applyFont="1" applyFill="1"/>
    <xf numFmtId="0" fontId="10" fillId="0" borderId="1" xfId="0" applyFont="1" applyBorder="1" applyAlignment="1">
      <alignment horizontal="center" vertical="top" wrapText="1"/>
    </xf>
    <xf numFmtId="0" fontId="10" fillId="0" borderId="1" xfId="0" applyFont="1" applyBorder="1" applyAlignment="1">
      <alignment vertical="top" wrapText="1"/>
    </xf>
    <xf numFmtId="14" fontId="10" fillId="0" borderId="1" xfId="0" applyNumberFormat="1" applyFont="1" applyBorder="1" applyAlignment="1">
      <alignment horizontal="center" vertical="top" wrapText="1"/>
    </xf>
    <xf numFmtId="8" fontId="10" fillId="0" borderId="1" xfId="0" applyNumberFormat="1" applyFont="1" applyBorder="1" applyAlignment="1">
      <alignment horizontal="right" vertical="top" wrapText="1"/>
    </xf>
    <xf numFmtId="0" fontId="10" fillId="4" borderId="1" xfId="0" applyFont="1" applyFill="1" applyBorder="1" applyAlignment="1">
      <alignment horizontal="center" vertical="top" wrapText="1"/>
    </xf>
    <xf numFmtId="0" fontId="10" fillId="4" borderId="1" xfId="0" applyFont="1" applyFill="1" applyBorder="1" applyAlignment="1">
      <alignment vertical="top" wrapText="1"/>
    </xf>
    <xf numFmtId="8" fontId="10" fillId="4" borderId="1" xfId="0" applyNumberFormat="1" applyFont="1" applyFill="1" applyBorder="1" applyAlignment="1">
      <alignment horizontal="right" vertical="top" wrapText="1"/>
    </xf>
    <xf numFmtId="0" fontId="11" fillId="0" borderId="0" xfId="0" applyFont="1" applyAlignment="1">
      <alignment horizontal="center"/>
    </xf>
    <xf numFmtId="0" fontId="12" fillId="0" borderId="0" xfId="0" applyFont="1"/>
    <xf numFmtId="0" fontId="12" fillId="0" borderId="0" xfId="0" applyFont="1" applyAlignment="1">
      <alignment horizontal="center"/>
    </xf>
    <xf numFmtId="0" fontId="13" fillId="0" borderId="0" xfId="0" applyFont="1" applyAlignment="1">
      <alignment horizontal="center"/>
    </xf>
    <xf numFmtId="0" fontId="13" fillId="0" borderId="0" xfId="0" applyFont="1" applyAlignment="1">
      <alignment horizontal="right"/>
    </xf>
    <xf numFmtId="0" fontId="13" fillId="0" borderId="0" xfId="0" applyFont="1"/>
    <xf numFmtId="0" fontId="14" fillId="0" borderId="0" xfId="0" applyFont="1" applyAlignment="1">
      <alignment horizontal="center"/>
    </xf>
    <xf numFmtId="8" fontId="10" fillId="0" borderId="0" xfId="0" applyNumberFormat="1" applyFont="1" applyAlignment="1">
      <alignment horizontal="right"/>
    </xf>
    <xf numFmtId="0" fontId="14" fillId="0" borderId="0" xfId="0" applyFont="1"/>
    <xf numFmtId="0" fontId="14" fillId="0" borderId="0" xfId="0" applyFont="1" applyAlignment="1">
      <alignment horizontal="left"/>
    </xf>
    <xf numFmtId="0" fontId="14" fillId="0" borderId="0" xfId="0" applyFont="1" applyAlignment="1">
      <alignment horizontal="right"/>
    </xf>
    <xf numFmtId="0" fontId="0" fillId="0" borderId="0" xfId="0" applyAlignment="1">
      <alignment horizontal="center"/>
    </xf>
    <xf numFmtId="0" fontId="0" fillId="0" borderId="0" xfId="0" applyAlignment="1">
      <alignment horizontal="right"/>
    </xf>
    <xf numFmtId="0" fontId="15" fillId="0" borderId="0" xfId="0" applyFont="1"/>
    <xf numFmtId="44" fontId="8" fillId="0" borderId="0" xfId="1" applyFont="1" applyBorder="1" applyAlignment="1">
      <alignment horizontal="center" wrapText="1"/>
    </xf>
    <xf numFmtId="0" fontId="15" fillId="0" borderId="1" xfId="0" applyFont="1" applyBorder="1"/>
    <xf numFmtId="44" fontId="15" fillId="0" borderId="1" xfId="1" applyFont="1" applyBorder="1"/>
    <xf numFmtId="0" fontId="17" fillId="5" borderId="0" xfId="0" applyFont="1" applyFill="1" applyAlignment="1">
      <alignment horizontal="right"/>
    </xf>
    <xf numFmtId="44" fontId="17" fillId="5" borderId="0" xfId="1" applyFont="1" applyFill="1"/>
    <xf numFmtId="0" fontId="19" fillId="2" borderId="1" xfId="0" applyFont="1" applyFill="1" applyBorder="1" applyAlignment="1">
      <alignment vertical="top" wrapText="1"/>
    </xf>
    <xf numFmtId="0" fontId="20" fillId="0" borderId="1" xfId="0" applyFont="1" applyBorder="1" applyAlignment="1">
      <alignment horizontal="center" vertical="top" wrapText="1"/>
    </xf>
    <xf numFmtId="0" fontId="20" fillId="0" borderId="1" xfId="0" applyFont="1" applyBorder="1" applyAlignment="1">
      <alignment vertical="top" wrapText="1"/>
    </xf>
    <xf numFmtId="44" fontId="20" fillId="0" borderId="1" xfId="1" applyFont="1" applyBorder="1" applyAlignment="1">
      <alignment horizontal="center" vertical="top" wrapText="1"/>
    </xf>
    <xf numFmtId="0" fontId="20" fillId="0" borderId="1" xfId="0" applyFont="1" applyBorder="1" applyAlignment="1">
      <alignment horizontal="right" vertical="top" wrapText="1"/>
    </xf>
    <xf numFmtId="164" fontId="10" fillId="0" borderId="1" xfId="0" applyNumberFormat="1" applyFont="1" applyBorder="1" applyAlignment="1">
      <alignment horizontal="center" vertical="top" wrapText="1"/>
    </xf>
    <xf numFmtId="164" fontId="10" fillId="0" borderId="1" xfId="0" applyNumberFormat="1" applyFont="1" applyBorder="1" applyAlignment="1">
      <alignment vertical="top" wrapText="1"/>
    </xf>
    <xf numFmtId="0" fontId="5" fillId="0" borderId="0" xfId="0" applyFont="1" applyAlignment="1">
      <alignment horizontal="center" vertical="center" wrapText="1"/>
    </xf>
    <xf numFmtId="0" fontId="10" fillId="6" borderId="1" xfId="0" applyFont="1" applyFill="1" applyBorder="1" applyAlignment="1">
      <alignment horizontal="center" vertical="top" wrapText="1"/>
    </xf>
    <xf numFmtId="0" fontId="10" fillId="6" borderId="1" xfId="0" applyFont="1" applyFill="1" applyBorder="1" applyAlignment="1">
      <alignment vertical="top" wrapText="1"/>
    </xf>
    <xf numFmtId="14" fontId="10" fillId="6" borderId="1" xfId="0" applyNumberFormat="1" applyFont="1" applyFill="1" applyBorder="1" applyAlignment="1">
      <alignment horizontal="center" vertical="top" wrapText="1"/>
    </xf>
    <xf numFmtId="8" fontId="10" fillId="6" borderId="1" xfId="0" applyNumberFormat="1" applyFont="1" applyFill="1" applyBorder="1" applyAlignment="1">
      <alignment horizontal="right" vertical="top" wrapText="1"/>
    </xf>
    <xf numFmtId="0" fontId="10" fillId="6" borderId="11" xfId="0" applyFont="1" applyFill="1" applyBorder="1" applyAlignment="1">
      <alignment horizontal="center" vertical="top" wrapText="1"/>
    </xf>
    <xf numFmtId="14" fontId="10" fillId="6" borderId="12" xfId="0" applyNumberFormat="1" applyFont="1" applyFill="1" applyBorder="1" applyAlignment="1">
      <alignment horizontal="center" vertical="top" wrapText="1"/>
    </xf>
    <xf numFmtId="0" fontId="10" fillId="4" borderId="9" xfId="0" applyFont="1" applyFill="1" applyBorder="1" applyAlignment="1">
      <alignment vertical="top" wrapText="1"/>
    </xf>
    <xf numFmtId="44" fontId="2" fillId="0" borderId="0" xfId="1" applyFont="1" applyAlignment="1">
      <alignment horizontal="center"/>
    </xf>
    <xf numFmtId="44" fontId="10" fillId="4" borderId="1" xfId="1" applyFont="1" applyFill="1" applyBorder="1" applyAlignment="1">
      <alignment horizontal="center" vertical="top" wrapText="1"/>
    </xf>
    <xf numFmtId="44" fontId="10" fillId="0" borderId="1" xfId="1" applyFont="1" applyBorder="1" applyAlignment="1">
      <alignment horizontal="center" vertical="top" wrapText="1"/>
    </xf>
    <xf numFmtId="44" fontId="10" fillId="6" borderId="1" xfId="1" applyFont="1" applyFill="1" applyBorder="1" applyAlignment="1">
      <alignment horizontal="center" vertical="top" wrapText="1"/>
    </xf>
    <xf numFmtId="44" fontId="13" fillId="0" borderId="0" xfId="1" applyFont="1" applyAlignment="1">
      <alignment horizontal="center"/>
    </xf>
    <xf numFmtId="44" fontId="13" fillId="0" borderId="0" xfId="1" applyFont="1"/>
    <xf numFmtId="44" fontId="14" fillId="0" borderId="0" xfId="1" applyFont="1" applyAlignment="1">
      <alignment horizontal="left"/>
    </xf>
    <xf numFmtId="44" fontId="0" fillId="0" borderId="0" xfId="1" applyFont="1" applyAlignment="1">
      <alignment horizontal="center"/>
    </xf>
    <xf numFmtId="44" fontId="10" fillId="4" borderId="1" xfId="1" applyFont="1" applyFill="1" applyBorder="1" applyAlignment="1">
      <alignment vertical="top" wrapText="1"/>
    </xf>
    <xf numFmtId="44" fontId="10" fillId="0" borderId="1" xfId="1" applyFont="1" applyBorder="1" applyAlignment="1">
      <alignment vertical="top" wrapText="1"/>
    </xf>
    <xf numFmtId="44" fontId="14" fillId="0" borderId="0" xfId="1" applyFont="1" applyAlignment="1">
      <alignment horizontal="center"/>
    </xf>
    <xf numFmtId="44" fontId="10" fillId="6" borderId="1" xfId="1" applyFont="1" applyFill="1" applyBorder="1" applyAlignment="1">
      <alignment vertical="top" wrapText="1"/>
    </xf>
    <xf numFmtId="0" fontId="10" fillId="4" borderId="10" xfId="0" applyFont="1" applyFill="1" applyBorder="1" applyAlignment="1">
      <alignment vertical="top" wrapText="1"/>
    </xf>
    <xf numFmtId="0" fontId="19" fillId="6" borderId="1" xfId="0" applyFont="1" applyFill="1" applyBorder="1" applyAlignment="1">
      <alignment vertical="top" wrapText="1"/>
    </xf>
    <xf numFmtId="0" fontId="20" fillId="0" borderId="9" xfId="0" applyFont="1" applyBorder="1" applyAlignment="1">
      <alignment vertical="top" wrapText="1"/>
    </xf>
    <xf numFmtId="0" fontId="10" fillId="4" borderId="10" xfId="0" applyFont="1" applyFill="1" applyBorder="1" applyAlignment="1">
      <alignment horizontal="center" vertical="center" wrapText="1"/>
    </xf>
    <xf numFmtId="44" fontId="10" fillId="2" borderId="9" xfId="1" applyFont="1" applyFill="1" applyBorder="1" applyAlignment="1">
      <alignment horizontal="center" vertical="top" wrapText="1"/>
    </xf>
    <xf numFmtId="0" fontId="10" fillId="6" borderId="16" xfId="0" applyFont="1" applyFill="1" applyBorder="1" applyAlignment="1">
      <alignment horizontal="center" vertical="top" wrapText="1"/>
    </xf>
    <xf numFmtId="0" fontId="10" fillId="6" borderId="10" xfId="0" applyFont="1" applyFill="1" applyBorder="1" applyAlignment="1">
      <alignment horizontal="center" vertical="top" wrapText="1"/>
    </xf>
    <xf numFmtId="14" fontId="10" fillId="6" borderId="9" xfId="0" applyNumberFormat="1" applyFont="1" applyFill="1" applyBorder="1" applyAlignment="1">
      <alignment horizontal="center" vertical="top" wrapText="1"/>
    </xf>
    <xf numFmtId="14" fontId="10" fillId="6" borderId="16" xfId="0" applyNumberFormat="1" applyFont="1" applyFill="1" applyBorder="1" applyAlignment="1">
      <alignment horizontal="center" vertical="top" wrapText="1"/>
    </xf>
    <xf numFmtId="14" fontId="10" fillId="6" borderId="10" xfId="0" applyNumberFormat="1" applyFont="1" applyFill="1" applyBorder="1" applyAlignment="1">
      <alignment horizontal="center" vertical="top" wrapText="1"/>
    </xf>
    <xf numFmtId="44" fontId="10" fillId="6" borderId="9" xfId="1" applyFont="1" applyFill="1" applyBorder="1" applyAlignment="1">
      <alignment horizontal="center" vertical="top" wrapText="1"/>
    </xf>
    <xf numFmtId="8" fontId="10" fillId="6" borderId="9" xfId="0" applyNumberFormat="1" applyFont="1" applyFill="1" applyBorder="1" applyAlignment="1">
      <alignment horizontal="right" vertical="top" wrapText="1"/>
    </xf>
    <xf numFmtId="0" fontId="10" fillId="6" borderId="6" xfId="0" applyFont="1" applyFill="1" applyBorder="1" applyAlignment="1">
      <alignment horizontal="center" vertical="top" wrapText="1"/>
    </xf>
    <xf numFmtId="0" fontId="10" fillId="6" borderId="7" xfId="0" applyFont="1" applyFill="1" applyBorder="1" applyAlignment="1">
      <alignment horizontal="center" vertical="top" wrapText="1"/>
    </xf>
    <xf numFmtId="14" fontId="10" fillId="6" borderId="17" xfId="0" applyNumberFormat="1" applyFont="1" applyFill="1" applyBorder="1" applyAlignment="1">
      <alignment horizontal="center" vertical="top" wrapText="1"/>
    </xf>
    <xf numFmtId="14" fontId="10" fillId="6" borderId="15" xfId="0" applyNumberFormat="1" applyFont="1" applyFill="1" applyBorder="1" applyAlignment="1">
      <alignment horizontal="center" vertical="top" wrapText="1"/>
    </xf>
    <xf numFmtId="0" fontId="19" fillId="6" borderId="9" xfId="0" applyFont="1" applyFill="1" applyBorder="1" applyAlignment="1">
      <alignment vertical="top" wrapText="1"/>
    </xf>
    <xf numFmtId="0" fontId="10" fillId="6" borderId="10" xfId="0" applyFont="1" applyFill="1" applyBorder="1" applyAlignment="1">
      <alignment vertical="top" wrapText="1"/>
    </xf>
    <xf numFmtId="44" fontId="10" fillId="6" borderId="10" xfId="1" applyFont="1" applyFill="1" applyBorder="1" applyAlignment="1">
      <alignment horizontal="center" vertical="top" wrapText="1"/>
    </xf>
    <xf numFmtId="44" fontId="10" fillId="6" borderId="14" xfId="1" applyFont="1" applyFill="1" applyBorder="1" applyAlignment="1">
      <alignment horizontal="center" vertical="top" wrapText="1"/>
    </xf>
    <xf numFmtId="44" fontId="10" fillId="2" borderId="9" xfId="1" applyFont="1" applyFill="1" applyBorder="1" applyAlignment="1">
      <alignment vertical="top" wrapText="1"/>
    </xf>
    <xf numFmtId="0" fontId="19" fillId="6" borderId="10" xfId="0" applyFont="1" applyFill="1" applyBorder="1" applyAlignment="1">
      <alignment vertical="top" wrapText="1"/>
    </xf>
    <xf numFmtId="44" fontId="10" fillId="6" borderId="17" xfId="1" applyFont="1" applyFill="1" applyBorder="1" applyAlignment="1">
      <alignment horizontal="center" vertical="top" wrapText="1"/>
    </xf>
    <xf numFmtId="0" fontId="10" fillId="6" borderId="16" xfId="0" applyFont="1" applyFill="1" applyBorder="1" applyAlignment="1">
      <alignment vertical="top" wrapText="1"/>
    </xf>
    <xf numFmtId="0" fontId="9" fillId="0" borderId="0" xfId="0" applyFont="1" applyAlignment="1">
      <alignment wrapText="1"/>
    </xf>
    <xf numFmtId="0" fontId="10" fillId="6" borderId="9" xfId="0" applyFont="1" applyFill="1" applyBorder="1" applyAlignment="1">
      <alignment vertical="top" wrapText="1"/>
    </xf>
    <xf numFmtId="14" fontId="10" fillId="6" borderId="14" xfId="0" applyNumberFormat="1" applyFont="1" applyFill="1" applyBorder="1" applyAlignment="1">
      <alignment horizontal="center" vertical="top" wrapText="1"/>
    </xf>
    <xf numFmtId="44" fontId="10" fillId="6" borderId="13" xfId="1" applyFont="1" applyFill="1" applyBorder="1" applyAlignment="1">
      <alignment vertical="top" wrapText="1"/>
    </xf>
    <xf numFmtId="0" fontId="10" fillId="6" borderId="0" xfId="0" applyFont="1" applyFill="1" applyAlignment="1">
      <alignment horizontal="center" vertical="top" wrapText="1"/>
    </xf>
    <xf numFmtId="0" fontId="10" fillId="6" borderId="13" xfId="0" applyFont="1" applyFill="1" applyBorder="1" applyAlignment="1">
      <alignment horizontal="center" vertical="top" wrapText="1"/>
    </xf>
    <xf numFmtId="0" fontId="10" fillId="6" borderId="8" xfId="0" applyFont="1" applyFill="1" applyBorder="1" applyAlignment="1">
      <alignment horizontal="center" vertical="top" wrapText="1"/>
    </xf>
    <xf numFmtId="0" fontId="10" fillId="0" borderId="0" xfId="0" applyFont="1" applyAlignment="1">
      <alignment horizontal="center" vertical="top" wrapText="1"/>
    </xf>
    <xf numFmtId="164" fontId="10" fillId="6" borderId="10" xfId="0" applyNumberFormat="1" applyFont="1" applyFill="1" applyBorder="1" applyAlignment="1">
      <alignment horizontal="center" vertical="top" wrapText="1"/>
    </xf>
    <xf numFmtId="0" fontId="15" fillId="0" borderId="0" xfId="0" applyFont="1" applyAlignment="1">
      <alignment horizontal="center"/>
    </xf>
    <xf numFmtId="0" fontId="17" fillId="6" borderId="0" xfId="0" applyFont="1" applyFill="1" applyAlignment="1">
      <alignment horizontal="right"/>
    </xf>
    <xf numFmtId="44" fontId="17" fillId="6" borderId="0" xfId="1" applyFont="1" applyFill="1"/>
    <xf numFmtId="164" fontId="15" fillId="0" borderId="0" xfId="0" applyNumberFormat="1" applyFont="1"/>
    <xf numFmtId="0" fontId="15" fillId="5" borderId="1" xfId="0" applyFont="1" applyFill="1" applyBorder="1"/>
    <xf numFmtId="44" fontId="15" fillId="5" borderId="1" xfId="1" applyFont="1" applyFill="1" applyBorder="1"/>
    <xf numFmtId="0" fontId="15" fillId="0" borderId="0" xfId="0" applyFont="1" applyAlignment="1">
      <alignment horizontal="right"/>
    </xf>
    <xf numFmtId="0" fontId="15" fillId="0" borderId="10" xfId="0" applyFont="1" applyBorder="1"/>
    <xf numFmtId="44" fontId="15" fillId="0" borderId="10" xfId="1" applyFont="1" applyBorder="1"/>
    <xf numFmtId="44" fontId="15" fillId="0" borderId="9" xfId="1" applyFont="1" applyBorder="1"/>
    <xf numFmtId="0" fontId="15" fillId="0" borderId="9" xfId="0" applyFont="1" applyBorder="1"/>
    <xf numFmtId="0" fontId="15" fillId="0" borderId="8" xfId="0" applyFont="1" applyBorder="1"/>
    <xf numFmtId="164" fontId="15" fillId="0" borderId="8" xfId="0" applyNumberFormat="1" applyFont="1" applyBorder="1"/>
    <xf numFmtId="164" fontId="17" fillId="2" borderId="0" xfId="0" applyNumberFormat="1" applyFont="1" applyFill="1"/>
    <xf numFmtId="0" fontId="10" fillId="6" borderId="9" xfId="0" applyFont="1" applyFill="1" applyBorder="1" applyAlignment="1">
      <alignment horizontal="left" vertical="top" wrapText="1"/>
    </xf>
    <xf numFmtId="0" fontId="10" fillId="4" borderId="9" xfId="0" applyFont="1" applyFill="1" applyBorder="1" applyAlignment="1">
      <alignment horizontal="center" vertical="top" wrapText="1"/>
    </xf>
    <xf numFmtId="0" fontId="10" fillId="4" borderId="10" xfId="0" applyFont="1" applyFill="1" applyBorder="1" applyAlignment="1">
      <alignment horizontal="center" vertical="top" wrapText="1"/>
    </xf>
    <xf numFmtId="0" fontId="20" fillId="0" borderId="0" xfId="0" applyFont="1" applyAlignment="1">
      <alignment horizontal="right" vertical="top" wrapText="1"/>
    </xf>
    <xf numFmtId="0" fontId="34" fillId="0" borderId="0" xfId="0" applyFont="1" applyAlignment="1">
      <alignment wrapText="1"/>
    </xf>
    <xf numFmtId="0" fontId="32" fillId="0" borderId="11" xfId="0" applyFont="1" applyBorder="1" applyAlignment="1">
      <alignment horizontal="center" vertical="top" wrapText="1"/>
    </xf>
    <xf numFmtId="0" fontId="33" fillId="0" borderId="1" xfId="0" applyFont="1" applyBorder="1" applyAlignment="1">
      <alignment vertical="top" wrapText="1"/>
    </xf>
    <xf numFmtId="14" fontId="32" fillId="0" borderId="12" xfId="0" applyNumberFormat="1" applyFont="1" applyBorder="1" applyAlignment="1">
      <alignment horizontal="center" vertical="top" wrapText="1"/>
    </xf>
    <xf numFmtId="14" fontId="32" fillId="0" borderId="1" xfId="0" applyNumberFormat="1" applyFont="1" applyBorder="1" applyAlignment="1">
      <alignment horizontal="center" vertical="top" wrapText="1"/>
    </xf>
    <xf numFmtId="44" fontId="32" fillId="0" borderId="1" xfId="1" applyFont="1" applyFill="1" applyBorder="1" applyAlignment="1">
      <alignment horizontal="center" vertical="top" wrapText="1"/>
    </xf>
    <xf numFmtId="8" fontId="32" fillId="0" borderId="1" xfId="0" applyNumberFormat="1" applyFont="1" applyBorder="1" applyAlignment="1">
      <alignment horizontal="right" vertical="top" wrapText="1"/>
    </xf>
    <xf numFmtId="0" fontId="32" fillId="0" borderId="13" xfId="0" applyFont="1" applyBorder="1" applyAlignment="1">
      <alignment horizontal="center" vertical="top" wrapText="1"/>
    </xf>
    <xf numFmtId="0" fontId="33" fillId="0" borderId="9" xfId="0" applyFont="1" applyBorder="1" applyAlignment="1">
      <alignment vertical="top" wrapText="1"/>
    </xf>
    <xf numFmtId="14" fontId="32" fillId="0" borderId="14" xfId="0" applyNumberFormat="1" applyFont="1" applyBorder="1" applyAlignment="1">
      <alignment horizontal="center" vertical="top" wrapText="1"/>
    </xf>
    <xf numFmtId="14" fontId="32" fillId="0" borderId="9" xfId="0" applyNumberFormat="1" applyFont="1" applyBorder="1" applyAlignment="1">
      <alignment horizontal="center" vertical="top" wrapText="1"/>
    </xf>
    <xf numFmtId="44" fontId="32" fillId="0" borderId="9" xfId="1" applyFont="1" applyFill="1" applyBorder="1" applyAlignment="1">
      <alignment horizontal="center" vertical="top" wrapText="1"/>
    </xf>
    <xf numFmtId="44" fontId="32" fillId="0" borderId="9" xfId="1" applyFont="1" applyFill="1" applyBorder="1" applyAlignment="1">
      <alignment vertical="top" wrapText="1"/>
    </xf>
    <xf numFmtId="44" fontId="35" fillId="0" borderId="9" xfId="0" applyNumberFormat="1" applyFont="1" applyBorder="1" applyAlignment="1">
      <alignment horizontal="right" vertical="top" wrapText="1"/>
    </xf>
    <xf numFmtId="8" fontId="32" fillId="0" borderId="9" xfId="0" applyNumberFormat="1" applyFont="1" applyBorder="1" applyAlignment="1">
      <alignment horizontal="right" vertical="top" wrapText="1"/>
    </xf>
    <xf numFmtId="0" fontId="15" fillId="5" borderId="20" xfId="0" applyFont="1" applyFill="1" applyBorder="1"/>
    <xf numFmtId="0" fontId="15" fillId="5" borderId="21" xfId="0" applyFont="1" applyFill="1" applyBorder="1"/>
    <xf numFmtId="0" fontId="15" fillId="5" borderId="23" xfId="0" applyFont="1" applyFill="1" applyBorder="1"/>
    <xf numFmtId="0" fontId="15" fillId="15" borderId="26" xfId="0" applyFont="1" applyFill="1" applyBorder="1"/>
    <xf numFmtId="44" fontId="15" fillId="15" borderId="27" xfId="1" applyFont="1" applyFill="1" applyBorder="1"/>
    <xf numFmtId="0" fontId="32" fillId="0" borderId="9" xfId="0" applyFont="1" applyBorder="1" applyAlignment="1">
      <alignment horizontal="center" vertical="top" wrapText="1"/>
    </xf>
    <xf numFmtId="0" fontId="32" fillId="0" borderId="10" xfId="0" applyFont="1" applyBorder="1" applyAlignment="1">
      <alignment horizontal="center" vertical="top" wrapText="1"/>
    </xf>
    <xf numFmtId="0" fontId="32" fillId="0" borderId="10" xfId="0" applyFont="1" applyBorder="1" applyAlignment="1">
      <alignment vertical="top" wrapText="1"/>
    </xf>
    <xf numFmtId="14" fontId="32" fillId="0" borderId="10" xfId="0" applyNumberFormat="1" applyFont="1" applyBorder="1" applyAlignment="1">
      <alignment horizontal="center" vertical="top" wrapText="1"/>
    </xf>
    <xf numFmtId="44" fontId="32" fillId="0" borderId="10" xfId="1" applyFont="1" applyFill="1" applyBorder="1" applyAlignment="1">
      <alignment horizontal="center" vertical="top" wrapText="1"/>
    </xf>
    <xf numFmtId="44" fontId="32" fillId="0" borderId="10" xfId="1" applyFont="1" applyFill="1" applyBorder="1" applyAlignment="1">
      <alignment vertical="top" wrapText="1"/>
    </xf>
    <xf numFmtId="8" fontId="32" fillId="0" borderId="10" xfId="0" applyNumberFormat="1" applyFont="1" applyBorder="1" applyAlignment="1">
      <alignment horizontal="right" vertical="top" wrapText="1"/>
    </xf>
    <xf numFmtId="0" fontId="32" fillId="0" borderId="6" xfId="0" applyFont="1" applyBorder="1" applyAlignment="1">
      <alignment horizontal="center" vertical="top" wrapText="1"/>
    </xf>
    <xf numFmtId="0" fontId="33" fillId="0" borderId="16" xfId="0" applyFont="1" applyBorder="1" applyAlignment="1">
      <alignment vertical="top" wrapText="1"/>
    </xf>
    <xf numFmtId="14" fontId="32" fillId="0" borderId="15" xfId="0" applyNumberFormat="1" applyFont="1" applyBorder="1" applyAlignment="1">
      <alignment horizontal="center" vertical="top" wrapText="1"/>
    </xf>
    <xf numFmtId="14" fontId="32" fillId="0" borderId="17" xfId="0" applyNumberFormat="1" applyFont="1" applyBorder="1" applyAlignment="1">
      <alignment horizontal="center" vertical="top" wrapText="1"/>
    </xf>
    <xf numFmtId="14" fontId="32" fillId="0" borderId="16" xfId="0" applyNumberFormat="1" applyFont="1" applyBorder="1" applyAlignment="1">
      <alignment horizontal="center" vertical="top" wrapText="1"/>
    </xf>
    <xf numFmtId="44" fontId="32" fillId="0" borderId="17" xfId="1" applyFont="1" applyFill="1" applyBorder="1" applyAlignment="1">
      <alignment horizontal="center" vertical="top" wrapText="1"/>
    </xf>
    <xf numFmtId="44" fontId="32" fillId="0" borderId="6" xfId="1" applyFont="1" applyFill="1" applyBorder="1" applyAlignment="1">
      <alignment vertical="top" wrapText="1"/>
    </xf>
    <xf numFmtId="8" fontId="32" fillId="0" borderId="16" xfId="0" applyNumberFormat="1" applyFont="1" applyBorder="1" applyAlignment="1">
      <alignment horizontal="right" vertical="top" wrapText="1"/>
    </xf>
    <xf numFmtId="0" fontId="32" fillId="0" borderId="7" xfId="0" applyFont="1" applyBorder="1" applyAlignment="1">
      <alignment horizontal="center" vertical="top" wrapText="1"/>
    </xf>
    <xf numFmtId="0" fontId="32" fillId="0" borderId="16" xfId="0" applyFont="1" applyBorder="1" applyAlignment="1">
      <alignment vertical="top" wrapText="1"/>
    </xf>
    <xf numFmtId="0" fontId="34" fillId="0" borderId="0" xfId="0" applyFont="1"/>
    <xf numFmtId="0" fontId="32" fillId="0" borderId="9" xfId="0" applyFont="1" applyBorder="1" applyAlignment="1">
      <alignment vertical="top" wrapText="1"/>
    </xf>
    <xf numFmtId="44" fontId="32" fillId="0" borderId="14" xfId="1" applyFont="1" applyFill="1" applyBorder="1" applyAlignment="1">
      <alignment horizontal="center" vertical="top" wrapText="1"/>
    </xf>
    <xf numFmtId="44" fontId="32" fillId="0" borderId="13" xfId="1" applyFont="1" applyFill="1" applyBorder="1" applyAlignment="1">
      <alignment vertical="top" wrapText="1"/>
    </xf>
    <xf numFmtId="0" fontId="33" fillId="0" borderId="18" xfId="0" applyFont="1" applyBorder="1" applyAlignment="1">
      <alignment vertical="top" wrapText="1"/>
    </xf>
    <xf numFmtId="14" fontId="32" fillId="0" borderId="18" xfId="0" applyNumberFormat="1" applyFont="1" applyBorder="1" applyAlignment="1">
      <alignment horizontal="center" vertical="top" wrapText="1"/>
    </xf>
    <xf numFmtId="44" fontId="32" fillId="0" borderId="18" xfId="1" applyFont="1" applyFill="1" applyBorder="1" applyAlignment="1">
      <alignment horizontal="center" vertical="top" wrapText="1"/>
    </xf>
    <xf numFmtId="8" fontId="32" fillId="0" borderId="13" xfId="0" applyNumberFormat="1" applyFont="1" applyBorder="1" applyAlignment="1">
      <alignment horizontal="right" vertical="top" wrapText="1"/>
    </xf>
    <xf numFmtId="0" fontId="32" fillId="0" borderId="16" xfId="0" applyFont="1" applyBorder="1" applyAlignment="1">
      <alignment horizontal="center" vertical="top" wrapText="1"/>
    </xf>
    <xf numFmtId="0" fontId="32" fillId="0" borderId="0" xfId="0" applyFont="1" applyAlignment="1">
      <alignment horizontal="left" vertical="top" wrapText="1"/>
    </xf>
    <xf numFmtId="14" fontId="32" fillId="0" borderId="0" xfId="0" applyNumberFormat="1" applyFont="1" applyAlignment="1">
      <alignment horizontal="center" vertical="top" wrapText="1"/>
    </xf>
    <xf numFmtId="0" fontId="32" fillId="0" borderId="0" xfId="0" applyFont="1" applyAlignment="1">
      <alignment horizontal="center" vertical="top" wrapText="1"/>
    </xf>
    <xf numFmtId="0" fontId="32" fillId="0" borderId="8" xfId="0" applyFont="1" applyBorder="1" applyAlignment="1">
      <alignment horizontal="left" vertical="top" wrapText="1"/>
    </xf>
    <xf numFmtId="0" fontId="32" fillId="0" borderId="8" xfId="0" applyFont="1" applyBorder="1" applyAlignment="1">
      <alignment horizontal="center" vertical="top" wrapText="1"/>
    </xf>
    <xf numFmtId="0" fontId="32" fillId="0" borderId="1" xfId="0" applyFont="1" applyBorder="1" applyAlignment="1">
      <alignment horizontal="left" vertical="top" wrapText="1"/>
    </xf>
    <xf numFmtId="164" fontId="32" fillId="0" borderId="10" xfId="0" applyNumberFormat="1" applyFont="1" applyBorder="1" applyAlignment="1">
      <alignment horizontal="center" vertical="top" wrapText="1"/>
    </xf>
    <xf numFmtId="44" fontId="10" fillId="6" borderId="16" xfId="1" applyFont="1" applyFill="1" applyBorder="1" applyAlignment="1">
      <alignment horizontal="center" vertical="top" wrapText="1"/>
    </xf>
    <xf numFmtId="0" fontId="32" fillId="0" borderId="9" xfId="0" applyFont="1" applyBorder="1" applyAlignment="1">
      <alignment horizontal="left" vertical="top" wrapText="1"/>
    </xf>
    <xf numFmtId="164" fontId="32" fillId="0" borderId="16" xfId="0" applyNumberFormat="1" applyFont="1" applyBorder="1" applyAlignment="1">
      <alignment horizontal="center" vertical="top" wrapText="1"/>
    </xf>
    <xf numFmtId="0" fontId="10" fillId="0" borderId="11" xfId="0" applyFont="1" applyBorder="1" applyAlignment="1">
      <alignment horizontal="center" vertical="top" wrapText="1"/>
    </xf>
    <xf numFmtId="14" fontId="10" fillId="0" borderId="12" xfId="0" applyNumberFormat="1" applyFont="1" applyBorder="1" applyAlignment="1">
      <alignment horizontal="center" vertical="top" wrapText="1"/>
    </xf>
    <xf numFmtId="44" fontId="10" fillId="0" borderId="1" xfId="1" applyFont="1" applyFill="1" applyBorder="1" applyAlignment="1">
      <alignment horizontal="center" vertical="top" wrapText="1"/>
    </xf>
    <xf numFmtId="0" fontId="32" fillId="0" borderId="1" xfId="0" applyFont="1" applyBorder="1" applyAlignment="1">
      <alignment vertical="top" wrapText="1"/>
    </xf>
    <xf numFmtId="44" fontId="32" fillId="0" borderId="13" xfId="1" applyFont="1" applyFill="1" applyBorder="1" applyAlignment="1">
      <alignment horizontal="center" vertical="top" wrapText="1"/>
    </xf>
    <xf numFmtId="44" fontId="32" fillId="0" borderId="7" xfId="1" applyFont="1" applyFill="1" applyBorder="1" applyAlignment="1">
      <alignment horizontal="center" vertical="top" wrapText="1"/>
    </xf>
    <xf numFmtId="164" fontId="10" fillId="6" borderId="1" xfId="0" applyNumberFormat="1" applyFont="1" applyFill="1" applyBorder="1" applyAlignment="1">
      <alignment horizontal="center" vertical="top" wrapText="1"/>
    </xf>
    <xf numFmtId="0" fontId="33" fillId="0" borderId="10" xfId="0" applyFont="1" applyBorder="1" applyAlignment="1">
      <alignment vertical="top" wrapText="1"/>
    </xf>
    <xf numFmtId="0" fontId="19" fillId="0" borderId="1" xfId="0" applyFont="1" applyBorder="1" applyAlignment="1">
      <alignment vertical="top" wrapText="1"/>
    </xf>
    <xf numFmtId="44" fontId="32" fillId="0" borderId="1" xfId="0" applyNumberFormat="1" applyFont="1" applyBorder="1" applyAlignment="1">
      <alignment horizontal="right" vertical="top" wrapText="1"/>
    </xf>
    <xf numFmtId="44" fontId="10" fillId="0" borderId="9" xfId="1" applyFont="1" applyFill="1" applyBorder="1" applyAlignment="1">
      <alignment horizontal="center" vertical="top" wrapText="1"/>
    </xf>
    <xf numFmtId="8" fontId="10" fillId="0" borderId="9" xfId="0" applyNumberFormat="1" applyFont="1" applyBorder="1" applyAlignment="1">
      <alignment horizontal="right" vertical="top" wrapText="1"/>
    </xf>
    <xf numFmtId="8" fontId="32" fillId="0" borderId="14" xfId="0" applyNumberFormat="1" applyFont="1" applyBorder="1" applyAlignment="1">
      <alignment horizontal="right" vertical="top" wrapText="1"/>
    </xf>
    <xf numFmtId="14" fontId="32" fillId="0" borderId="8" xfId="0" applyNumberFormat="1" applyFont="1" applyBorder="1" applyAlignment="1">
      <alignment horizontal="center" vertical="top" wrapText="1"/>
    </xf>
    <xf numFmtId="44" fontId="32" fillId="0" borderId="8" xfId="1" applyFont="1" applyFill="1" applyBorder="1" applyAlignment="1">
      <alignment horizontal="center" vertical="top" wrapText="1"/>
    </xf>
    <xf numFmtId="8" fontId="32" fillId="0" borderId="15" xfId="0" applyNumberFormat="1" applyFont="1" applyBorder="1" applyAlignment="1">
      <alignment horizontal="right" vertical="top" wrapText="1"/>
    </xf>
    <xf numFmtId="0" fontId="32" fillId="2" borderId="11" xfId="0" applyFont="1" applyFill="1" applyBorder="1" applyAlignment="1">
      <alignment horizontal="center" vertical="top" wrapText="1"/>
    </xf>
    <xf numFmtId="0" fontId="33" fillId="2" borderId="1" xfId="0" applyFont="1" applyFill="1" applyBorder="1" applyAlignment="1">
      <alignment vertical="top" wrapText="1"/>
    </xf>
    <xf numFmtId="14" fontId="32" fillId="2" borderId="12" xfId="0" applyNumberFormat="1" applyFont="1" applyFill="1" applyBorder="1" applyAlignment="1">
      <alignment horizontal="center" vertical="top" wrapText="1"/>
    </xf>
    <xf numFmtId="14" fontId="32" fillId="2" borderId="1" xfId="0" applyNumberFormat="1" applyFont="1" applyFill="1" applyBorder="1" applyAlignment="1">
      <alignment horizontal="center" vertical="top" wrapText="1"/>
    </xf>
    <xf numFmtId="44" fontId="32" fillId="2" borderId="1" xfId="1" applyFont="1" applyFill="1" applyBorder="1" applyAlignment="1">
      <alignment horizontal="center" vertical="top" wrapText="1"/>
    </xf>
    <xf numFmtId="8" fontId="32" fillId="2" borderId="1" xfId="0" applyNumberFormat="1" applyFont="1" applyFill="1" applyBorder="1" applyAlignment="1">
      <alignment horizontal="right" vertical="top" wrapText="1"/>
    </xf>
    <xf numFmtId="0" fontId="32" fillId="0" borderId="1" xfId="0" applyFont="1" applyBorder="1" applyAlignment="1">
      <alignment horizontal="center" vertical="top" wrapText="1"/>
    </xf>
    <xf numFmtId="0" fontId="32" fillId="0" borderId="10" xfId="0" applyFont="1" applyBorder="1" applyAlignment="1">
      <alignment horizontal="center" vertical="center" wrapText="1"/>
    </xf>
    <xf numFmtId="44" fontId="32" fillId="0" borderId="1" xfId="1" applyFont="1" applyFill="1" applyBorder="1" applyAlignment="1">
      <alignment vertical="top" wrapText="1"/>
    </xf>
    <xf numFmtId="44" fontId="10" fillId="0" borderId="9" xfId="1" applyFont="1" applyFill="1" applyBorder="1" applyAlignment="1">
      <alignment vertical="top" wrapText="1"/>
    </xf>
    <xf numFmtId="44" fontId="15" fillId="0" borderId="0" xfId="0" applyNumberFormat="1" applyFont="1"/>
    <xf numFmtId="44" fontId="15" fillId="5" borderId="10" xfId="1" applyFont="1" applyFill="1" applyBorder="1"/>
    <xf numFmtId="0" fontId="15" fillId="5" borderId="35" xfId="0" applyFont="1" applyFill="1" applyBorder="1"/>
    <xf numFmtId="0" fontId="15" fillId="5" borderId="10" xfId="0" applyFont="1" applyFill="1" applyBorder="1"/>
    <xf numFmtId="0" fontId="15" fillId="5" borderId="7" xfId="0" applyFont="1" applyFill="1" applyBorder="1"/>
    <xf numFmtId="0" fontId="15" fillId="5" borderId="38" xfId="0" applyFont="1" applyFill="1" applyBorder="1"/>
    <xf numFmtId="0" fontId="31" fillId="16" borderId="33" xfId="0" applyFont="1" applyFill="1" applyBorder="1"/>
    <xf numFmtId="44" fontId="31" fillId="16" borderId="37" xfId="1" applyFont="1" applyFill="1" applyBorder="1"/>
    <xf numFmtId="44" fontId="15" fillId="0" borderId="0" xfId="1" applyFont="1" applyFill="1" applyBorder="1"/>
    <xf numFmtId="0" fontId="15" fillId="17" borderId="20" xfId="0" applyFont="1" applyFill="1" applyBorder="1"/>
    <xf numFmtId="44" fontId="15" fillId="17" borderId="25" xfId="1" applyFont="1" applyFill="1" applyBorder="1"/>
    <xf numFmtId="0" fontId="15" fillId="17" borderId="21" xfId="0" applyFont="1" applyFill="1" applyBorder="1"/>
    <xf numFmtId="44" fontId="15" fillId="17" borderId="22" xfId="1" applyFont="1" applyFill="1" applyBorder="1"/>
    <xf numFmtId="0" fontId="15" fillId="17" borderId="23" xfId="0" applyFont="1" applyFill="1" applyBorder="1"/>
    <xf numFmtId="44" fontId="15" fillId="17" borderId="24" xfId="1" applyFont="1" applyFill="1" applyBorder="1"/>
    <xf numFmtId="44" fontId="15" fillId="5" borderId="25" xfId="1" applyFont="1" applyFill="1" applyBorder="1"/>
    <xf numFmtId="44" fontId="15" fillId="5" borderId="24" xfId="1" applyFont="1" applyFill="1" applyBorder="1"/>
    <xf numFmtId="0" fontId="15" fillId="18" borderId="28" xfId="0" applyFont="1" applyFill="1" applyBorder="1"/>
    <xf numFmtId="44" fontId="15" fillId="18" borderId="29" xfId="1" applyFont="1" applyFill="1" applyBorder="1"/>
    <xf numFmtId="0" fontId="15" fillId="9" borderId="21" xfId="0" applyFont="1" applyFill="1" applyBorder="1"/>
    <xf numFmtId="44" fontId="15" fillId="9" borderId="22" xfId="1" applyFont="1" applyFill="1" applyBorder="1"/>
    <xf numFmtId="164" fontId="17" fillId="0" borderId="19" xfId="0" applyNumberFormat="1" applyFont="1" applyBorder="1" applyAlignment="1">
      <alignment horizontal="center"/>
    </xf>
    <xf numFmtId="0" fontId="17" fillId="6" borderId="42" xfId="0" applyFont="1" applyFill="1" applyBorder="1" applyAlignment="1">
      <alignment horizontal="right"/>
    </xf>
    <xf numFmtId="44" fontId="17" fillId="6" borderId="43" xfId="1" applyFont="1" applyFill="1" applyBorder="1"/>
    <xf numFmtId="44" fontId="15" fillId="14" borderId="11" xfId="1" applyFont="1" applyFill="1" applyBorder="1"/>
    <xf numFmtId="164" fontId="15" fillId="0" borderId="45" xfId="0" applyNumberFormat="1" applyFont="1" applyBorder="1"/>
    <xf numFmtId="164" fontId="15" fillId="0" borderId="46" xfId="0" applyNumberFormat="1" applyFont="1" applyBorder="1"/>
    <xf numFmtId="164" fontId="15" fillId="2" borderId="46" xfId="0" applyNumberFormat="1" applyFont="1" applyFill="1" applyBorder="1"/>
    <xf numFmtId="164" fontId="15" fillId="2" borderId="47" xfId="0" applyNumberFormat="1" applyFont="1" applyFill="1" applyBorder="1"/>
    <xf numFmtId="164" fontId="15" fillId="9" borderId="1" xfId="0" applyNumberFormat="1" applyFont="1" applyFill="1" applyBorder="1"/>
    <xf numFmtId="164" fontId="17" fillId="6" borderId="48" xfId="1" applyNumberFormat="1" applyFont="1" applyFill="1" applyBorder="1"/>
    <xf numFmtId="44" fontId="42" fillId="0" borderId="0" xfId="0" applyNumberFormat="1" applyFont="1"/>
    <xf numFmtId="0" fontId="15" fillId="5" borderId="50" xfId="0" applyFont="1" applyFill="1" applyBorder="1"/>
    <xf numFmtId="0" fontId="17" fillId="0" borderId="49" xfId="0" applyFont="1" applyBorder="1"/>
    <xf numFmtId="0" fontId="17" fillId="2" borderId="49" xfId="0" applyFont="1" applyFill="1" applyBorder="1" applyAlignment="1">
      <alignment horizontal="center"/>
    </xf>
    <xf numFmtId="0" fontId="15" fillId="5" borderId="0" xfId="0" applyFont="1" applyFill="1"/>
    <xf numFmtId="0" fontId="17" fillId="0" borderId="40" xfId="0" applyFont="1" applyBorder="1" applyAlignment="1">
      <alignment horizontal="center"/>
    </xf>
    <xf numFmtId="44" fontId="15" fillId="0" borderId="0" xfId="1" applyFont="1" applyBorder="1"/>
    <xf numFmtId="0" fontId="40" fillId="6" borderId="16" xfId="0" applyFont="1" applyFill="1" applyBorder="1" applyAlignment="1">
      <alignment vertical="top" wrapText="1"/>
    </xf>
    <xf numFmtId="0" fontId="10" fillId="6" borderId="40" xfId="0" applyFont="1" applyFill="1" applyBorder="1" applyAlignment="1">
      <alignment horizontal="center" vertical="top" wrapText="1"/>
    </xf>
    <xf numFmtId="0" fontId="19" fillId="6" borderId="52" xfId="0" applyFont="1" applyFill="1" applyBorder="1" applyAlignment="1">
      <alignment vertical="top" wrapText="1"/>
    </xf>
    <xf numFmtId="14" fontId="10" fillId="6" borderId="52" xfId="1" applyNumberFormat="1" applyFont="1" applyFill="1" applyBorder="1" applyAlignment="1">
      <alignment horizontal="center" vertical="top" wrapText="1"/>
    </xf>
    <xf numFmtId="44" fontId="10" fillId="6" borderId="52" xfId="1" applyFont="1" applyFill="1" applyBorder="1" applyAlignment="1">
      <alignment horizontal="center" vertical="top" wrapText="1"/>
    </xf>
    <xf numFmtId="0" fontId="10" fillId="6" borderId="39" xfId="0" applyFont="1" applyFill="1" applyBorder="1" applyAlignment="1">
      <alignment vertical="top" wrapText="1"/>
    </xf>
    <xf numFmtId="44" fontId="10" fillId="6" borderId="39" xfId="1" applyFont="1" applyFill="1" applyBorder="1" applyAlignment="1">
      <alignment horizontal="center" vertical="top" wrapText="1"/>
    </xf>
    <xf numFmtId="44" fontId="10" fillId="6" borderId="37" xfId="1" applyFont="1" applyFill="1" applyBorder="1" applyAlignment="1">
      <alignment horizontal="center" vertical="top" wrapText="1"/>
    </xf>
    <xf numFmtId="164" fontId="10" fillId="6" borderId="9" xfId="0" applyNumberFormat="1" applyFont="1" applyFill="1" applyBorder="1" applyAlignment="1">
      <alignment horizontal="center" vertical="top" wrapText="1"/>
    </xf>
    <xf numFmtId="0" fontId="10" fillId="12" borderId="13" xfId="0" applyFont="1" applyFill="1" applyBorder="1" applyAlignment="1">
      <alignment horizontal="center" vertical="top" wrapText="1"/>
    </xf>
    <xf numFmtId="0" fontId="19" fillId="12" borderId="9" xfId="0" applyFont="1" applyFill="1" applyBorder="1" applyAlignment="1">
      <alignment vertical="top" wrapText="1"/>
    </xf>
    <xf numFmtId="14" fontId="10" fillId="12" borderId="14" xfId="0" applyNumberFormat="1" applyFont="1" applyFill="1" applyBorder="1" applyAlignment="1">
      <alignment horizontal="center" vertical="top" wrapText="1"/>
    </xf>
    <xf numFmtId="14" fontId="10" fillId="12" borderId="9" xfId="0" applyNumberFormat="1" applyFont="1" applyFill="1" applyBorder="1" applyAlignment="1">
      <alignment horizontal="center" vertical="top" wrapText="1"/>
    </xf>
    <xf numFmtId="44" fontId="10" fillId="12" borderId="9" xfId="1" applyFont="1" applyFill="1" applyBorder="1" applyAlignment="1">
      <alignment horizontal="center" vertical="top" wrapText="1"/>
    </xf>
    <xf numFmtId="8" fontId="10" fillId="12" borderId="9" xfId="0" applyNumberFormat="1" applyFont="1" applyFill="1" applyBorder="1" applyAlignment="1">
      <alignment horizontal="right" vertical="top" wrapText="1"/>
    </xf>
    <xf numFmtId="0" fontId="17" fillId="0" borderId="0" xfId="0" applyFont="1" applyAlignment="1">
      <alignment horizontal="right"/>
    </xf>
    <xf numFmtId="44" fontId="17" fillId="0" borderId="0" xfId="0" applyNumberFormat="1" applyFont="1"/>
    <xf numFmtId="0" fontId="10" fillId="2" borderId="8" xfId="0" applyFont="1" applyFill="1" applyBorder="1" applyAlignment="1">
      <alignment horizontal="center" vertical="top" wrapText="1"/>
    </xf>
    <xf numFmtId="0" fontId="10" fillId="6" borderId="1" xfId="0" applyFont="1" applyFill="1" applyBorder="1" applyAlignment="1">
      <alignment horizontal="left" vertical="top" wrapText="1"/>
    </xf>
    <xf numFmtId="0" fontId="10" fillId="6" borderId="52" xfId="0" applyFont="1" applyFill="1" applyBorder="1" applyAlignment="1">
      <alignment horizontal="left" vertical="top" wrapText="1"/>
    </xf>
    <xf numFmtId="14" fontId="10" fillId="6" borderId="44" xfId="0" applyNumberFormat="1" applyFont="1" applyFill="1" applyBorder="1" applyAlignment="1">
      <alignment horizontal="center" vertical="top" wrapText="1"/>
    </xf>
    <xf numFmtId="0" fontId="10" fillId="6" borderId="52" xfId="0" applyFont="1" applyFill="1" applyBorder="1" applyAlignment="1">
      <alignment horizontal="center" vertical="top" wrapText="1"/>
    </xf>
    <xf numFmtId="0" fontId="10" fillId="6" borderId="50" xfId="0" applyFont="1" applyFill="1" applyBorder="1" applyAlignment="1">
      <alignment horizontal="center" vertical="top" wrapText="1"/>
    </xf>
    <xf numFmtId="8" fontId="10" fillId="6" borderId="36" xfId="0" applyNumberFormat="1" applyFont="1" applyFill="1" applyBorder="1" applyAlignment="1">
      <alignment horizontal="right" vertical="top" wrapText="1"/>
    </xf>
    <xf numFmtId="0" fontId="10" fillId="6" borderId="53" xfId="0" applyFont="1" applyFill="1" applyBorder="1" applyAlignment="1">
      <alignment horizontal="center" vertical="top" wrapText="1"/>
    </xf>
    <xf numFmtId="0" fontId="10" fillId="6" borderId="32" xfId="0" applyFont="1" applyFill="1" applyBorder="1" applyAlignment="1">
      <alignment horizontal="center" vertical="top" wrapText="1"/>
    </xf>
    <xf numFmtId="14" fontId="10" fillId="6" borderId="31" xfId="0" applyNumberFormat="1" applyFont="1" applyFill="1" applyBorder="1" applyAlignment="1">
      <alignment horizontal="center" vertical="top" wrapText="1"/>
    </xf>
    <xf numFmtId="0" fontId="10" fillId="6" borderId="39" xfId="0" applyFont="1" applyFill="1" applyBorder="1" applyAlignment="1">
      <alignment horizontal="center" vertical="top" wrapText="1"/>
    </xf>
    <xf numFmtId="0" fontId="10" fillId="6" borderId="37" xfId="0" applyFont="1" applyFill="1" applyBorder="1" applyAlignment="1">
      <alignment horizontal="center" vertical="top" wrapText="1"/>
    </xf>
    <xf numFmtId="0" fontId="10" fillId="6" borderId="18" xfId="0" applyFont="1" applyFill="1" applyBorder="1" applyAlignment="1">
      <alignment horizontal="center" vertical="top" wrapText="1"/>
    </xf>
    <xf numFmtId="44" fontId="10" fillId="6" borderId="6" xfId="1" applyFont="1" applyFill="1" applyBorder="1" applyAlignment="1">
      <alignment horizontal="center" vertical="top" wrapText="1"/>
    </xf>
    <xf numFmtId="0" fontId="9" fillId="2" borderId="0" xfId="0" applyFont="1" applyFill="1"/>
    <xf numFmtId="0" fontId="32" fillId="2" borderId="1" xfId="0" applyFont="1" applyFill="1" applyBorder="1" applyAlignment="1">
      <alignment vertical="top" wrapText="1"/>
    </xf>
    <xf numFmtId="0" fontId="10" fillId="6" borderId="17" xfId="0" applyFont="1" applyFill="1" applyBorder="1" applyAlignment="1">
      <alignment vertical="top" wrapText="1"/>
    </xf>
    <xf numFmtId="0" fontId="10" fillId="6" borderId="41" xfId="0" applyFont="1" applyFill="1" applyBorder="1" applyAlignment="1">
      <alignment horizontal="center" vertical="top" wrapText="1"/>
    </xf>
    <xf numFmtId="0" fontId="42" fillId="0" borderId="0" xfId="0" applyFont="1" applyAlignment="1">
      <alignment horizontal="right"/>
    </xf>
    <xf numFmtId="14" fontId="10" fillId="6" borderId="54" xfId="0" applyNumberFormat="1" applyFont="1" applyFill="1" applyBorder="1" applyAlignment="1">
      <alignment horizontal="center" vertical="top" wrapText="1"/>
    </xf>
    <xf numFmtId="44" fontId="10" fillId="6" borderId="54" xfId="1" applyFont="1" applyFill="1" applyBorder="1" applyAlignment="1">
      <alignment horizontal="center" vertical="top" wrapText="1"/>
    </xf>
    <xf numFmtId="0" fontId="17" fillId="0" borderId="0" xfId="0" applyFont="1" applyAlignment="1">
      <alignment horizontal="center"/>
    </xf>
    <xf numFmtId="0" fontId="10" fillId="6" borderId="0" xfId="0" applyFont="1" applyFill="1" applyAlignment="1">
      <alignment horizontal="left" vertical="top" wrapText="1"/>
    </xf>
    <xf numFmtId="14" fontId="10" fillId="6" borderId="0" xfId="0" applyNumberFormat="1" applyFont="1" applyFill="1" applyAlignment="1">
      <alignment horizontal="center" vertical="top" wrapText="1"/>
    </xf>
    <xf numFmtId="0" fontId="15" fillId="13" borderId="1" xfId="1" applyNumberFormat="1" applyFont="1" applyFill="1" applyBorder="1"/>
    <xf numFmtId="0" fontId="15" fillId="0" borderId="40" xfId="0" applyFont="1" applyBorder="1"/>
    <xf numFmtId="0" fontId="15" fillId="0" borderId="5" xfId="0" applyFont="1" applyBorder="1"/>
    <xf numFmtId="0" fontId="15" fillId="0" borderId="19" xfId="0" applyFont="1" applyBorder="1"/>
    <xf numFmtId="164" fontId="15" fillId="0" borderId="42" xfId="0" applyNumberFormat="1" applyFont="1" applyBorder="1"/>
    <xf numFmtId="0" fontId="15" fillId="0" borderId="30" xfId="0" applyFont="1" applyBorder="1"/>
    <xf numFmtId="0" fontId="15" fillId="0" borderId="43" xfId="0" applyFont="1" applyBorder="1"/>
    <xf numFmtId="164" fontId="10" fillId="6" borderId="9" xfId="0" applyNumberFormat="1" applyFont="1" applyFill="1" applyBorder="1" applyAlignment="1">
      <alignment horizontal="right" vertical="top" wrapText="1"/>
    </xf>
    <xf numFmtId="8" fontId="10" fillId="2" borderId="16" xfId="0" applyNumberFormat="1" applyFont="1" applyFill="1" applyBorder="1" applyAlignment="1">
      <alignment horizontal="right" vertical="top" wrapText="1"/>
    </xf>
    <xf numFmtId="0" fontId="15" fillId="0" borderId="41" xfId="0" applyFont="1" applyBorder="1"/>
    <xf numFmtId="0" fontId="15" fillId="0" borderId="55" xfId="0" applyFont="1" applyBorder="1"/>
    <xf numFmtId="0" fontId="15" fillId="0" borderId="21" xfId="0" applyFont="1" applyBorder="1"/>
    <xf numFmtId="0" fontId="17" fillId="2" borderId="42" xfId="0" applyFont="1" applyFill="1" applyBorder="1" applyAlignment="1">
      <alignment horizontal="right"/>
    </xf>
    <xf numFmtId="164" fontId="17" fillId="2" borderId="30" xfId="0" applyNumberFormat="1" applyFont="1" applyFill="1" applyBorder="1"/>
    <xf numFmtId="164" fontId="10" fillId="6" borderId="1" xfId="0" applyNumberFormat="1" applyFont="1" applyFill="1" applyBorder="1" applyAlignment="1">
      <alignment horizontal="right" vertical="top" wrapText="1"/>
    </xf>
    <xf numFmtId="0" fontId="10" fillId="6" borderId="54" xfId="0" applyFont="1" applyFill="1" applyBorder="1" applyAlignment="1">
      <alignment horizontal="center" vertical="top" wrapText="1"/>
    </xf>
    <xf numFmtId="0" fontId="10" fillId="6" borderId="28" xfId="0" applyFont="1" applyFill="1" applyBorder="1" applyAlignment="1">
      <alignment horizontal="center" vertical="top" wrapText="1"/>
    </xf>
    <xf numFmtId="14" fontId="10" fillId="6" borderId="52" xfId="0" applyNumberFormat="1" applyFont="1" applyFill="1" applyBorder="1" applyAlignment="1">
      <alignment horizontal="center" vertical="top" wrapText="1"/>
    </xf>
    <xf numFmtId="44" fontId="10" fillId="6" borderId="52" xfId="1" applyFont="1" applyFill="1" applyBorder="1" applyAlignment="1">
      <alignment vertical="top" wrapText="1"/>
    </xf>
    <xf numFmtId="44" fontId="10" fillId="6" borderId="29" xfId="0" applyNumberFormat="1" applyFont="1" applyFill="1" applyBorder="1" applyAlignment="1">
      <alignment horizontal="right" vertical="top" wrapText="1"/>
    </xf>
    <xf numFmtId="0" fontId="10" fillId="6" borderId="56" xfId="0" applyFont="1" applyFill="1" applyBorder="1" applyAlignment="1">
      <alignment horizontal="center" vertical="top" wrapText="1"/>
    </xf>
    <xf numFmtId="8" fontId="10" fillId="6" borderId="32" xfId="0" applyNumberFormat="1" applyFont="1" applyFill="1" applyBorder="1" applyAlignment="1">
      <alignment horizontal="right" vertical="top" wrapText="1"/>
    </xf>
    <xf numFmtId="8" fontId="10" fillId="6" borderId="58" xfId="0" applyNumberFormat="1" applyFont="1" applyFill="1" applyBorder="1" applyAlignment="1">
      <alignment horizontal="right" vertical="top" wrapText="1"/>
    </xf>
    <xf numFmtId="0" fontId="10" fillId="2" borderId="16" xfId="0" applyFont="1" applyFill="1" applyBorder="1" applyAlignment="1">
      <alignment horizontal="center" vertical="top" wrapText="1"/>
    </xf>
    <xf numFmtId="0" fontId="10" fillId="2" borderId="16" xfId="0" applyFont="1" applyFill="1" applyBorder="1" applyAlignment="1">
      <alignment vertical="top" wrapText="1"/>
    </xf>
    <xf numFmtId="14" fontId="10" fillId="2" borderId="16" xfId="0" applyNumberFormat="1" applyFont="1" applyFill="1" applyBorder="1" applyAlignment="1">
      <alignment horizontal="center" vertical="top" wrapText="1"/>
    </xf>
    <xf numFmtId="44" fontId="10" fillId="2" borderId="16" xfId="1" applyFont="1" applyFill="1" applyBorder="1" applyAlignment="1">
      <alignment horizontal="center" vertical="top" wrapText="1"/>
    </xf>
    <xf numFmtId="44" fontId="10" fillId="2" borderId="16" xfId="1" applyFont="1" applyFill="1" applyBorder="1" applyAlignment="1">
      <alignment vertical="top" wrapText="1"/>
    </xf>
    <xf numFmtId="14" fontId="10" fillId="6" borderId="59" xfId="0" applyNumberFormat="1" applyFont="1" applyFill="1" applyBorder="1" applyAlignment="1">
      <alignment horizontal="center" vertical="top" wrapText="1"/>
    </xf>
    <xf numFmtId="14" fontId="10" fillId="6" borderId="60" xfId="0" applyNumberFormat="1" applyFont="1" applyFill="1" applyBorder="1" applyAlignment="1">
      <alignment horizontal="center" vertical="top" wrapText="1"/>
    </xf>
    <xf numFmtId="44" fontId="10" fillId="6" borderId="60" xfId="1" applyFont="1" applyFill="1" applyBorder="1" applyAlignment="1">
      <alignment horizontal="center" vertical="top" wrapText="1"/>
    </xf>
    <xf numFmtId="44" fontId="10" fillId="6" borderId="60" xfId="1" applyFont="1" applyFill="1" applyBorder="1" applyAlignment="1">
      <alignment vertical="top" wrapText="1"/>
    </xf>
    <xf numFmtId="44" fontId="10" fillId="6" borderId="25" xfId="0" applyNumberFormat="1" applyFont="1" applyFill="1" applyBorder="1" applyAlignment="1">
      <alignment horizontal="right" vertical="top" wrapText="1"/>
    </xf>
    <xf numFmtId="0" fontId="10" fillId="6" borderId="61" xfId="0" applyFont="1" applyFill="1" applyBorder="1" applyAlignment="1">
      <alignment horizontal="center" vertical="top" wrapText="1"/>
    </xf>
    <xf numFmtId="0" fontId="10" fillId="6" borderId="42" xfId="0" applyFont="1" applyFill="1" applyBorder="1" applyAlignment="1">
      <alignment horizontal="center" vertical="top" wrapText="1"/>
    </xf>
    <xf numFmtId="14" fontId="10" fillId="6" borderId="39" xfId="0" applyNumberFormat="1" applyFont="1" applyFill="1" applyBorder="1" applyAlignment="1">
      <alignment horizontal="center" vertical="top" wrapText="1"/>
    </xf>
    <xf numFmtId="44" fontId="10" fillId="6" borderId="31" xfId="1" applyFont="1" applyFill="1" applyBorder="1" applyAlignment="1">
      <alignment horizontal="center" vertical="top" wrapText="1"/>
    </xf>
    <xf numFmtId="44" fontId="10" fillId="6" borderId="34" xfId="1" applyFont="1" applyFill="1" applyBorder="1" applyAlignment="1">
      <alignment vertical="top" wrapText="1"/>
    </xf>
    <xf numFmtId="8" fontId="10" fillId="6" borderId="37" xfId="0" applyNumberFormat="1" applyFont="1" applyFill="1" applyBorder="1" applyAlignment="1">
      <alignment horizontal="right" vertical="top" wrapText="1"/>
    </xf>
    <xf numFmtId="0" fontId="19" fillId="6" borderId="5" xfId="0" applyFont="1" applyFill="1" applyBorder="1" applyAlignment="1">
      <alignment vertical="top" wrapText="1"/>
    </xf>
    <xf numFmtId="14" fontId="10" fillId="6" borderId="5" xfId="0" applyNumberFormat="1" applyFont="1" applyFill="1" applyBorder="1" applyAlignment="1">
      <alignment horizontal="center" vertical="top" wrapText="1"/>
    </xf>
    <xf numFmtId="44" fontId="10" fillId="6" borderId="5" xfId="1" applyFont="1" applyFill="1" applyBorder="1" applyAlignment="1">
      <alignment horizontal="center" vertical="top" wrapText="1"/>
    </xf>
    <xf numFmtId="44" fontId="26" fillId="6" borderId="29" xfId="0" applyNumberFormat="1" applyFont="1" applyFill="1" applyBorder="1" applyAlignment="1">
      <alignment horizontal="right" vertical="top" wrapText="1"/>
    </xf>
    <xf numFmtId="0" fontId="10" fillId="6" borderId="33" xfId="0" applyFont="1" applyFill="1" applyBorder="1" applyAlignment="1">
      <alignment horizontal="center" vertical="top" wrapText="1"/>
    </xf>
    <xf numFmtId="0" fontId="10" fillId="6" borderId="30" xfId="0" applyFont="1" applyFill="1" applyBorder="1" applyAlignment="1">
      <alignment horizontal="left" vertical="top" wrapText="1"/>
    </xf>
    <xf numFmtId="0" fontId="10" fillId="6" borderId="30" xfId="0" applyFont="1" applyFill="1" applyBorder="1" applyAlignment="1">
      <alignment horizontal="center" vertical="top" wrapText="1"/>
    </xf>
    <xf numFmtId="0" fontId="10" fillId="6" borderId="26" xfId="0" applyFont="1" applyFill="1" applyBorder="1" applyAlignment="1">
      <alignment horizontal="center" vertical="top" wrapText="1"/>
    </xf>
    <xf numFmtId="0" fontId="10" fillId="6" borderId="62" xfId="0" applyFont="1" applyFill="1" applyBorder="1" applyAlignment="1">
      <alignment horizontal="left" vertical="top" wrapText="1"/>
    </xf>
    <xf numFmtId="14" fontId="10" fillId="6" borderId="63" xfId="0" applyNumberFormat="1" applyFont="1" applyFill="1" applyBorder="1" applyAlignment="1">
      <alignment horizontal="center" vertical="top" wrapText="1"/>
    </xf>
    <xf numFmtId="0" fontId="10" fillId="6" borderId="3" xfId="0" applyFont="1" applyFill="1" applyBorder="1" applyAlignment="1">
      <alignment horizontal="center" vertical="top" wrapText="1"/>
    </xf>
    <xf numFmtId="164" fontId="10" fillId="6" borderId="62" xfId="0" applyNumberFormat="1" applyFont="1" applyFill="1" applyBorder="1" applyAlignment="1">
      <alignment horizontal="center" vertical="top" wrapText="1"/>
    </xf>
    <xf numFmtId="44" fontId="10" fillId="6" borderId="64" xfId="1" applyFont="1" applyFill="1" applyBorder="1" applyAlignment="1">
      <alignment horizontal="center" vertical="top" wrapText="1"/>
    </xf>
    <xf numFmtId="8" fontId="10" fillId="6" borderId="29" xfId="0" applyNumberFormat="1" applyFont="1" applyFill="1" applyBorder="1" applyAlignment="1">
      <alignment horizontal="right" vertical="top" wrapText="1"/>
    </xf>
    <xf numFmtId="44" fontId="10" fillId="6" borderId="34" xfId="1" applyFont="1" applyFill="1" applyBorder="1" applyAlignment="1">
      <alignment horizontal="center" vertical="top" wrapText="1"/>
    </xf>
    <xf numFmtId="0" fontId="10" fillId="6" borderId="2" xfId="0" applyFont="1" applyFill="1" applyBorder="1" applyAlignment="1">
      <alignment horizontal="center" vertical="top" wrapText="1"/>
    </xf>
    <xf numFmtId="0" fontId="19" fillId="6" borderId="62" xfId="0" applyFont="1" applyFill="1" applyBorder="1" applyAlignment="1">
      <alignment vertical="top" wrapText="1"/>
    </xf>
    <xf numFmtId="14" fontId="10" fillId="6" borderId="62" xfId="0" applyNumberFormat="1" applyFont="1" applyFill="1" applyBorder="1" applyAlignment="1">
      <alignment horizontal="center" vertical="top" wrapText="1"/>
    </xf>
    <xf numFmtId="44" fontId="10" fillId="6" borderId="62" xfId="1" applyFont="1" applyFill="1" applyBorder="1" applyAlignment="1">
      <alignment horizontal="center" vertical="top" wrapText="1"/>
    </xf>
    <xf numFmtId="8" fontId="10" fillId="6" borderId="27" xfId="0" applyNumberFormat="1" applyFont="1" applyFill="1" applyBorder="1" applyAlignment="1">
      <alignment horizontal="right" vertical="top" wrapText="1"/>
    </xf>
    <xf numFmtId="0" fontId="10" fillId="12" borderId="6" xfId="0" applyFont="1" applyFill="1" applyBorder="1" applyAlignment="1">
      <alignment horizontal="center" vertical="top" wrapText="1"/>
    </xf>
    <xf numFmtId="0" fontId="19" fillId="12" borderId="16" xfId="0" applyFont="1" applyFill="1" applyBorder="1" applyAlignment="1">
      <alignment vertical="top" wrapText="1"/>
    </xf>
    <xf numFmtId="14" fontId="10" fillId="12" borderId="17" xfId="0" applyNumberFormat="1" applyFont="1" applyFill="1" applyBorder="1" applyAlignment="1">
      <alignment horizontal="center" vertical="top" wrapText="1"/>
    </xf>
    <xf numFmtId="14" fontId="10" fillId="12" borderId="16" xfId="0" applyNumberFormat="1" applyFont="1" applyFill="1" applyBorder="1" applyAlignment="1">
      <alignment horizontal="center" vertical="top" wrapText="1"/>
    </xf>
    <xf numFmtId="44" fontId="10" fillId="12" borderId="16" xfId="1" applyFont="1" applyFill="1" applyBorder="1" applyAlignment="1">
      <alignment horizontal="center" vertical="top" wrapText="1"/>
    </xf>
    <xf numFmtId="8" fontId="10" fillId="12" borderId="16" xfId="0" applyNumberFormat="1" applyFont="1" applyFill="1" applyBorder="1" applyAlignment="1">
      <alignment horizontal="right" vertical="top" wrapText="1"/>
    </xf>
    <xf numFmtId="0" fontId="10" fillId="2" borderId="6" xfId="0" applyFont="1" applyFill="1" applyBorder="1" applyAlignment="1">
      <alignment horizontal="center" vertical="top" wrapText="1"/>
    </xf>
    <xf numFmtId="0" fontId="19" fillId="2" borderId="16" xfId="0" applyFont="1" applyFill="1" applyBorder="1" applyAlignment="1">
      <alignment vertical="top" wrapText="1"/>
    </xf>
    <xf numFmtId="14" fontId="10" fillId="2" borderId="17" xfId="0" applyNumberFormat="1" applyFont="1" applyFill="1" applyBorder="1" applyAlignment="1">
      <alignment horizontal="center" vertical="top" wrapText="1"/>
    </xf>
    <xf numFmtId="0" fontId="10" fillId="8" borderId="2" xfId="0" applyFont="1" applyFill="1" applyBorder="1" applyAlignment="1">
      <alignment horizontal="center" vertical="top" wrapText="1"/>
    </xf>
    <xf numFmtId="0" fontId="19" fillId="8" borderId="62" xfId="0" applyFont="1" applyFill="1" applyBorder="1" applyAlignment="1">
      <alignment vertical="top" wrapText="1"/>
    </xf>
    <xf numFmtId="14" fontId="10" fillId="8" borderId="63" xfId="0" applyNumberFormat="1" applyFont="1" applyFill="1" applyBorder="1" applyAlignment="1">
      <alignment horizontal="center" vertical="top" wrapText="1"/>
    </xf>
    <xf numFmtId="14" fontId="10" fillId="8" borderId="62" xfId="0" applyNumberFormat="1" applyFont="1" applyFill="1" applyBorder="1" applyAlignment="1">
      <alignment horizontal="center" vertical="top" wrapText="1"/>
    </xf>
    <xf numFmtId="44" fontId="10" fillId="8" borderId="62" xfId="1" applyFont="1" applyFill="1" applyBorder="1" applyAlignment="1">
      <alignment horizontal="center" vertical="top" wrapText="1"/>
    </xf>
    <xf numFmtId="44" fontId="10" fillId="8" borderId="27" xfId="0" applyNumberFormat="1" applyFont="1" applyFill="1" applyBorder="1" applyAlignment="1">
      <alignment horizontal="right" vertical="top" wrapText="1"/>
    </xf>
    <xf numFmtId="0" fontId="10" fillId="8" borderId="9" xfId="0" applyFont="1" applyFill="1" applyBorder="1" applyAlignment="1">
      <alignment horizontal="center" vertical="top" wrapText="1"/>
    </xf>
    <xf numFmtId="0" fontId="19" fillId="8" borderId="16" xfId="0" applyFont="1" applyFill="1" applyBorder="1" applyAlignment="1">
      <alignment vertical="top" wrapText="1"/>
    </xf>
    <xf numFmtId="14" fontId="10" fillId="8" borderId="9" xfId="0" applyNumberFormat="1" applyFont="1" applyFill="1" applyBorder="1" applyAlignment="1">
      <alignment horizontal="center" vertical="top" wrapText="1"/>
    </xf>
    <xf numFmtId="44" fontId="10" fillId="8" borderId="9" xfId="1" applyFont="1" applyFill="1" applyBorder="1" applyAlignment="1">
      <alignment horizontal="center" vertical="top" wrapText="1"/>
    </xf>
    <xf numFmtId="8" fontId="10" fillId="8" borderId="9" xfId="0" applyNumberFormat="1" applyFont="1" applyFill="1" applyBorder="1" applyAlignment="1">
      <alignment horizontal="right" vertical="top" wrapText="1"/>
    </xf>
    <xf numFmtId="0" fontId="10" fillId="2" borderId="3" xfId="0" applyFont="1" applyFill="1" applyBorder="1" applyAlignment="1">
      <alignment horizontal="center" vertical="top" wrapText="1"/>
    </xf>
    <xf numFmtId="164" fontId="10" fillId="6" borderId="52" xfId="0" applyNumberFormat="1" applyFont="1" applyFill="1" applyBorder="1" applyAlignment="1">
      <alignment horizontal="center" vertical="top" wrapText="1"/>
    </xf>
    <xf numFmtId="0" fontId="19" fillId="6" borderId="39" xfId="0" applyFont="1" applyFill="1" applyBorder="1" applyAlignment="1">
      <alignment vertical="top" wrapText="1"/>
    </xf>
    <xf numFmtId="44" fontId="17" fillId="2" borderId="0" xfId="0" applyNumberFormat="1" applyFont="1" applyFill="1"/>
    <xf numFmtId="44" fontId="31" fillId="0" borderId="0" xfId="1" applyFont="1" applyFill="1" applyBorder="1"/>
    <xf numFmtId="44" fontId="17" fillId="0" borderId="0" xfId="1" applyFont="1" applyFill="1" applyBorder="1"/>
    <xf numFmtId="164" fontId="17" fillId="0" borderId="0" xfId="0" applyNumberFormat="1" applyFont="1"/>
    <xf numFmtId="0" fontId="15" fillId="0" borderId="61" xfId="0" applyFont="1" applyBorder="1"/>
    <xf numFmtId="44" fontId="15" fillId="0" borderId="58" xfId="1" applyFont="1" applyFill="1" applyBorder="1"/>
    <xf numFmtId="0" fontId="31" fillId="0" borderId="21" xfId="0" applyFont="1" applyBorder="1"/>
    <xf numFmtId="44" fontId="31" fillId="0" borderId="22" xfId="1" applyFont="1" applyFill="1" applyBorder="1"/>
    <xf numFmtId="0" fontId="31" fillId="0" borderId="57" xfId="0" applyFont="1" applyBorder="1"/>
    <xf numFmtId="44" fontId="31" fillId="0" borderId="36" xfId="1" applyFont="1" applyFill="1" applyBorder="1"/>
    <xf numFmtId="0" fontId="17" fillId="5" borderId="41" xfId="0" applyFont="1" applyFill="1" applyBorder="1" applyAlignment="1">
      <alignment horizontal="right"/>
    </xf>
    <xf numFmtId="44" fontId="17" fillId="5" borderId="55" xfId="1" applyFont="1" applyFill="1" applyBorder="1"/>
    <xf numFmtId="44" fontId="15" fillId="0" borderId="22" xfId="1" applyFont="1" applyFill="1" applyBorder="1"/>
    <xf numFmtId="44" fontId="15" fillId="0" borderId="22" xfId="1" applyFont="1" applyBorder="1"/>
    <xf numFmtId="0" fontId="17" fillId="6" borderId="41" xfId="0" applyFont="1" applyFill="1" applyBorder="1" applyAlignment="1">
      <alignment horizontal="right"/>
    </xf>
    <xf numFmtId="44" fontId="17" fillId="6" borderId="55" xfId="1" applyFont="1" applyFill="1" applyBorder="1"/>
    <xf numFmtId="164" fontId="15" fillId="0" borderId="22" xfId="0" applyNumberFormat="1" applyFont="1" applyBorder="1"/>
    <xf numFmtId="0" fontId="17" fillId="13" borderId="21" xfId="0" applyFont="1" applyFill="1" applyBorder="1" applyAlignment="1">
      <alignment horizontal="right"/>
    </xf>
    <xf numFmtId="164" fontId="17" fillId="13" borderId="22" xfId="0" applyNumberFormat="1" applyFont="1" applyFill="1" applyBorder="1"/>
    <xf numFmtId="164" fontId="15" fillId="0" borderId="55" xfId="0" applyNumberFormat="1" applyFont="1" applyBorder="1"/>
    <xf numFmtId="0" fontId="15" fillId="0" borderId="42" xfId="0" applyFont="1" applyBorder="1"/>
    <xf numFmtId="164" fontId="10" fillId="6" borderId="29" xfId="0" applyNumberFormat="1" applyFont="1" applyFill="1" applyBorder="1" applyAlignment="1">
      <alignment horizontal="right" vertical="top" wrapText="1"/>
    </xf>
    <xf numFmtId="0" fontId="10" fillId="2" borderId="52" xfId="0" applyFont="1" applyFill="1" applyBorder="1" applyAlignment="1">
      <alignment horizontal="center" vertical="top" wrapText="1"/>
    </xf>
    <xf numFmtId="0" fontId="17" fillId="0" borderId="41" xfId="0" applyFont="1" applyBorder="1"/>
    <xf numFmtId="164" fontId="15" fillId="0" borderId="30" xfId="0" applyNumberFormat="1" applyFont="1" applyBorder="1"/>
    <xf numFmtId="0" fontId="15" fillId="0" borderId="41" xfId="0" applyFont="1" applyBorder="1" applyAlignment="1">
      <alignment horizontal="right"/>
    </xf>
    <xf numFmtId="0" fontId="17" fillId="0" borderId="41" xfId="0" applyFont="1" applyBorder="1" applyAlignment="1">
      <alignment horizontal="right"/>
    </xf>
    <xf numFmtId="44" fontId="10" fillId="6" borderId="32" xfId="1" applyFont="1" applyFill="1" applyBorder="1" applyAlignment="1">
      <alignment horizontal="center" vertical="top" wrapText="1"/>
    </xf>
    <xf numFmtId="0" fontId="10" fillId="6" borderId="44" xfId="0" applyFont="1" applyFill="1" applyBorder="1" applyAlignment="1">
      <alignment vertical="top" wrapText="1"/>
    </xf>
    <xf numFmtId="44" fontId="10" fillId="2" borderId="52" xfId="1" applyFont="1" applyFill="1" applyBorder="1" applyAlignment="1">
      <alignment horizontal="center" vertical="top" wrapText="1"/>
    </xf>
    <xf numFmtId="44" fontId="10" fillId="6" borderId="29" xfId="1" applyFont="1" applyFill="1" applyBorder="1" applyAlignment="1">
      <alignment horizontal="center" vertical="top" wrapText="1"/>
    </xf>
    <xf numFmtId="0" fontId="19" fillId="6" borderId="31" xfId="0" applyFont="1" applyFill="1" applyBorder="1" applyAlignment="1">
      <alignment vertical="top" wrapText="1"/>
    </xf>
    <xf numFmtId="14" fontId="10" fillId="6" borderId="10" xfId="1" applyNumberFormat="1" applyFont="1" applyFill="1" applyBorder="1" applyAlignment="1">
      <alignment horizontal="center" vertical="top" wrapText="1"/>
    </xf>
    <xf numFmtId="44" fontId="10" fillId="2" borderId="54" xfId="1" applyFont="1" applyFill="1" applyBorder="1" applyAlignment="1">
      <alignment horizontal="center" vertical="top" wrapText="1"/>
    </xf>
    <xf numFmtId="44" fontId="10" fillId="2" borderId="8" xfId="1" applyFont="1" applyFill="1" applyBorder="1" applyAlignment="1">
      <alignment horizontal="center" vertical="top" wrapText="1"/>
    </xf>
    <xf numFmtId="0" fontId="10" fillId="2" borderId="18" xfId="0" applyFont="1" applyFill="1" applyBorder="1" applyAlignment="1">
      <alignment horizontal="center" vertical="top" wrapText="1"/>
    </xf>
    <xf numFmtId="164" fontId="17" fillId="0" borderId="55" xfId="0" applyNumberFormat="1" applyFont="1" applyBorder="1"/>
    <xf numFmtId="8" fontId="15" fillId="0" borderId="8" xfId="0" applyNumberFormat="1" applyFont="1" applyBorder="1"/>
    <xf numFmtId="0" fontId="15" fillId="0" borderId="50" xfId="0" applyFont="1" applyBorder="1"/>
    <xf numFmtId="44" fontId="19" fillId="11" borderId="1" xfId="1" applyFont="1" applyFill="1" applyBorder="1" applyAlignment="1">
      <alignment horizontal="center" vertical="top" wrapText="1"/>
    </xf>
    <xf numFmtId="0" fontId="43" fillId="0" borderId="0" xfId="2" applyBorder="1"/>
    <xf numFmtId="0" fontId="17" fillId="2" borderId="41" xfId="0" applyFont="1" applyFill="1" applyBorder="1" applyAlignment="1">
      <alignment horizontal="right"/>
    </xf>
    <xf numFmtId="164" fontId="15" fillId="0" borderId="65" xfId="0" applyNumberFormat="1" applyFont="1" applyBorder="1"/>
    <xf numFmtId="44" fontId="10" fillId="2" borderId="1" xfId="1" applyFont="1" applyFill="1" applyBorder="1" applyAlignment="1">
      <alignment horizontal="center" vertical="top" wrapText="1"/>
    </xf>
    <xf numFmtId="164" fontId="10" fillId="2" borderId="29" xfId="0" applyNumberFormat="1" applyFont="1" applyFill="1" applyBorder="1" applyAlignment="1">
      <alignment horizontal="right" vertical="top" wrapText="1"/>
    </xf>
    <xf numFmtId="0" fontId="17" fillId="8" borderId="0" xfId="0" applyFont="1" applyFill="1" applyAlignment="1">
      <alignment horizontal="right"/>
    </xf>
    <xf numFmtId="44" fontId="17" fillId="8" borderId="0" xfId="1" applyFont="1" applyFill="1"/>
    <xf numFmtId="0" fontId="15" fillId="2" borderId="0" xfId="0" applyFont="1" applyFill="1"/>
    <xf numFmtId="8" fontId="10" fillId="11" borderId="10" xfId="0" applyNumberFormat="1" applyFont="1" applyFill="1" applyBorder="1" applyAlignment="1">
      <alignment horizontal="right" vertical="top" wrapText="1"/>
    </xf>
    <xf numFmtId="44" fontId="19" fillId="11" borderId="15" xfId="1" applyFont="1" applyFill="1" applyBorder="1" applyAlignment="1">
      <alignment horizontal="center" vertical="top" wrapText="1"/>
    </xf>
    <xf numFmtId="0" fontId="10" fillId="6" borderId="9" xfId="0" applyFont="1" applyFill="1" applyBorder="1" applyAlignment="1">
      <alignment horizontal="center" vertical="top" wrapText="1"/>
    </xf>
    <xf numFmtId="8" fontId="10" fillId="11" borderId="9" xfId="0" applyNumberFormat="1" applyFont="1" applyFill="1" applyBorder="1" applyAlignment="1">
      <alignment horizontal="right" vertical="top" wrapText="1"/>
    </xf>
    <xf numFmtId="8" fontId="10" fillId="11" borderId="16" xfId="0" applyNumberFormat="1" applyFont="1" applyFill="1" applyBorder="1" applyAlignment="1">
      <alignment horizontal="right" vertical="top" wrapText="1"/>
    </xf>
    <xf numFmtId="0" fontId="19" fillId="0" borderId="9" xfId="0" applyFont="1" applyBorder="1" applyAlignment="1">
      <alignment vertical="top" wrapText="1"/>
    </xf>
    <xf numFmtId="0" fontId="15" fillId="0" borderId="1" xfId="0" applyFont="1" applyBorder="1" applyAlignment="1">
      <alignment horizontal="right"/>
    </xf>
    <xf numFmtId="0" fontId="17" fillId="13" borderId="0" xfId="0" applyFont="1" applyFill="1" applyAlignment="1">
      <alignment horizontal="right"/>
    </xf>
    <xf numFmtId="44" fontId="17" fillId="13" borderId="0" xfId="0" applyNumberFormat="1" applyFont="1" applyFill="1"/>
    <xf numFmtId="44" fontId="17" fillId="13" borderId="0" xfId="1" applyFont="1" applyFill="1"/>
    <xf numFmtId="0" fontId="15" fillId="0" borderId="6" xfId="0" applyFont="1" applyBorder="1"/>
    <xf numFmtId="0" fontId="15" fillId="0" borderId="17" xfId="0" applyFont="1" applyBorder="1"/>
    <xf numFmtId="0" fontId="15" fillId="0" borderId="7" xfId="0" applyFont="1" applyBorder="1"/>
    <xf numFmtId="0" fontId="17" fillId="0" borderId="6" xfId="0" applyFont="1" applyBorder="1" applyAlignment="1">
      <alignment horizontal="right"/>
    </xf>
    <xf numFmtId="0" fontId="17" fillId="2" borderId="6" xfId="0" applyFont="1" applyFill="1" applyBorder="1" applyAlignment="1">
      <alignment horizontal="right"/>
    </xf>
    <xf numFmtId="0" fontId="15" fillId="0" borderId="15" xfId="0" applyFont="1" applyBorder="1"/>
    <xf numFmtId="8" fontId="10" fillId="6" borderId="10" xfId="0" applyNumberFormat="1" applyFont="1" applyFill="1" applyBorder="1" applyAlignment="1">
      <alignment horizontal="right" vertical="top" wrapText="1"/>
    </xf>
    <xf numFmtId="0" fontId="50" fillId="0" borderId="0" xfId="0" applyFont="1" applyAlignment="1">
      <alignment horizontal="right"/>
    </xf>
    <xf numFmtId="0" fontId="50" fillId="0" borderId="0" xfId="0" applyFont="1"/>
    <xf numFmtId="0" fontId="44" fillId="0" borderId="8" xfId="0" applyFont="1" applyBorder="1" applyAlignment="1">
      <alignment horizontal="center"/>
    </xf>
    <xf numFmtId="0" fontId="50" fillId="0" borderId="0" xfId="0" applyFont="1" applyAlignment="1">
      <alignment horizontal="left" vertical="top"/>
    </xf>
    <xf numFmtId="0" fontId="0" fillId="0" borderId="0" xfId="0" applyAlignment="1">
      <alignment horizontal="left" vertical="top"/>
    </xf>
    <xf numFmtId="44" fontId="0" fillId="0" borderId="0" xfId="1" applyFont="1"/>
    <xf numFmtId="164" fontId="0" fillId="0" borderId="0" xfId="0" applyNumberFormat="1"/>
    <xf numFmtId="0" fontId="50" fillId="0" borderId="0" xfId="0" applyFont="1" applyAlignment="1">
      <alignment horizontal="right" wrapText="1"/>
    </xf>
    <xf numFmtId="0" fontId="0" fillId="0" borderId="0" xfId="0" applyAlignment="1">
      <alignment horizontal="center" vertical="center"/>
    </xf>
    <xf numFmtId="0" fontId="44" fillId="2" borderId="0" xfId="0" applyFont="1" applyFill="1"/>
    <xf numFmtId="0" fontId="54" fillId="0" borderId="0" xfId="0" applyFont="1" applyAlignment="1">
      <alignment horizontal="center" vertical="center"/>
    </xf>
    <xf numFmtId="44" fontId="0" fillId="0" borderId="8" xfId="1" applyFont="1" applyBorder="1"/>
    <xf numFmtId="44" fontId="0" fillId="0" borderId="54" xfId="1" applyFont="1" applyBorder="1"/>
    <xf numFmtId="0" fontId="50" fillId="0" borderId="0" xfId="0" applyFont="1" applyAlignment="1">
      <alignment horizontal="center" vertical="center"/>
    </xf>
    <xf numFmtId="44" fontId="55" fillId="0" borderId="8" xfId="1" applyFont="1" applyBorder="1"/>
    <xf numFmtId="0" fontId="44" fillId="0" borderId="0" xfId="0" applyFont="1"/>
    <xf numFmtId="164" fontId="44" fillId="0" borderId="0" xfId="0" applyNumberFormat="1" applyFont="1"/>
    <xf numFmtId="0" fontId="44" fillId="2" borderId="0" xfId="0" applyFont="1" applyFill="1" applyAlignment="1">
      <alignment horizontal="right"/>
    </xf>
    <xf numFmtId="164" fontId="44" fillId="2" borderId="0" xfId="0" applyNumberFormat="1" applyFont="1" applyFill="1"/>
    <xf numFmtId="0" fontId="53" fillId="0" borderId="0" xfId="0" applyFont="1" applyAlignment="1">
      <alignment horizontal="center"/>
    </xf>
    <xf numFmtId="0" fontId="15" fillId="0" borderId="6" xfId="0" applyFont="1" applyBorder="1" applyAlignment="1">
      <alignment horizontal="center"/>
    </xf>
    <xf numFmtId="0" fontId="10" fillId="0" borderId="0" xfId="0" applyFont="1" applyAlignment="1">
      <alignment wrapText="1"/>
    </xf>
    <xf numFmtId="164" fontId="17" fillId="2" borderId="43" xfId="0" applyNumberFormat="1" applyFont="1" applyFill="1" applyBorder="1"/>
    <xf numFmtId="0" fontId="17" fillId="11" borderId="0" xfId="0" applyFont="1" applyFill="1" applyAlignment="1">
      <alignment horizontal="center"/>
    </xf>
    <xf numFmtId="0" fontId="45" fillId="0" borderId="41" xfId="0" applyFont="1" applyBorder="1"/>
    <xf numFmtId="0" fontId="45" fillId="0" borderId="0" xfId="0" applyFont="1"/>
    <xf numFmtId="164" fontId="45" fillId="0" borderId="0" xfId="0" applyNumberFormat="1" applyFont="1"/>
    <xf numFmtId="0" fontId="17" fillId="23" borderId="0" xfId="0" applyFont="1" applyFill="1" applyAlignment="1">
      <alignment horizontal="right"/>
    </xf>
    <xf numFmtId="164" fontId="17" fillId="23" borderId="0" xfId="0" applyNumberFormat="1" applyFont="1" applyFill="1"/>
    <xf numFmtId="0" fontId="17" fillId="0" borderId="0" xfId="0" applyFont="1"/>
    <xf numFmtId="0" fontId="17" fillId="0" borderId="41" xfId="0" applyFont="1" applyBorder="1" applyAlignment="1">
      <alignment horizontal="center"/>
    </xf>
    <xf numFmtId="44" fontId="17" fillId="8" borderId="0" xfId="1" applyFont="1" applyFill="1" applyAlignment="1">
      <alignment horizontal="right"/>
    </xf>
    <xf numFmtId="44" fontId="26" fillId="6" borderId="1" xfId="0" applyNumberFormat="1" applyFont="1" applyFill="1" applyBorder="1" applyAlignment="1">
      <alignment horizontal="right" vertical="top" wrapText="1"/>
    </xf>
    <xf numFmtId="0" fontId="17" fillId="8" borderId="0" xfId="0" applyFont="1" applyFill="1" applyAlignment="1">
      <alignment horizontal="center"/>
    </xf>
    <xf numFmtId="44" fontId="17" fillId="8" borderId="0" xfId="0" applyNumberFormat="1" applyFont="1" applyFill="1"/>
    <xf numFmtId="0" fontId="56" fillId="0" borderId="0" xfId="0" applyFont="1" applyAlignment="1">
      <alignment horizontal="right"/>
    </xf>
    <xf numFmtId="44" fontId="56" fillId="0" borderId="0" xfId="0" applyNumberFormat="1" applyFont="1"/>
    <xf numFmtId="44" fontId="15" fillId="5" borderId="36" xfId="1" applyFont="1" applyFill="1" applyBorder="1"/>
    <xf numFmtId="44" fontId="15" fillId="5" borderId="22" xfId="1" applyFont="1" applyFill="1" applyBorder="1"/>
    <xf numFmtId="0" fontId="15" fillId="5" borderId="22" xfId="0" applyFont="1" applyFill="1" applyBorder="1"/>
    <xf numFmtId="0" fontId="15" fillId="5" borderId="36" xfId="0" applyFont="1" applyFill="1" applyBorder="1"/>
    <xf numFmtId="0" fontId="15" fillId="5" borderId="24" xfId="0" applyFont="1" applyFill="1" applyBorder="1"/>
    <xf numFmtId="0" fontId="15" fillId="5" borderId="68" xfId="0" applyFont="1" applyFill="1" applyBorder="1"/>
    <xf numFmtId="0" fontId="15" fillId="0" borderId="35" xfId="0" applyFont="1" applyBorder="1"/>
    <xf numFmtId="44" fontId="15" fillId="0" borderId="69" xfId="1" applyFont="1" applyBorder="1"/>
    <xf numFmtId="44" fontId="15" fillId="0" borderId="55" xfId="0" applyNumberFormat="1" applyFont="1" applyBorder="1"/>
    <xf numFmtId="44" fontId="17" fillId="2" borderId="43" xfId="0" applyNumberFormat="1" applyFont="1" applyFill="1" applyBorder="1"/>
    <xf numFmtId="0" fontId="15" fillId="0" borderId="28" xfId="0" applyFont="1" applyBorder="1"/>
    <xf numFmtId="44" fontId="15" fillId="0" borderId="29" xfId="1" applyFont="1" applyBorder="1"/>
    <xf numFmtId="0" fontId="31" fillId="16" borderId="21" xfId="0" applyFont="1" applyFill="1" applyBorder="1"/>
    <xf numFmtId="44" fontId="31" fillId="16" borderId="22" xfId="1" applyFont="1" applyFill="1" applyBorder="1"/>
    <xf numFmtId="0" fontId="15" fillId="0" borderId="57" xfId="0" applyFont="1" applyBorder="1"/>
    <xf numFmtId="44" fontId="15" fillId="0" borderId="36" xfId="1" applyFont="1" applyBorder="1"/>
    <xf numFmtId="0" fontId="15" fillId="0" borderId="20" xfId="0" applyFont="1" applyBorder="1"/>
    <xf numFmtId="0" fontId="15" fillId="0" borderId="25" xfId="0" applyFont="1" applyBorder="1"/>
    <xf numFmtId="0" fontId="17" fillId="8" borderId="41" xfId="0" applyFont="1" applyFill="1" applyBorder="1" applyAlignment="1">
      <alignment horizontal="right"/>
    </xf>
    <xf numFmtId="44" fontId="17" fillId="8" borderId="55" xfId="1" applyFont="1" applyFill="1" applyBorder="1"/>
    <xf numFmtId="0" fontId="15" fillId="0" borderId="50" xfId="0" applyFont="1" applyBorder="1" applyAlignment="1">
      <alignment horizontal="right"/>
    </xf>
    <xf numFmtId="44" fontId="17" fillId="0" borderId="55" xfId="0" applyNumberFormat="1" applyFont="1" applyBorder="1"/>
    <xf numFmtId="0" fontId="15" fillId="9" borderId="20" xfId="0" applyFont="1" applyFill="1" applyBorder="1"/>
    <xf numFmtId="164" fontId="15" fillId="9" borderId="25" xfId="0" applyNumberFormat="1" applyFont="1" applyFill="1" applyBorder="1"/>
    <xf numFmtId="0" fontId="17" fillId="13" borderId="41" xfId="0" applyFont="1" applyFill="1" applyBorder="1" applyAlignment="1">
      <alignment horizontal="right"/>
    </xf>
    <xf numFmtId="164" fontId="17" fillId="13" borderId="0" xfId="0" applyNumberFormat="1" applyFont="1" applyFill="1"/>
    <xf numFmtId="44" fontId="17" fillId="5" borderId="0" xfId="1" applyFont="1" applyFill="1" applyBorder="1"/>
    <xf numFmtId="0" fontId="17" fillId="2" borderId="41" xfId="0" applyFont="1" applyFill="1" applyBorder="1"/>
    <xf numFmtId="0" fontId="17" fillId="11" borderId="41" xfId="0" applyFont="1" applyFill="1" applyBorder="1" applyAlignment="1">
      <alignment horizontal="right"/>
    </xf>
    <xf numFmtId="164" fontId="17" fillId="11" borderId="0" xfId="0" applyNumberFormat="1" applyFont="1" applyFill="1"/>
    <xf numFmtId="164" fontId="17" fillId="0" borderId="0" xfId="0" applyNumberFormat="1" applyFont="1" applyAlignment="1">
      <alignment horizontal="right"/>
    </xf>
    <xf numFmtId="0" fontId="17" fillId="0" borderId="42" xfId="0" applyFont="1" applyBorder="1" applyAlignment="1">
      <alignment horizontal="right"/>
    </xf>
    <xf numFmtId="164" fontId="17" fillId="0" borderId="30" xfId="0" applyNumberFormat="1" applyFont="1" applyBorder="1" applyAlignment="1">
      <alignment horizontal="right"/>
    </xf>
    <xf numFmtId="0" fontId="15" fillId="0" borderId="72" xfId="0" applyFont="1" applyBorder="1"/>
    <xf numFmtId="0" fontId="15" fillId="0" borderId="74" xfId="0" applyFont="1" applyBorder="1"/>
    <xf numFmtId="0" fontId="15" fillId="0" borderId="73" xfId="0" applyFont="1" applyBorder="1"/>
    <xf numFmtId="0" fontId="17" fillId="13" borderId="73" xfId="0" applyFont="1" applyFill="1" applyBorder="1" applyAlignment="1">
      <alignment horizontal="right"/>
    </xf>
    <xf numFmtId="0" fontId="17" fillId="5" borderId="73" xfId="0" applyFont="1" applyFill="1" applyBorder="1" applyAlignment="1">
      <alignment horizontal="right"/>
    </xf>
    <xf numFmtId="0" fontId="17" fillId="11" borderId="73" xfId="0" applyFont="1" applyFill="1" applyBorder="1" applyAlignment="1">
      <alignment horizontal="right"/>
    </xf>
    <xf numFmtId="0" fontId="17" fillId="2" borderId="73" xfId="0" applyFont="1" applyFill="1" applyBorder="1"/>
    <xf numFmtId="0" fontId="17" fillId="2" borderId="73" xfId="0" applyFont="1" applyFill="1" applyBorder="1" applyAlignment="1">
      <alignment horizontal="right"/>
    </xf>
    <xf numFmtId="0" fontId="17" fillId="0" borderId="73" xfId="0" applyFont="1" applyBorder="1" applyAlignment="1">
      <alignment horizontal="right"/>
    </xf>
    <xf numFmtId="0" fontId="17" fillId="0" borderId="75" xfId="0" applyFont="1" applyBorder="1" applyAlignment="1">
      <alignment horizontal="right"/>
    </xf>
    <xf numFmtId="44" fontId="17" fillId="0" borderId="76" xfId="0" applyNumberFormat="1" applyFont="1" applyBorder="1"/>
    <xf numFmtId="0" fontId="15" fillId="0" borderId="77" xfId="0" applyFont="1" applyBorder="1"/>
    <xf numFmtId="0" fontId="42" fillId="0" borderId="0" xfId="0" applyFont="1"/>
    <xf numFmtId="0" fontId="56" fillId="0" borderId="0" xfId="0" applyFont="1"/>
    <xf numFmtId="164" fontId="42" fillId="0" borderId="0" xfId="0" applyNumberFormat="1" applyFont="1"/>
    <xf numFmtId="164" fontId="15" fillId="0" borderId="0" xfId="1" applyNumberFormat="1" applyFont="1"/>
    <xf numFmtId="164" fontId="42" fillId="0" borderId="0" xfId="1" applyNumberFormat="1" applyFont="1"/>
    <xf numFmtId="164" fontId="17" fillId="0" borderId="0" xfId="1" applyNumberFormat="1" applyFont="1"/>
    <xf numFmtId="164" fontId="17" fillId="13" borderId="0" xfId="1" applyNumberFormat="1" applyFont="1" applyFill="1"/>
    <xf numFmtId="164" fontId="15" fillId="8" borderId="45" xfId="0" applyNumberFormat="1" applyFont="1" applyFill="1" applyBorder="1"/>
    <xf numFmtId="0" fontId="15" fillId="0" borderId="46" xfId="0" applyFont="1" applyBorder="1"/>
    <xf numFmtId="164" fontId="15" fillId="0" borderId="46" xfId="1" applyNumberFormat="1" applyFont="1" applyBorder="1"/>
    <xf numFmtId="164" fontId="15" fillId="0" borderId="48" xfId="1" applyNumberFormat="1" applyFont="1" applyBorder="1"/>
    <xf numFmtId="44" fontId="10" fillId="11" borderId="9" xfId="1" applyFont="1" applyFill="1" applyBorder="1" applyAlignment="1">
      <alignment vertical="top" wrapText="1"/>
    </xf>
    <xf numFmtId="44" fontId="19" fillId="11" borderId="9" xfId="1" applyFont="1" applyFill="1" applyBorder="1" applyAlignment="1">
      <alignment vertical="top" wrapText="1"/>
    </xf>
    <xf numFmtId="164" fontId="17" fillId="2" borderId="0" xfId="1" applyNumberFormat="1" applyFont="1" applyFill="1"/>
    <xf numFmtId="0" fontId="17" fillId="0" borderId="8" xfId="0" applyFont="1" applyBorder="1" applyAlignment="1">
      <alignment horizontal="right"/>
    </xf>
    <xf numFmtId="44" fontId="17" fillId="0" borderId="8" xfId="0" applyNumberFormat="1" applyFont="1" applyBorder="1"/>
    <xf numFmtId="8" fontId="10" fillId="6" borderId="16" xfId="0" applyNumberFormat="1" applyFont="1" applyFill="1" applyBorder="1" applyAlignment="1">
      <alignment horizontal="right" vertical="top" wrapText="1"/>
    </xf>
    <xf numFmtId="44" fontId="19" fillId="2" borderId="1" xfId="1" applyFont="1" applyFill="1" applyBorder="1" applyAlignment="1">
      <alignment vertical="top" wrapText="1"/>
    </xf>
    <xf numFmtId="164" fontId="15" fillId="13" borderId="46" xfId="0" applyNumberFormat="1" applyFont="1" applyFill="1" applyBorder="1"/>
    <xf numFmtId="8" fontId="10" fillId="6" borderId="27" xfId="0" applyNumberFormat="1" applyFont="1" applyFill="1" applyBorder="1" applyAlignment="1">
      <alignment horizontal="center" vertical="top" wrapText="1"/>
    </xf>
    <xf numFmtId="0" fontId="57" fillId="0" borderId="0" xfId="0" applyFont="1" applyAlignment="1">
      <alignment horizontal="left" vertical="top"/>
    </xf>
    <xf numFmtId="0" fontId="57" fillId="0" borderId="0" xfId="0" applyFont="1" applyAlignment="1">
      <alignment horizontal="center" vertical="top"/>
    </xf>
    <xf numFmtId="164" fontId="57" fillId="0" borderId="0" xfId="0" applyNumberFormat="1" applyFont="1" applyAlignment="1">
      <alignment horizontal="center" vertical="center"/>
    </xf>
    <xf numFmtId="0" fontId="58" fillId="0" borderId="0" xfId="0" applyFont="1" applyAlignment="1">
      <alignment horizontal="left" vertical="top"/>
    </xf>
    <xf numFmtId="165" fontId="59" fillId="0" borderId="40" xfId="0" applyNumberFormat="1" applyFont="1" applyBorder="1" applyAlignment="1">
      <alignment shrinkToFit="1"/>
    </xf>
    <xf numFmtId="164" fontId="59" fillId="0" borderId="0" xfId="0" applyNumberFormat="1" applyFont="1" applyAlignment="1">
      <alignment shrinkToFit="1"/>
    </xf>
    <xf numFmtId="164" fontId="59" fillId="0" borderId="0" xfId="0" applyNumberFormat="1" applyFont="1" applyAlignment="1">
      <alignment horizontal="center" vertical="center" shrinkToFit="1"/>
    </xf>
    <xf numFmtId="0" fontId="60" fillId="0" borderId="41" xfId="0" applyFont="1" applyBorder="1" applyAlignment="1">
      <alignment horizontal="right" vertical="top" wrapText="1"/>
    </xf>
    <xf numFmtId="164" fontId="10" fillId="0" borderId="0" xfId="0" applyNumberFormat="1" applyFont="1" applyAlignment="1">
      <alignment vertical="top" wrapText="1"/>
    </xf>
    <xf numFmtId="164" fontId="57" fillId="0" borderId="0" xfId="0" applyNumberFormat="1" applyFont="1" applyAlignment="1">
      <alignment horizontal="center" vertical="center" wrapText="1"/>
    </xf>
    <xf numFmtId="164" fontId="57" fillId="0" borderId="0" xfId="0" applyNumberFormat="1" applyFont="1" applyAlignment="1">
      <alignment vertical="top" wrapText="1"/>
    </xf>
    <xf numFmtId="0" fontId="10" fillId="27" borderId="78" xfId="0" applyFont="1" applyFill="1" applyBorder="1" applyAlignment="1">
      <alignment horizontal="left" vertical="center" wrapText="1" indent="5"/>
    </xf>
    <xf numFmtId="0" fontId="19" fillId="0" borderId="79" xfId="0" applyFont="1" applyBorder="1" applyAlignment="1">
      <alignment horizontal="center" vertical="center" wrapText="1"/>
    </xf>
    <xf numFmtId="164" fontId="19" fillId="0" borderId="79" xfId="0" applyNumberFormat="1" applyFont="1" applyBorder="1" applyAlignment="1">
      <alignment horizontal="center" vertical="center" wrapText="1"/>
    </xf>
    <xf numFmtId="0" fontId="19" fillId="0" borderId="80" xfId="0" applyFont="1" applyBorder="1" applyAlignment="1">
      <alignment horizontal="center" vertical="top" wrapText="1"/>
    </xf>
    <xf numFmtId="0" fontId="10" fillId="6" borderId="81" xfId="0" applyFont="1" applyFill="1" applyBorder="1" applyAlignment="1">
      <alignment horizontal="right" vertical="top" wrapText="1"/>
    </xf>
    <xf numFmtId="164" fontId="57" fillId="6" borderId="82" xfId="0" applyNumberFormat="1" applyFont="1" applyFill="1" applyBorder="1" applyAlignment="1">
      <alignment horizontal="center" vertical="top" shrinkToFit="1"/>
    </xf>
    <xf numFmtId="164" fontId="57" fillId="6" borderId="82" xfId="0" applyNumberFormat="1" applyFont="1" applyFill="1" applyBorder="1" applyAlignment="1">
      <alignment horizontal="center" vertical="center" wrapText="1"/>
    </xf>
    <xf numFmtId="164" fontId="57" fillId="6" borderId="83" xfId="0" applyNumberFormat="1" applyFont="1" applyFill="1" applyBorder="1" applyAlignment="1">
      <alignment horizontal="center" vertical="top" shrinkToFit="1"/>
    </xf>
    <xf numFmtId="0" fontId="10" fillId="28" borderId="81" xfId="0" applyFont="1" applyFill="1" applyBorder="1" applyAlignment="1">
      <alignment horizontal="right" vertical="top" wrapText="1"/>
    </xf>
    <xf numFmtId="164" fontId="57" fillId="28" borderId="82" xfId="0" applyNumberFormat="1" applyFont="1" applyFill="1" applyBorder="1" applyAlignment="1">
      <alignment horizontal="center" vertical="top" shrinkToFit="1"/>
    </xf>
    <xf numFmtId="164" fontId="57" fillId="28" borderId="82" xfId="0" applyNumberFormat="1" applyFont="1" applyFill="1" applyBorder="1" applyAlignment="1">
      <alignment horizontal="center" vertical="center" wrapText="1"/>
    </xf>
    <xf numFmtId="164" fontId="57" fillId="28" borderId="83" xfId="0" applyNumberFormat="1" applyFont="1" applyFill="1" applyBorder="1" applyAlignment="1">
      <alignment horizontal="center" vertical="top" shrinkToFit="1"/>
    </xf>
    <xf numFmtId="0" fontId="10" fillId="7" borderId="81" xfId="0" applyFont="1" applyFill="1" applyBorder="1" applyAlignment="1">
      <alignment horizontal="right" vertical="top" wrapText="1"/>
    </xf>
    <xf numFmtId="164" fontId="57" fillId="7" borderId="82" xfId="0" applyNumberFormat="1" applyFont="1" applyFill="1" applyBorder="1" applyAlignment="1">
      <alignment horizontal="center" vertical="top" shrinkToFit="1"/>
    </xf>
    <xf numFmtId="164" fontId="57" fillId="7" borderId="82" xfId="0" applyNumberFormat="1" applyFont="1" applyFill="1" applyBorder="1" applyAlignment="1">
      <alignment horizontal="center" vertical="center" wrapText="1"/>
    </xf>
    <xf numFmtId="164" fontId="57" fillId="7" borderId="83" xfId="0" applyNumberFormat="1" applyFont="1" applyFill="1" applyBorder="1" applyAlignment="1">
      <alignment horizontal="center" vertical="top" shrinkToFit="1"/>
    </xf>
    <xf numFmtId="0" fontId="10" fillId="8" borderId="81" xfId="0" applyFont="1" applyFill="1" applyBorder="1" applyAlignment="1">
      <alignment horizontal="right" vertical="top" wrapText="1"/>
    </xf>
    <xf numFmtId="164" fontId="57" fillId="8" borderId="82" xfId="0" applyNumberFormat="1" applyFont="1" applyFill="1" applyBorder="1" applyAlignment="1">
      <alignment horizontal="center" vertical="top" shrinkToFit="1"/>
    </xf>
    <xf numFmtId="164" fontId="57" fillId="8" borderId="82" xfId="0" applyNumberFormat="1" applyFont="1" applyFill="1" applyBorder="1" applyAlignment="1">
      <alignment horizontal="center" vertical="center" wrapText="1"/>
    </xf>
    <xf numFmtId="164" fontId="57" fillId="8" borderId="83" xfId="0" applyNumberFormat="1" applyFont="1" applyFill="1" applyBorder="1" applyAlignment="1">
      <alignment horizontal="center" vertical="top" shrinkToFit="1"/>
    </xf>
    <xf numFmtId="0" fontId="10" fillId="29" borderId="81" xfId="0" applyFont="1" applyFill="1" applyBorder="1" applyAlignment="1">
      <alignment horizontal="right" vertical="top" wrapText="1"/>
    </xf>
    <xf numFmtId="164" fontId="57" fillId="29" borderId="82" xfId="0" applyNumberFormat="1" applyFont="1" applyFill="1" applyBorder="1" applyAlignment="1">
      <alignment horizontal="center" vertical="top" shrinkToFit="1"/>
    </xf>
    <xf numFmtId="164" fontId="57" fillId="29" borderId="82" xfId="0" applyNumberFormat="1" applyFont="1" applyFill="1" applyBorder="1" applyAlignment="1">
      <alignment horizontal="center" vertical="center" wrapText="1"/>
    </xf>
    <xf numFmtId="164" fontId="57" fillId="29" borderId="83" xfId="0" applyNumberFormat="1" applyFont="1" applyFill="1" applyBorder="1" applyAlignment="1">
      <alignment horizontal="center" vertical="top" shrinkToFit="1"/>
    </xf>
    <xf numFmtId="0" fontId="10" fillId="30" borderId="81" xfId="0" applyFont="1" applyFill="1" applyBorder="1" applyAlignment="1">
      <alignment horizontal="right" vertical="top" wrapText="1"/>
    </xf>
    <xf numFmtId="164" fontId="57" fillId="30" borderId="82" xfId="0" applyNumberFormat="1" applyFont="1" applyFill="1" applyBorder="1" applyAlignment="1">
      <alignment horizontal="center" vertical="top" shrinkToFit="1"/>
    </xf>
    <xf numFmtId="164" fontId="57" fillId="30" borderId="82" xfId="0" applyNumberFormat="1" applyFont="1" applyFill="1" applyBorder="1" applyAlignment="1">
      <alignment horizontal="center" vertical="center" wrapText="1"/>
    </xf>
    <xf numFmtId="164" fontId="57" fillId="30" borderId="83" xfId="0" applyNumberFormat="1" applyFont="1" applyFill="1" applyBorder="1" applyAlignment="1">
      <alignment horizontal="center" vertical="top" shrinkToFit="1"/>
    </xf>
    <xf numFmtId="0" fontId="19" fillId="0" borderId="81" xfId="0" applyFont="1" applyBorder="1" applyAlignment="1">
      <alignment horizontal="right" vertical="top" wrapText="1"/>
    </xf>
    <xf numFmtId="164" fontId="59" fillId="25" borderId="82" xfId="0" applyNumberFormat="1" applyFont="1" applyFill="1" applyBorder="1" applyAlignment="1">
      <alignment horizontal="center" vertical="top" shrinkToFit="1"/>
    </xf>
    <xf numFmtId="164" fontId="57" fillId="25" borderId="82" xfId="0" applyNumberFormat="1" applyFont="1" applyFill="1" applyBorder="1" applyAlignment="1">
      <alignment horizontal="center" vertical="center" wrapText="1"/>
    </xf>
    <xf numFmtId="164" fontId="57" fillId="0" borderId="82" xfId="0" applyNumberFormat="1" applyFont="1" applyBorder="1" applyAlignment="1">
      <alignment horizontal="center" vertical="top" shrinkToFit="1"/>
    </xf>
    <xf numFmtId="164" fontId="57" fillId="0" borderId="83" xfId="0" applyNumberFormat="1" applyFont="1" applyBorder="1" applyAlignment="1">
      <alignment horizontal="center" vertical="top" shrinkToFit="1"/>
    </xf>
    <xf numFmtId="0" fontId="19" fillId="2" borderId="84" xfId="0" applyFont="1" applyFill="1" applyBorder="1" applyAlignment="1">
      <alignment horizontal="right" vertical="top" wrapText="1"/>
    </xf>
    <xf numFmtId="164" fontId="59" fillId="2" borderId="85" xfId="0" applyNumberFormat="1" applyFont="1" applyFill="1" applyBorder="1" applyAlignment="1">
      <alignment horizontal="center" vertical="top" shrinkToFit="1"/>
    </xf>
    <xf numFmtId="0" fontId="57" fillId="0" borderId="86" xfId="0" applyFont="1" applyBorder="1" applyAlignment="1">
      <alignment wrapText="1"/>
    </xf>
    <xf numFmtId="0" fontId="57" fillId="0" borderId="0" xfId="0" applyFont="1" applyAlignment="1">
      <alignment wrapText="1"/>
    </xf>
    <xf numFmtId="0" fontId="57" fillId="0" borderId="55" xfId="0" applyFont="1" applyBorder="1" applyAlignment="1">
      <alignment wrapText="1"/>
    </xf>
    <xf numFmtId="164" fontId="57" fillId="0" borderId="0" xfId="0" applyNumberFormat="1" applyFont="1" applyAlignment="1">
      <alignment wrapText="1"/>
    </xf>
    <xf numFmtId="0" fontId="19" fillId="31" borderId="2" xfId="0" applyFont="1" applyFill="1" applyBorder="1" applyAlignment="1">
      <alignment horizontal="right" vertical="top" wrapText="1"/>
    </xf>
    <xf numFmtId="164" fontId="59" fillId="31" borderId="4" xfId="0" applyNumberFormat="1" applyFont="1" applyFill="1" applyBorder="1" applyAlignment="1">
      <alignment horizontal="center" vertical="top" shrinkToFit="1"/>
    </xf>
    <xf numFmtId="0" fontId="57" fillId="0" borderId="30" xfId="0" applyFont="1" applyBorder="1" applyAlignment="1">
      <alignment wrapText="1"/>
    </xf>
    <xf numFmtId="0" fontId="57" fillId="0" borderId="43" xfId="0" applyFont="1" applyBorder="1" applyAlignment="1">
      <alignment wrapText="1"/>
    </xf>
    <xf numFmtId="0" fontId="19" fillId="0" borderId="0" xfId="0" applyFont="1" applyAlignment="1">
      <alignment horizontal="right" vertical="top" wrapText="1"/>
    </xf>
    <xf numFmtId="166" fontId="59" fillId="0" borderId="0" xfId="0" applyNumberFormat="1" applyFont="1" applyAlignment="1">
      <alignment horizontal="center" vertical="top" shrinkToFit="1"/>
    </xf>
    <xf numFmtId="164" fontId="19" fillId="0" borderId="90" xfId="0" applyNumberFormat="1" applyFont="1" applyBorder="1" applyAlignment="1">
      <alignment horizontal="center" vertical="center" wrapText="1"/>
    </xf>
    <xf numFmtId="164" fontId="19" fillId="31" borderId="45" xfId="0" applyNumberFormat="1" applyFont="1" applyFill="1" applyBorder="1" applyAlignment="1">
      <alignment horizontal="center" vertical="center" wrapText="1"/>
    </xf>
    <xf numFmtId="164" fontId="57" fillId="6" borderId="91" xfId="0" applyNumberFormat="1" applyFont="1" applyFill="1" applyBorder="1" applyAlignment="1">
      <alignment horizontal="center" vertical="top" shrinkToFit="1"/>
    </xf>
    <xf numFmtId="164" fontId="57" fillId="31" borderId="92" xfId="0" applyNumberFormat="1" applyFont="1" applyFill="1" applyBorder="1" applyAlignment="1">
      <alignment horizontal="center" vertical="center" wrapText="1"/>
    </xf>
    <xf numFmtId="164" fontId="57" fillId="0" borderId="11" xfId="0" applyNumberFormat="1" applyFont="1" applyBorder="1" applyAlignment="1">
      <alignment horizontal="center" vertical="center"/>
    </xf>
    <xf numFmtId="0" fontId="10" fillId="19" borderId="81" xfId="0" applyFont="1" applyFill="1" applyBorder="1" applyAlignment="1">
      <alignment horizontal="right" vertical="top" wrapText="1"/>
    </xf>
    <xf numFmtId="164" fontId="57" fillId="19" borderId="82" xfId="0" applyNumberFormat="1" applyFont="1" applyFill="1" applyBorder="1" applyAlignment="1">
      <alignment horizontal="center" vertical="top" shrinkToFit="1"/>
    </xf>
    <xf numFmtId="164" fontId="57" fillId="19" borderId="82" xfId="0" applyNumberFormat="1" applyFont="1" applyFill="1" applyBorder="1" applyAlignment="1">
      <alignment horizontal="center" vertical="center" wrapText="1"/>
    </xf>
    <xf numFmtId="164" fontId="57" fillId="19" borderId="91" xfId="0" applyNumberFormat="1" applyFont="1" applyFill="1" applyBorder="1" applyAlignment="1">
      <alignment horizontal="center" vertical="top" shrinkToFit="1"/>
    </xf>
    <xf numFmtId="0" fontId="10" fillId="32" borderId="81" xfId="0" applyFont="1" applyFill="1" applyBorder="1" applyAlignment="1">
      <alignment horizontal="right" vertical="top" wrapText="1"/>
    </xf>
    <xf numFmtId="164" fontId="57" fillId="32" borderId="82" xfId="0" applyNumberFormat="1" applyFont="1" applyFill="1" applyBorder="1" applyAlignment="1">
      <alignment horizontal="center" vertical="top" shrinkToFit="1"/>
    </xf>
    <xf numFmtId="164" fontId="57" fillId="32" borderId="82" xfId="0" applyNumberFormat="1" applyFont="1" applyFill="1" applyBorder="1" applyAlignment="1">
      <alignment horizontal="center" vertical="center" wrapText="1"/>
    </xf>
    <xf numFmtId="164" fontId="57" fillId="32" borderId="91" xfId="0" applyNumberFormat="1" applyFont="1" applyFill="1" applyBorder="1" applyAlignment="1">
      <alignment horizontal="center" vertical="top" shrinkToFit="1"/>
    </xf>
    <xf numFmtId="0" fontId="10" fillId="14" borderId="81" xfId="0" applyFont="1" applyFill="1" applyBorder="1" applyAlignment="1">
      <alignment horizontal="right" vertical="top" wrapText="1"/>
    </xf>
    <xf numFmtId="164" fontId="57" fillId="14" borderId="82" xfId="0" applyNumberFormat="1" applyFont="1" applyFill="1" applyBorder="1" applyAlignment="1">
      <alignment horizontal="center" vertical="top" shrinkToFit="1"/>
    </xf>
    <xf numFmtId="164" fontId="57" fillId="14" borderId="82" xfId="0" applyNumberFormat="1" applyFont="1" applyFill="1" applyBorder="1" applyAlignment="1">
      <alignment horizontal="center" vertical="center" wrapText="1"/>
    </xf>
    <xf numFmtId="164" fontId="57" fillId="14" borderId="91" xfId="0" applyNumberFormat="1" applyFont="1" applyFill="1" applyBorder="1" applyAlignment="1">
      <alignment horizontal="center" vertical="top" shrinkToFit="1"/>
    </xf>
    <xf numFmtId="164" fontId="57" fillId="8" borderId="91" xfId="0" applyNumberFormat="1" applyFont="1" applyFill="1" applyBorder="1" applyAlignment="1">
      <alignment horizontal="center" vertical="top" shrinkToFit="1"/>
    </xf>
    <xf numFmtId="0" fontId="10" fillId="33" borderId="81" xfId="0" applyFont="1" applyFill="1" applyBorder="1" applyAlignment="1">
      <alignment horizontal="right" vertical="top" wrapText="1"/>
    </xf>
    <xf numFmtId="164" fontId="57" fillId="33" borderId="82" xfId="0" applyNumberFormat="1" applyFont="1" applyFill="1" applyBorder="1" applyAlignment="1">
      <alignment horizontal="center" vertical="top" shrinkToFit="1"/>
    </xf>
    <xf numFmtId="164" fontId="57" fillId="33" borderId="85" xfId="0" applyNumberFormat="1" applyFont="1" applyFill="1" applyBorder="1" applyAlignment="1">
      <alignment horizontal="center" vertical="center" wrapText="1"/>
    </xf>
    <xf numFmtId="164" fontId="57" fillId="33" borderId="91" xfId="0" applyNumberFormat="1" applyFont="1" applyFill="1" applyBorder="1" applyAlignment="1">
      <alignment horizontal="center" vertical="top" shrinkToFit="1"/>
    </xf>
    <xf numFmtId="0" fontId="10" fillId="11" borderId="81" xfId="0" applyFont="1" applyFill="1" applyBorder="1" applyAlignment="1">
      <alignment horizontal="right" vertical="top" wrapText="1"/>
    </xf>
    <xf numFmtId="164" fontId="57" fillId="11" borderId="91" xfId="0" applyNumberFormat="1" applyFont="1" applyFill="1" applyBorder="1" applyAlignment="1">
      <alignment horizontal="center" vertical="top" shrinkToFit="1"/>
    </xf>
    <xf numFmtId="164" fontId="57" fillId="11" borderId="1" xfId="0" applyNumberFormat="1" applyFont="1" applyFill="1" applyBorder="1" applyAlignment="1">
      <alignment horizontal="center" vertical="center" wrapText="1"/>
    </xf>
    <xf numFmtId="164" fontId="57" fillId="11" borderId="93" xfId="0" applyNumberFormat="1" applyFont="1" applyFill="1" applyBorder="1" applyAlignment="1">
      <alignment horizontal="center" vertical="top" shrinkToFit="1"/>
    </xf>
    <xf numFmtId="164" fontId="57" fillId="0" borderId="13" xfId="0" applyNumberFormat="1" applyFont="1" applyBorder="1" applyAlignment="1">
      <alignment horizontal="center" vertical="center"/>
    </xf>
    <xf numFmtId="164" fontId="57" fillId="31" borderId="94" xfId="0" applyNumberFormat="1" applyFont="1" applyFill="1" applyBorder="1" applyAlignment="1">
      <alignment horizontal="center" vertical="center" wrapText="1"/>
    </xf>
    <xf numFmtId="0" fontId="19" fillId="2" borderId="95" xfId="0" applyFont="1" applyFill="1" applyBorder="1" applyAlignment="1">
      <alignment horizontal="right" vertical="top" wrapText="1"/>
    </xf>
    <xf numFmtId="164" fontId="59" fillId="2" borderId="96" xfId="0" applyNumberFormat="1" applyFont="1" applyFill="1" applyBorder="1" applyAlignment="1">
      <alignment horizontal="center" vertical="center" shrinkToFit="1"/>
    </xf>
    <xf numFmtId="164" fontId="57" fillId="0" borderId="97" xfId="0" applyNumberFormat="1" applyFont="1" applyBorder="1" applyAlignment="1">
      <alignment wrapText="1"/>
    </xf>
    <xf numFmtId="164" fontId="57" fillId="0" borderId="30" xfId="0" applyNumberFormat="1" applyFont="1" applyBorder="1" applyAlignment="1">
      <alignment wrapText="1"/>
    </xf>
    <xf numFmtId="164" fontId="57" fillId="31" borderId="90" xfId="0" applyNumberFormat="1" applyFont="1" applyFill="1" applyBorder="1" applyAlignment="1">
      <alignment horizontal="right" wrapText="1"/>
    </xf>
    <xf numFmtId="164" fontId="57" fillId="31" borderId="48" xfId="0" applyNumberFormat="1" applyFont="1" applyFill="1" applyBorder="1" applyAlignment="1">
      <alignment horizontal="center" vertical="center" wrapText="1"/>
    </xf>
    <xf numFmtId="0" fontId="10" fillId="0" borderId="0" xfId="0" applyFont="1" applyAlignment="1">
      <alignment horizontal="right" vertical="top" wrapText="1"/>
    </xf>
    <xf numFmtId="166" fontId="57" fillId="0" borderId="0" xfId="0" applyNumberFormat="1" applyFont="1" applyAlignment="1">
      <alignment horizontal="center" vertical="top" shrinkToFit="1"/>
    </xf>
    <xf numFmtId="164" fontId="57" fillId="24" borderId="99" xfId="0" applyNumberFormat="1" applyFont="1" applyFill="1" applyBorder="1" applyAlignment="1">
      <alignment horizontal="center" vertical="top" shrinkToFit="1"/>
    </xf>
    <xf numFmtId="0" fontId="57" fillId="0" borderId="5" xfId="0" applyFont="1" applyBorder="1" applyAlignment="1">
      <alignment wrapText="1"/>
    </xf>
    <xf numFmtId="164" fontId="57" fillId="0" borderId="5" xfId="0" applyNumberFormat="1" applyFont="1" applyBorder="1" applyAlignment="1">
      <alignment wrapText="1"/>
    </xf>
    <xf numFmtId="164" fontId="57" fillId="0" borderId="19" xfId="0" applyNumberFormat="1" applyFont="1" applyBorder="1" applyAlignment="1">
      <alignment horizontal="center" vertical="center" wrapText="1"/>
    </xf>
    <xf numFmtId="164" fontId="57" fillId="34" borderId="82" xfId="0" applyNumberFormat="1" applyFont="1" applyFill="1" applyBorder="1" applyAlignment="1">
      <alignment horizontal="center" vertical="top" shrinkToFit="1"/>
    </xf>
    <xf numFmtId="164" fontId="57" fillId="0" borderId="55" xfId="0" applyNumberFormat="1" applyFont="1" applyBorder="1" applyAlignment="1">
      <alignment horizontal="center" vertical="center" wrapText="1"/>
    </xf>
    <xf numFmtId="164" fontId="57" fillId="0" borderId="102" xfId="0" applyNumberFormat="1" applyFont="1" applyBorder="1" applyAlignment="1">
      <alignment horizontal="center" vertical="center" wrapText="1"/>
    </xf>
    <xf numFmtId="0" fontId="19" fillId="2" borderId="103" xfId="0" applyFont="1" applyFill="1" applyBorder="1" applyAlignment="1">
      <alignment vertical="top" wrapText="1"/>
    </xf>
    <xf numFmtId="0" fontId="19" fillId="2" borderId="104" xfId="0" applyFont="1" applyFill="1" applyBorder="1" applyAlignment="1">
      <alignment vertical="top" wrapText="1"/>
    </xf>
    <xf numFmtId="164" fontId="19" fillId="2" borderId="96" xfId="0" applyNumberFormat="1" applyFont="1" applyFill="1" applyBorder="1" applyAlignment="1">
      <alignment horizontal="center" vertical="top" shrinkToFit="1"/>
    </xf>
    <xf numFmtId="164" fontId="57" fillId="0" borderId="43" xfId="0" applyNumberFormat="1" applyFont="1" applyBorder="1" applyAlignment="1">
      <alignment horizontal="center" vertical="center" wrapText="1"/>
    </xf>
    <xf numFmtId="0" fontId="61" fillId="0" borderId="0" xfId="0" applyFont="1" applyAlignment="1">
      <alignment horizontal="right" vertical="top" wrapText="1"/>
    </xf>
    <xf numFmtId="164" fontId="58" fillId="0" borderId="0" xfId="0" applyNumberFormat="1" applyFont="1" applyAlignment="1">
      <alignment horizontal="center" vertical="center" wrapText="1"/>
    </xf>
    <xf numFmtId="0" fontId="58" fillId="0" borderId="0" xfId="0" applyFont="1" applyAlignment="1">
      <alignment horizontal="left" wrapText="1"/>
    </xf>
    <xf numFmtId="0" fontId="58" fillId="0" borderId="0" xfId="0" applyFont="1" applyAlignment="1">
      <alignment horizontal="center" wrapText="1"/>
    </xf>
    <xf numFmtId="0" fontId="61" fillId="0" borderId="0" xfId="0" applyFont="1" applyAlignment="1">
      <alignment vertical="top" wrapText="1"/>
    </xf>
    <xf numFmtId="0" fontId="63" fillId="0" borderId="0" xfId="0" applyFont="1" applyAlignment="1">
      <alignment wrapText="1"/>
    </xf>
    <xf numFmtId="164" fontId="63" fillId="0" borderId="0" xfId="0" applyNumberFormat="1" applyFont="1" applyAlignment="1">
      <alignment wrapText="1"/>
    </xf>
    <xf numFmtId="0" fontId="61" fillId="32" borderId="1" xfId="0" applyFont="1" applyFill="1" applyBorder="1" applyAlignment="1">
      <alignment horizontal="left" vertical="top" wrapText="1"/>
    </xf>
    <xf numFmtId="164" fontId="62" fillId="32" borderId="1" xfId="0" applyNumberFormat="1" applyFont="1" applyFill="1" applyBorder="1" applyAlignment="1">
      <alignment horizontal="center" vertical="top" shrinkToFit="1"/>
    </xf>
    <xf numFmtId="164" fontId="58" fillId="31" borderId="1" xfId="0" applyNumberFormat="1" applyFont="1" applyFill="1" applyBorder="1" applyAlignment="1">
      <alignment vertical="center" wrapText="1"/>
    </xf>
    <xf numFmtId="0" fontId="58" fillId="0" borderId="0" xfId="0" applyFont="1" applyAlignment="1">
      <alignment vertical="center" wrapText="1"/>
    </xf>
    <xf numFmtId="0" fontId="61" fillId="31" borderId="1" xfId="0" applyFont="1" applyFill="1" applyBorder="1" applyAlignment="1">
      <alignment horizontal="left" vertical="top" wrapText="1"/>
    </xf>
    <xf numFmtId="164" fontId="62" fillId="31" borderId="1" xfId="0" applyNumberFormat="1" applyFont="1" applyFill="1" applyBorder="1" applyAlignment="1">
      <alignment horizontal="center" vertical="top" shrinkToFit="1"/>
    </xf>
    <xf numFmtId="0" fontId="61" fillId="32" borderId="1" xfId="0" applyFont="1" applyFill="1" applyBorder="1" applyAlignment="1">
      <alignment vertical="top" wrapText="1"/>
    </xf>
    <xf numFmtId="164" fontId="62" fillId="32" borderId="1" xfId="0" applyNumberFormat="1" applyFont="1" applyFill="1" applyBorder="1" applyAlignment="1">
      <alignment vertical="top" shrinkToFit="1"/>
    </xf>
    <xf numFmtId="164" fontId="61" fillId="31" borderId="1" xfId="0" applyNumberFormat="1" applyFont="1" applyFill="1" applyBorder="1" applyAlignment="1">
      <alignment vertical="top" wrapText="1"/>
    </xf>
    <xf numFmtId="164" fontId="62" fillId="0" borderId="0" xfId="0" applyNumberFormat="1" applyFont="1" applyAlignment="1">
      <alignment horizontal="center" vertical="center" shrinkToFit="1"/>
    </xf>
    <xf numFmtId="164" fontId="58" fillId="31" borderId="1" xfId="0" applyNumberFormat="1" applyFont="1" applyFill="1" applyBorder="1" applyAlignment="1">
      <alignment vertical="top" wrapText="1"/>
    </xf>
    <xf numFmtId="0" fontId="58" fillId="0" borderId="0" xfId="0" applyFont="1" applyAlignment="1">
      <alignment vertical="top" wrapText="1"/>
    </xf>
    <xf numFmtId="164" fontId="58" fillId="0" borderId="0" xfId="0" applyNumberFormat="1" applyFont="1" applyAlignment="1">
      <alignment vertical="top" wrapText="1"/>
    </xf>
    <xf numFmtId="164" fontId="62" fillId="0" borderId="1" xfId="0" applyNumberFormat="1" applyFont="1" applyBorder="1" applyAlignment="1">
      <alignment horizontal="center" vertical="top" shrinkToFit="1"/>
    </xf>
    <xf numFmtId="164" fontId="58" fillId="0" borderId="1" xfId="0" applyNumberFormat="1" applyFont="1" applyBorder="1" applyAlignment="1">
      <alignment vertical="top" wrapText="1"/>
    </xf>
    <xf numFmtId="0" fontId="61" fillId="0" borderId="0" xfId="0" applyFont="1" applyAlignment="1">
      <alignment horizontal="left" vertical="top" wrapText="1"/>
    </xf>
    <xf numFmtId="164" fontId="64" fillId="2" borderId="11" xfId="0" applyNumberFormat="1" applyFont="1" applyFill="1" applyBorder="1" applyAlignment="1">
      <alignment horizontal="center" vertical="top" shrinkToFit="1"/>
    </xf>
    <xf numFmtId="164" fontId="65" fillId="2" borderId="12" xfId="0" applyNumberFormat="1" applyFont="1" applyFill="1" applyBorder="1" applyAlignment="1">
      <alignment vertical="top" wrapText="1"/>
    </xf>
    <xf numFmtId="164" fontId="62" fillId="0" borderId="0" xfId="0" applyNumberFormat="1" applyFont="1" applyAlignment="1">
      <alignment horizontal="center" vertical="top" shrinkToFit="1"/>
    </xf>
    <xf numFmtId="0" fontId="58" fillId="0" borderId="0" xfId="0" applyFont="1" applyAlignment="1">
      <alignment horizontal="center" vertical="top"/>
    </xf>
    <xf numFmtId="164" fontId="58" fillId="0" borderId="0" xfId="0" applyNumberFormat="1" applyFont="1" applyAlignment="1">
      <alignment horizontal="center" vertical="center"/>
    </xf>
    <xf numFmtId="0" fontId="58" fillId="35" borderId="0" xfId="0" applyFont="1" applyFill="1" applyAlignment="1">
      <alignment horizontal="left" vertical="top"/>
    </xf>
    <xf numFmtId="0" fontId="58" fillId="35" borderId="0" xfId="0" applyFont="1" applyFill="1" applyAlignment="1">
      <alignment vertical="top"/>
    </xf>
    <xf numFmtId="0" fontId="19" fillId="0" borderId="106" xfId="0" applyFont="1" applyBorder="1" applyAlignment="1">
      <alignment horizontal="center" vertical="center" wrapText="1"/>
    </xf>
    <xf numFmtId="164" fontId="57" fillId="28" borderId="91" xfId="0" applyNumberFormat="1" applyFont="1" applyFill="1" applyBorder="1" applyAlignment="1">
      <alignment horizontal="center" vertical="top" shrinkToFit="1"/>
    </xf>
    <xf numFmtId="164" fontId="57" fillId="7" borderId="91" xfId="0" applyNumberFormat="1" applyFont="1" applyFill="1" applyBorder="1" applyAlignment="1">
      <alignment horizontal="center" vertical="top" shrinkToFit="1"/>
    </xf>
    <xf numFmtId="164" fontId="57" fillId="29" borderId="91" xfId="0" applyNumberFormat="1" applyFont="1" applyFill="1" applyBorder="1" applyAlignment="1">
      <alignment horizontal="center" vertical="top" shrinkToFit="1"/>
    </xf>
    <xf numFmtId="164" fontId="57" fillId="30" borderId="91" xfId="0" applyNumberFormat="1" applyFont="1" applyFill="1" applyBorder="1" applyAlignment="1">
      <alignment horizontal="center" vertical="top" shrinkToFit="1"/>
    </xf>
    <xf numFmtId="164" fontId="57" fillId="0" borderId="91" xfId="0" applyNumberFormat="1" applyFont="1" applyBorder="1" applyAlignment="1">
      <alignment horizontal="center" vertical="top" shrinkToFit="1"/>
    </xf>
    <xf numFmtId="164" fontId="57" fillId="0" borderId="1" xfId="0" applyNumberFormat="1" applyFont="1" applyBorder="1" applyAlignment="1">
      <alignment horizontal="center" vertical="center" wrapText="1"/>
    </xf>
    <xf numFmtId="164" fontId="57" fillId="0" borderId="93" xfId="0" applyNumberFormat="1" applyFont="1" applyBorder="1" applyAlignment="1">
      <alignment horizontal="center" vertical="top" shrinkToFit="1"/>
    </xf>
    <xf numFmtId="164" fontId="57" fillId="0" borderId="101" xfId="0" applyNumberFormat="1" applyFont="1" applyBorder="1" applyAlignment="1">
      <alignment horizontal="center" vertical="top" shrinkToFit="1"/>
    </xf>
    <xf numFmtId="0" fontId="58" fillId="2" borderId="0" xfId="0" applyFont="1" applyFill="1" applyAlignment="1">
      <alignment horizontal="left" vertical="top"/>
    </xf>
    <xf numFmtId="0" fontId="9" fillId="22" borderId="0" xfId="0" applyFont="1" applyFill="1"/>
    <xf numFmtId="0" fontId="10" fillId="22" borderId="0" xfId="0" applyFont="1" applyFill="1" applyAlignment="1">
      <alignment horizontal="center" vertical="top" wrapText="1"/>
    </xf>
    <xf numFmtId="0" fontId="2"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9" fillId="0" borderId="0" xfId="0" applyFont="1" applyAlignment="1">
      <alignment vertical="top"/>
    </xf>
    <xf numFmtId="0" fontId="13" fillId="0" borderId="0" xfId="0" applyFont="1" applyAlignment="1">
      <alignment vertical="top"/>
    </xf>
    <xf numFmtId="0" fontId="19" fillId="11" borderId="0" xfId="0" applyFont="1" applyFill="1" applyAlignment="1">
      <alignment horizontal="center" vertical="top" wrapText="1"/>
    </xf>
    <xf numFmtId="0" fontId="9" fillId="22" borderId="0" xfId="0" applyFont="1" applyFill="1" applyAlignment="1">
      <alignment vertical="top"/>
    </xf>
    <xf numFmtId="0" fontId="0" fillId="0" borderId="0" xfId="0" applyAlignment="1">
      <alignment vertical="top"/>
    </xf>
    <xf numFmtId="0" fontId="15" fillId="0" borderId="0" xfId="0" applyFont="1" applyAlignment="1">
      <alignment horizontal="center" vertical="center"/>
    </xf>
    <xf numFmtId="164" fontId="15" fillId="0" borderId="0" xfId="0" applyNumberFormat="1" applyFont="1" applyAlignment="1">
      <alignment horizontal="center" vertical="center"/>
    </xf>
    <xf numFmtId="0" fontId="15" fillId="0" borderId="0" xfId="0" applyFont="1" applyAlignment="1">
      <alignment horizontal="right" vertical="center"/>
    </xf>
    <xf numFmtId="164" fontId="15" fillId="32" borderId="0" xfId="0" applyNumberFormat="1" applyFont="1" applyFill="1" applyAlignment="1">
      <alignment horizontal="center" vertical="center"/>
    </xf>
    <xf numFmtId="164" fontId="15" fillId="32" borderId="55" xfId="0" applyNumberFormat="1" applyFont="1" applyFill="1" applyBorder="1"/>
    <xf numFmtId="164" fontId="15" fillId="15" borderId="0" xfId="0" applyNumberFormat="1" applyFont="1" applyFill="1"/>
    <xf numFmtId="164" fontId="17" fillId="15" borderId="55" xfId="0" applyNumberFormat="1" applyFont="1" applyFill="1" applyBorder="1"/>
    <xf numFmtId="0" fontId="13" fillId="22" borderId="0" xfId="0" applyFont="1" applyFill="1" applyAlignment="1">
      <alignment vertical="top"/>
    </xf>
    <xf numFmtId="0" fontId="9" fillId="22" borderId="0" xfId="0" applyFont="1" applyFill="1" applyAlignment="1">
      <alignment vertical="top" wrapText="1"/>
    </xf>
    <xf numFmtId="0" fontId="10" fillId="22" borderId="0" xfId="0" applyFont="1" applyFill="1" applyAlignment="1">
      <alignment horizontal="left" vertical="top" wrapText="1"/>
    </xf>
    <xf numFmtId="0" fontId="13" fillId="22" borderId="0" xfId="0" applyFont="1" applyFill="1" applyAlignment="1">
      <alignment vertical="top" wrapText="1"/>
    </xf>
    <xf numFmtId="8" fontId="13" fillId="0" borderId="0" xfId="0" applyNumberFormat="1" applyFont="1"/>
    <xf numFmtId="0" fontId="14" fillId="22" borderId="0" xfId="0" applyFont="1" applyFill="1" applyAlignment="1">
      <alignment horizontal="center" vertical="top" wrapText="1"/>
    </xf>
    <xf numFmtId="8" fontId="13" fillId="22" borderId="0" xfId="0" applyNumberFormat="1" applyFont="1" applyFill="1" applyAlignment="1">
      <alignment vertical="top"/>
    </xf>
    <xf numFmtId="0" fontId="14" fillId="2" borderId="0" xfId="0" applyFont="1" applyFill="1" applyAlignment="1">
      <alignment vertical="top"/>
    </xf>
    <xf numFmtId="0" fontId="9" fillId="8" borderId="0" xfId="0" applyFont="1" applyFill="1" applyAlignment="1">
      <alignment vertical="top"/>
    </xf>
    <xf numFmtId="8" fontId="10" fillId="8" borderId="1" xfId="0" applyNumberFormat="1" applyFont="1" applyFill="1" applyBorder="1" applyAlignment="1">
      <alignment horizontal="right" vertical="top" wrapText="1"/>
    </xf>
    <xf numFmtId="0" fontId="19" fillId="22" borderId="0" xfId="0" applyFont="1" applyFill="1" applyAlignment="1">
      <alignment horizontal="center" vertical="top" wrapText="1"/>
    </xf>
    <xf numFmtId="0" fontId="9" fillId="22" borderId="0" xfId="0" applyFont="1" applyFill="1" applyAlignment="1">
      <alignment horizontal="center" vertical="top" wrapText="1"/>
    </xf>
    <xf numFmtId="0" fontId="20" fillId="22" borderId="0" xfId="0" applyFont="1" applyFill="1" applyAlignment="1">
      <alignment horizontal="left" vertical="top" wrapText="1"/>
    </xf>
    <xf numFmtId="8" fontId="19" fillId="10" borderId="16" xfId="0" applyNumberFormat="1" applyFont="1" applyFill="1" applyBorder="1" applyAlignment="1">
      <alignment horizontal="right" vertical="top" wrapText="1"/>
    </xf>
    <xf numFmtId="44" fontId="15" fillId="0" borderId="1" xfId="1" applyFont="1" applyFill="1" applyBorder="1"/>
    <xf numFmtId="0" fontId="17" fillId="7" borderId="41" xfId="0" applyFont="1" applyFill="1" applyBorder="1" applyAlignment="1">
      <alignment horizontal="right"/>
    </xf>
    <xf numFmtId="164" fontId="17" fillId="7" borderId="55" xfId="0" applyNumberFormat="1" applyFont="1" applyFill="1" applyBorder="1"/>
    <xf numFmtId="0" fontId="68" fillId="0" borderId="0" xfId="0" applyFont="1"/>
    <xf numFmtId="0" fontId="68" fillId="0" borderId="41" xfId="0" applyFont="1" applyBorder="1"/>
    <xf numFmtId="164" fontId="68" fillId="0" borderId="55" xfId="0" applyNumberFormat="1" applyFont="1" applyBorder="1"/>
    <xf numFmtId="0" fontId="68" fillId="0" borderId="41" xfId="0" applyFont="1" applyBorder="1" applyAlignment="1">
      <alignment horizontal="right"/>
    </xf>
    <xf numFmtId="8" fontId="68" fillId="0" borderId="55" xfId="0" applyNumberFormat="1" applyFont="1" applyBorder="1"/>
    <xf numFmtId="0" fontId="67" fillId="2" borderId="42" xfId="0" applyFont="1" applyFill="1" applyBorder="1" applyAlignment="1">
      <alignment horizontal="right"/>
    </xf>
    <xf numFmtId="164" fontId="67" fillId="2" borderId="43" xfId="0" applyNumberFormat="1" applyFont="1" applyFill="1" applyBorder="1"/>
    <xf numFmtId="8" fontId="17" fillId="0" borderId="55" xfId="0" applyNumberFormat="1" applyFont="1" applyBorder="1"/>
    <xf numFmtId="164" fontId="10" fillId="11" borderId="1" xfId="0" applyNumberFormat="1" applyFont="1" applyFill="1" applyBorder="1" applyAlignment="1">
      <alignment horizontal="right" vertical="top" wrapText="1"/>
    </xf>
    <xf numFmtId="44" fontId="15" fillId="0" borderId="0" xfId="1" applyFont="1" applyFill="1" applyBorder="1" applyAlignment="1">
      <alignment horizontal="center"/>
    </xf>
    <xf numFmtId="164" fontId="15" fillId="11" borderId="46" xfId="0" applyNumberFormat="1" applyFont="1" applyFill="1" applyBorder="1"/>
    <xf numFmtId="164" fontId="17" fillId="8" borderId="30" xfId="0" applyNumberFormat="1" applyFont="1" applyFill="1" applyBorder="1"/>
    <xf numFmtId="44" fontId="17" fillId="8" borderId="43" xfId="0" applyNumberFormat="1" applyFont="1" applyFill="1" applyBorder="1"/>
    <xf numFmtId="164" fontId="17" fillId="8" borderId="43" xfId="0" applyNumberFormat="1" applyFont="1" applyFill="1" applyBorder="1"/>
    <xf numFmtId="164" fontId="17" fillId="8" borderId="0" xfId="0" applyNumberFormat="1" applyFont="1" applyFill="1"/>
    <xf numFmtId="0" fontId="15" fillId="8" borderId="0" xfId="0" applyFont="1" applyFill="1"/>
    <xf numFmtId="164" fontId="15" fillId="8" borderId="30" xfId="0" applyNumberFormat="1" applyFont="1" applyFill="1" applyBorder="1"/>
    <xf numFmtId="164" fontId="15" fillId="8" borderId="0" xfId="0" applyNumberFormat="1" applyFont="1" applyFill="1"/>
    <xf numFmtId="164" fontId="15" fillId="8" borderId="43" xfId="0" applyNumberFormat="1" applyFont="1" applyFill="1" applyBorder="1"/>
    <xf numFmtId="164" fontId="13" fillId="0" borderId="0" xfId="0" applyNumberFormat="1" applyFont="1"/>
    <xf numFmtId="0" fontId="10" fillId="6" borderId="13" xfId="0" applyFont="1" applyFill="1" applyBorder="1" applyAlignment="1">
      <alignment vertical="top" wrapText="1"/>
    </xf>
    <xf numFmtId="0" fontId="19" fillId="6" borderId="7" xfId="0" applyFont="1" applyFill="1" applyBorder="1" applyAlignment="1">
      <alignment vertical="top" wrapText="1"/>
    </xf>
    <xf numFmtId="44" fontId="15" fillId="0" borderId="1" xfId="0" applyNumberFormat="1" applyFont="1" applyBorder="1"/>
    <xf numFmtId="0" fontId="9" fillId="6" borderId="0" xfId="0" applyFont="1" applyFill="1" applyAlignment="1">
      <alignment horizontal="center" vertical="center" wrapText="1"/>
    </xf>
    <xf numFmtId="0" fontId="56" fillId="0" borderId="57" xfId="0" applyFont="1" applyBorder="1"/>
    <xf numFmtId="44" fontId="15" fillId="13" borderId="1" xfId="1" applyFont="1" applyFill="1" applyBorder="1"/>
    <xf numFmtId="44" fontId="15" fillId="0" borderId="1" xfId="1" applyFont="1" applyBorder="1" applyAlignment="1">
      <alignment horizontal="center"/>
    </xf>
    <xf numFmtId="0" fontId="15" fillId="13" borderId="0" xfId="0" applyFont="1" applyFill="1" applyAlignment="1">
      <alignment horizontal="center"/>
    </xf>
    <xf numFmtId="0" fontId="17" fillId="2" borderId="42" xfId="0" applyFont="1" applyFill="1" applyBorder="1" applyAlignment="1">
      <alignment horizontal="center"/>
    </xf>
    <xf numFmtId="0" fontId="17" fillId="2" borderId="19" xfId="0" applyFont="1" applyFill="1" applyBorder="1" applyAlignment="1">
      <alignment horizontal="center"/>
    </xf>
    <xf numFmtId="0" fontId="15" fillId="38" borderId="1" xfId="0" applyFont="1" applyFill="1" applyBorder="1"/>
    <xf numFmtId="44" fontId="15" fillId="38" borderId="1" xfId="1" applyFont="1" applyFill="1" applyBorder="1" applyAlignment="1">
      <alignment horizontal="center"/>
    </xf>
    <xf numFmtId="44" fontId="17" fillId="0" borderId="0" xfId="1" applyFont="1" applyFill="1"/>
    <xf numFmtId="44" fontId="17" fillId="2" borderId="0" xfId="1" applyFont="1" applyFill="1"/>
    <xf numFmtId="44" fontId="15" fillId="0" borderId="15" xfId="1" applyFont="1" applyFill="1" applyBorder="1"/>
    <xf numFmtId="164" fontId="17" fillId="0" borderId="19" xfId="0" applyNumberFormat="1" applyFont="1" applyBorder="1"/>
    <xf numFmtId="0" fontId="15" fillId="38" borderId="20" xfId="0" applyFont="1" applyFill="1" applyBorder="1"/>
    <xf numFmtId="0" fontId="15" fillId="38" borderId="60" xfId="0" applyFont="1" applyFill="1" applyBorder="1"/>
    <xf numFmtId="44" fontId="15" fillId="38" borderId="60" xfId="1" applyFont="1" applyFill="1" applyBorder="1" applyAlignment="1">
      <alignment horizontal="center"/>
    </xf>
    <xf numFmtId="0" fontId="15" fillId="38" borderId="21" xfId="0" applyFont="1" applyFill="1" applyBorder="1"/>
    <xf numFmtId="0" fontId="15" fillId="38" borderId="23" xfId="0" applyFont="1" applyFill="1" applyBorder="1"/>
    <xf numFmtId="0" fontId="15" fillId="38" borderId="107" xfId="0" applyFont="1" applyFill="1" applyBorder="1"/>
    <xf numFmtId="44" fontId="15" fillId="38" borderId="107" xfId="1" applyFont="1" applyFill="1" applyBorder="1" applyAlignment="1">
      <alignment horizontal="center"/>
    </xf>
    <xf numFmtId="44" fontId="15" fillId="13" borderId="9" xfId="1" applyFont="1" applyFill="1" applyBorder="1" applyAlignment="1">
      <alignment horizontal="center"/>
    </xf>
    <xf numFmtId="0" fontId="17" fillId="15" borderId="0" xfId="0" applyFont="1" applyFill="1" applyAlignment="1">
      <alignment horizontal="center"/>
    </xf>
    <xf numFmtId="44" fontId="15" fillId="13" borderId="9" xfId="1" applyFont="1" applyFill="1" applyBorder="1"/>
    <xf numFmtId="0" fontId="15" fillId="38" borderId="108" xfId="0" applyFont="1" applyFill="1" applyBorder="1"/>
    <xf numFmtId="44" fontId="15" fillId="38" borderId="59" xfId="1" applyFont="1" applyFill="1" applyBorder="1"/>
    <xf numFmtId="0" fontId="15" fillId="38" borderId="42" xfId="0" applyFont="1" applyFill="1" applyBorder="1"/>
    <xf numFmtId="44" fontId="15" fillId="38" borderId="31" xfId="1" applyFont="1" applyFill="1" applyBorder="1"/>
    <xf numFmtId="0" fontId="15" fillId="38" borderId="2" xfId="0" applyFont="1" applyFill="1" applyBorder="1"/>
    <xf numFmtId="0" fontId="15" fillId="38" borderId="62" xfId="0" applyFont="1" applyFill="1" applyBorder="1"/>
    <xf numFmtId="44" fontId="15" fillId="38" borderId="63" xfId="1" applyFont="1" applyFill="1" applyBorder="1"/>
    <xf numFmtId="0" fontId="15" fillId="38" borderId="27" xfId="0" applyFont="1" applyFill="1" applyBorder="1" applyAlignment="1">
      <alignment horizontal="center"/>
    </xf>
    <xf numFmtId="0" fontId="15" fillId="0" borderId="9" xfId="0" applyFont="1" applyBorder="1" applyAlignment="1">
      <alignment horizontal="left"/>
    </xf>
    <xf numFmtId="0" fontId="15" fillId="0" borderId="16" xfId="0" applyFont="1" applyBorder="1"/>
    <xf numFmtId="0" fontId="15" fillId="0" borderId="16" xfId="0" applyFont="1" applyBorder="1" applyAlignment="1">
      <alignment horizontal="center"/>
    </xf>
    <xf numFmtId="0" fontId="15" fillId="2" borderId="20" xfId="0" applyFont="1" applyFill="1" applyBorder="1"/>
    <xf numFmtId="0" fontId="15" fillId="2" borderId="60" xfId="0" applyFont="1" applyFill="1" applyBorder="1"/>
    <xf numFmtId="44" fontId="15" fillId="2" borderId="60" xfId="1" applyFont="1" applyFill="1" applyBorder="1" applyAlignment="1">
      <alignment horizontal="center"/>
    </xf>
    <xf numFmtId="0" fontId="15" fillId="2" borderId="23" xfId="0" applyFont="1" applyFill="1" applyBorder="1"/>
    <xf numFmtId="0" fontId="15" fillId="2" borderId="107" xfId="0" applyFont="1" applyFill="1" applyBorder="1"/>
    <xf numFmtId="44" fontId="15" fillId="2" borderId="107" xfId="1" applyFont="1" applyFill="1" applyBorder="1" applyAlignment="1">
      <alignment horizontal="center"/>
    </xf>
    <xf numFmtId="44" fontId="15" fillId="0" borderId="10" xfId="1" applyFont="1" applyFill="1" applyBorder="1" applyAlignment="1">
      <alignment horizontal="center"/>
    </xf>
    <xf numFmtId="0" fontId="15" fillId="2" borderId="40" xfId="0" applyFont="1" applyFill="1" applyBorder="1"/>
    <xf numFmtId="0" fontId="15" fillId="2" borderId="5" xfId="0" applyFont="1" applyFill="1" applyBorder="1"/>
    <xf numFmtId="44" fontId="15" fillId="2" borderId="5" xfId="1" applyFont="1" applyFill="1" applyBorder="1" applyAlignment="1">
      <alignment horizontal="center"/>
    </xf>
    <xf numFmtId="0" fontId="15" fillId="2" borderId="42" xfId="0" applyFont="1" applyFill="1" applyBorder="1"/>
    <xf numFmtId="0" fontId="15" fillId="2" borderId="30" xfId="0" applyFont="1" applyFill="1" applyBorder="1"/>
    <xf numFmtId="44" fontId="15" fillId="2" borderId="30" xfId="1" applyFont="1" applyFill="1" applyBorder="1" applyAlignment="1">
      <alignment horizontal="center"/>
    </xf>
    <xf numFmtId="0" fontId="15" fillId="2" borderId="30" xfId="0" applyFont="1" applyFill="1" applyBorder="1" applyAlignment="1">
      <alignment horizontal="center" vertical="center"/>
    </xf>
    <xf numFmtId="44" fontId="15" fillId="13" borderId="10" xfId="1" applyFont="1" applyFill="1" applyBorder="1" applyAlignment="1">
      <alignment horizontal="center"/>
    </xf>
    <xf numFmtId="44" fontId="15" fillId="38" borderId="1" xfId="1" applyFont="1" applyFill="1" applyBorder="1"/>
    <xf numFmtId="44" fontId="52" fillId="0" borderId="43" xfId="0" applyNumberFormat="1" applyFont="1" applyBorder="1"/>
    <xf numFmtId="44" fontId="15" fillId="2" borderId="43" xfId="0" applyNumberFormat="1" applyFont="1" applyFill="1" applyBorder="1"/>
    <xf numFmtId="0" fontId="17" fillId="2" borderId="5" xfId="0" applyFont="1" applyFill="1" applyBorder="1"/>
    <xf numFmtId="8" fontId="15" fillId="2" borderId="30" xfId="0" applyNumberFormat="1" applyFont="1" applyFill="1" applyBorder="1"/>
    <xf numFmtId="44" fontId="15" fillId="2" borderId="5" xfId="0" applyNumberFormat="1" applyFont="1" applyFill="1" applyBorder="1"/>
    <xf numFmtId="44" fontId="9" fillId="0" borderId="0" xfId="0" applyNumberFormat="1" applyFont="1"/>
    <xf numFmtId="0" fontId="69" fillId="0" borderId="0" xfId="0" applyFont="1"/>
    <xf numFmtId="164" fontId="69" fillId="0" borderId="0" xfId="0" applyNumberFormat="1" applyFont="1"/>
    <xf numFmtId="0" fontId="69" fillId="38" borderId="21" xfId="0" applyFont="1" applyFill="1" applyBorder="1"/>
    <xf numFmtId="44" fontId="69" fillId="38" borderId="22" xfId="1" applyFont="1" applyFill="1" applyBorder="1" applyAlignment="1">
      <alignment horizontal="center"/>
    </xf>
    <xf numFmtId="44" fontId="69" fillId="38" borderId="22" xfId="1" applyFont="1" applyFill="1" applyBorder="1"/>
    <xf numFmtId="0" fontId="69" fillId="0" borderId="42" xfId="0" applyFont="1" applyBorder="1"/>
    <xf numFmtId="0" fontId="52" fillId="2" borderId="0" xfId="0" applyFont="1" applyFill="1" applyAlignment="1">
      <alignment horizontal="center"/>
    </xf>
    <xf numFmtId="164" fontId="57" fillId="0" borderId="0" xfId="0" applyNumberFormat="1" applyFont="1" applyAlignment="1">
      <alignment horizontal="left" vertical="top"/>
    </xf>
    <xf numFmtId="164" fontId="57" fillId="0" borderId="0" xfId="0" applyNumberFormat="1" applyFont="1" applyAlignment="1">
      <alignment horizontal="center" vertical="top"/>
    </xf>
    <xf numFmtId="164" fontId="57" fillId="2" borderId="82" xfId="0" applyNumberFormat="1" applyFont="1" applyFill="1" applyBorder="1" applyAlignment="1">
      <alignment horizontal="center" vertical="top" shrinkToFit="1"/>
    </xf>
    <xf numFmtId="164" fontId="58" fillId="0" borderId="0" xfId="0" applyNumberFormat="1" applyFont="1" applyAlignment="1">
      <alignment horizontal="left" vertical="top"/>
    </xf>
    <xf numFmtId="0" fontId="69" fillId="0" borderId="5" xfId="0" applyFont="1" applyBorder="1"/>
    <xf numFmtId="0" fontId="69" fillId="0" borderId="19" xfId="0" applyFont="1" applyBorder="1"/>
    <xf numFmtId="0" fontId="69" fillId="0" borderId="41" xfId="0" applyFont="1" applyBorder="1"/>
    <xf numFmtId="0" fontId="52" fillId="2" borderId="55" xfId="0" applyFont="1" applyFill="1" applyBorder="1" applyAlignment="1">
      <alignment horizontal="center"/>
    </xf>
    <xf numFmtId="164" fontId="69" fillId="0" borderId="55" xfId="0" applyNumberFormat="1" applyFont="1" applyBorder="1"/>
    <xf numFmtId="164" fontId="69" fillId="2" borderId="0" xfId="0" applyNumberFormat="1" applyFont="1" applyFill="1"/>
    <xf numFmtId="164" fontId="69" fillId="0" borderId="65" xfId="0" applyNumberFormat="1" applyFont="1" applyBorder="1"/>
    <xf numFmtId="164" fontId="69" fillId="0" borderId="30" xfId="0" applyNumberFormat="1" applyFont="1" applyBorder="1"/>
    <xf numFmtId="0" fontId="52" fillId="20" borderId="40" xfId="0" applyFont="1" applyFill="1" applyBorder="1" applyAlignment="1">
      <alignment horizontal="center"/>
    </xf>
    <xf numFmtId="164" fontId="52" fillId="8" borderId="43" xfId="0" applyNumberFormat="1" applyFont="1" applyFill="1" applyBorder="1"/>
    <xf numFmtId="0" fontId="52" fillId="0" borderId="50" xfId="0" applyFont="1" applyBorder="1"/>
    <xf numFmtId="0" fontId="52" fillId="0" borderId="65" xfId="0" applyFont="1" applyBorder="1"/>
    <xf numFmtId="0" fontId="52" fillId="32" borderId="40" xfId="0" applyFont="1" applyFill="1" applyBorder="1" applyAlignment="1">
      <alignment horizontal="center"/>
    </xf>
    <xf numFmtId="164" fontId="52" fillId="32" borderId="43" xfId="0" applyNumberFormat="1" applyFont="1" applyFill="1" applyBorder="1"/>
    <xf numFmtId="0" fontId="17" fillId="14" borderId="41" xfId="0" applyFont="1" applyFill="1" applyBorder="1" applyAlignment="1">
      <alignment horizontal="right"/>
    </xf>
    <xf numFmtId="44" fontId="17" fillId="14" borderId="55" xfId="1" applyFont="1" applyFill="1" applyBorder="1"/>
    <xf numFmtId="0" fontId="15" fillId="2" borderId="21" xfId="0" applyFont="1" applyFill="1" applyBorder="1"/>
    <xf numFmtId="44" fontId="15" fillId="2" borderId="22" xfId="1" applyFont="1" applyFill="1" applyBorder="1"/>
    <xf numFmtId="0" fontId="15" fillId="2" borderId="41" xfId="0" applyFont="1" applyFill="1" applyBorder="1"/>
    <xf numFmtId="0" fontId="17" fillId="39" borderId="41" xfId="0" applyFont="1" applyFill="1" applyBorder="1" applyAlignment="1">
      <alignment horizontal="right"/>
    </xf>
    <xf numFmtId="44" fontId="17" fillId="39" borderId="55" xfId="1" applyFont="1" applyFill="1" applyBorder="1"/>
    <xf numFmtId="0" fontId="15" fillId="0" borderId="42" xfId="0" applyFont="1" applyBorder="1" applyAlignment="1">
      <alignment horizontal="right"/>
    </xf>
    <xf numFmtId="0" fontId="68" fillId="0" borderId="61" xfId="0" applyFont="1" applyBorder="1"/>
    <xf numFmtId="44" fontId="68" fillId="0" borderId="58" xfId="1" applyFont="1" applyFill="1" applyBorder="1"/>
    <xf numFmtId="0" fontId="70" fillId="0" borderId="21" xfId="0" applyFont="1" applyBorder="1"/>
    <xf numFmtId="44" fontId="70" fillId="0" borderId="22" xfId="1" applyFont="1" applyFill="1" applyBorder="1"/>
    <xf numFmtId="0" fontId="70" fillId="0" borderId="57" xfId="0" applyFont="1" applyBorder="1"/>
    <xf numFmtId="44" fontId="70" fillId="0" borderId="36" xfId="1" applyFont="1" applyFill="1" applyBorder="1"/>
    <xf numFmtId="0" fontId="67" fillId="5" borderId="41" xfId="0" applyFont="1" applyFill="1" applyBorder="1" applyAlignment="1">
      <alignment horizontal="right"/>
    </xf>
    <xf numFmtId="44" fontId="67" fillId="5" borderId="55" xfId="1" applyFont="1" applyFill="1" applyBorder="1"/>
    <xf numFmtId="0" fontId="67" fillId="0" borderId="41" xfId="0" applyFont="1" applyBorder="1" applyAlignment="1">
      <alignment horizontal="right"/>
    </xf>
    <xf numFmtId="44" fontId="67" fillId="0" borderId="55" xfId="1" applyFont="1" applyFill="1" applyBorder="1"/>
    <xf numFmtId="0" fontId="68" fillId="0" borderId="55" xfId="0" applyFont="1" applyBorder="1"/>
    <xf numFmtId="0" fontId="68" fillId="0" borderId="21" xfId="0" applyFont="1" applyBorder="1"/>
    <xf numFmtId="44" fontId="68" fillId="0" borderId="22" xfId="1" applyFont="1" applyFill="1" applyBorder="1"/>
    <xf numFmtId="44" fontId="68" fillId="0" borderId="22" xfId="1" applyFont="1" applyBorder="1"/>
    <xf numFmtId="0" fontId="67" fillId="6" borderId="41" xfId="0" applyFont="1" applyFill="1" applyBorder="1" applyAlignment="1">
      <alignment horizontal="right"/>
    </xf>
    <xf numFmtId="44" fontId="67" fillId="6" borderId="55" xfId="1" applyFont="1" applyFill="1" applyBorder="1"/>
    <xf numFmtId="164" fontId="68" fillId="0" borderId="22" xfId="0" applyNumberFormat="1" applyFont="1" applyBorder="1"/>
    <xf numFmtId="0" fontId="67" fillId="13" borderId="21" xfId="0" applyFont="1" applyFill="1" applyBorder="1" applyAlignment="1">
      <alignment horizontal="right"/>
    </xf>
    <xf numFmtId="164" fontId="67" fillId="13" borderId="22" xfId="0" applyNumberFormat="1" applyFont="1" applyFill="1" applyBorder="1"/>
    <xf numFmtId="0" fontId="68" fillId="0" borderId="42" xfId="0" applyFont="1" applyBorder="1"/>
    <xf numFmtId="0" fontId="68" fillId="0" borderId="43" xfId="0" applyFont="1" applyBorder="1"/>
    <xf numFmtId="0" fontId="15" fillId="0" borderId="41" xfId="0" applyFont="1" applyBorder="1" applyAlignment="1">
      <alignment wrapText="1"/>
    </xf>
    <xf numFmtId="0" fontId="15" fillId="2" borderId="41" xfId="0" applyFont="1" applyFill="1" applyBorder="1" applyAlignment="1">
      <alignment wrapText="1"/>
    </xf>
    <xf numFmtId="164" fontId="15" fillId="2" borderId="55" xfId="0" applyNumberFormat="1" applyFont="1" applyFill="1" applyBorder="1" applyAlignment="1">
      <alignment horizontal="center" vertical="center"/>
    </xf>
    <xf numFmtId="0" fontId="15" fillId="2" borderId="41" xfId="0" applyFont="1" applyFill="1" applyBorder="1" applyAlignment="1">
      <alignment horizontal="center" vertical="center" wrapText="1"/>
    </xf>
    <xf numFmtId="0" fontId="15" fillId="2" borderId="41" xfId="0" applyFont="1" applyFill="1" applyBorder="1" applyAlignment="1">
      <alignment horizontal="center"/>
    </xf>
    <xf numFmtId="0" fontId="15" fillId="2" borderId="43" xfId="0" applyFont="1" applyFill="1" applyBorder="1"/>
    <xf numFmtId="0" fontId="15" fillId="2" borderId="19" xfId="0" applyFont="1" applyFill="1" applyBorder="1"/>
    <xf numFmtId="0" fontId="15" fillId="2" borderId="55" xfId="0" applyFont="1" applyFill="1" applyBorder="1"/>
    <xf numFmtId="0" fontId="10" fillId="2" borderId="40" xfId="0" applyFont="1" applyFill="1" applyBorder="1" applyAlignment="1">
      <alignment horizontal="center" vertical="top" wrapText="1"/>
    </xf>
    <xf numFmtId="0" fontId="14" fillId="22" borderId="6" xfId="0" applyFont="1" applyFill="1" applyBorder="1" applyAlignment="1">
      <alignment horizontal="center" vertical="center"/>
    </xf>
    <xf numFmtId="0" fontId="9" fillId="22" borderId="41" xfId="0" applyFont="1" applyFill="1" applyBorder="1" applyAlignment="1">
      <alignment horizontal="center" vertical="top"/>
    </xf>
    <xf numFmtId="0" fontId="10" fillId="4" borderId="34" xfId="0" applyFont="1" applyFill="1" applyBorder="1" applyAlignment="1">
      <alignment horizontal="center" vertical="top" wrapText="1"/>
    </xf>
    <xf numFmtId="0" fontId="10" fillId="4" borderId="30" xfId="0" applyFont="1" applyFill="1" applyBorder="1" applyAlignment="1">
      <alignment horizontal="center" vertical="top" wrapText="1"/>
    </xf>
    <xf numFmtId="0" fontId="10" fillId="4" borderId="31" xfId="0" applyFont="1" applyFill="1" applyBorder="1" applyAlignment="1">
      <alignment horizontal="center" vertical="top" wrapText="1"/>
    </xf>
    <xf numFmtId="0" fontId="18" fillId="10" borderId="7" xfId="0" applyFont="1" applyFill="1" applyBorder="1" applyAlignment="1">
      <alignment horizontal="center" vertical="top"/>
    </xf>
    <xf numFmtId="0" fontId="18" fillId="10" borderId="8" xfId="0" applyFont="1" applyFill="1" applyBorder="1" applyAlignment="1">
      <alignment horizontal="center" vertical="top"/>
    </xf>
    <xf numFmtId="0" fontId="21" fillId="0" borderId="0" xfId="0" applyFont="1" applyAlignment="1">
      <alignment horizontal="center" vertical="center" wrapText="1" readingOrder="1"/>
    </xf>
    <xf numFmtId="44" fontId="22" fillId="0" borderId="0" xfId="1" applyFont="1" applyAlignment="1">
      <alignment horizontal="center" vertical="center" wrapText="1"/>
    </xf>
    <xf numFmtId="44" fontId="22" fillId="0" borderId="0" xfId="1" applyFont="1" applyBorder="1" applyAlignment="1">
      <alignment horizontal="center" vertical="center" wrapText="1"/>
    </xf>
    <xf numFmtId="0" fontId="18" fillId="2" borderId="6" xfId="0" applyFont="1" applyFill="1" applyBorder="1" applyAlignment="1">
      <alignment horizontal="center" vertical="top"/>
    </xf>
    <xf numFmtId="0" fontId="18" fillId="2" borderId="0" xfId="0" applyFont="1" applyFill="1" applyAlignment="1">
      <alignment horizontal="center" vertical="top"/>
    </xf>
    <xf numFmtId="0" fontId="18" fillId="6" borderId="6" xfId="0" applyFont="1" applyFill="1" applyBorder="1" applyAlignment="1">
      <alignment horizontal="center" vertical="top"/>
    </xf>
    <xf numFmtId="0" fontId="18" fillId="6" borderId="0" xfId="0" applyFont="1" applyFill="1" applyAlignment="1">
      <alignment horizontal="center" vertical="top"/>
    </xf>
    <xf numFmtId="0" fontId="23" fillId="11" borderId="0" xfId="0" applyFont="1" applyFill="1" applyAlignment="1">
      <alignment horizontal="center" wrapText="1"/>
    </xf>
    <xf numFmtId="0" fontId="18" fillId="7" borderId="6" xfId="0" applyFont="1" applyFill="1" applyBorder="1" applyAlignment="1">
      <alignment horizontal="center" vertical="top"/>
    </xf>
    <xf numFmtId="0" fontId="18" fillId="7" borderId="0" xfId="0" applyFont="1" applyFill="1" applyAlignment="1">
      <alignment horizontal="center" vertical="top"/>
    </xf>
    <xf numFmtId="0" fontId="18" fillId="8" borderId="6" xfId="0" applyFont="1" applyFill="1" applyBorder="1" applyAlignment="1">
      <alignment horizontal="center" vertical="top"/>
    </xf>
    <xf numFmtId="0" fontId="18" fillId="8" borderId="0" xfId="0" applyFont="1" applyFill="1" applyAlignment="1">
      <alignment horizontal="center" vertical="top"/>
    </xf>
    <xf numFmtId="0" fontId="18" fillId="9" borderId="6" xfId="0" applyFont="1" applyFill="1" applyBorder="1" applyAlignment="1">
      <alignment horizontal="center" vertical="top"/>
    </xf>
    <xf numFmtId="0" fontId="18" fillId="9" borderId="0" xfId="0" applyFont="1" applyFill="1" applyAlignment="1">
      <alignment horizontal="center" vertical="top"/>
    </xf>
    <xf numFmtId="0" fontId="18" fillId="0" borderId="6" xfId="0" applyFont="1" applyBorder="1" applyAlignment="1">
      <alignment horizontal="center" vertical="top"/>
    </xf>
    <xf numFmtId="0" fontId="18" fillId="0" borderId="0" xfId="0" applyFont="1" applyAlignment="1">
      <alignment horizontal="center" vertical="top"/>
    </xf>
    <xf numFmtId="0" fontId="16" fillId="5" borderId="2" xfId="0" applyFont="1" applyFill="1" applyBorder="1" applyAlignment="1">
      <alignment horizontal="center"/>
    </xf>
    <xf numFmtId="0" fontId="16" fillId="5" borderId="3" xfId="0" applyFont="1" applyFill="1" applyBorder="1" applyAlignment="1">
      <alignment horizontal="center"/>
    </xf>
    <xf numFmtId="0" fontId="15" fillId="0" borderId="5" xfId="0" applyFont="1" applyBorder="1" applyAlignment="1">
      <alignment horizontal="center"/>
    </xf>
    <xf numFmtId="0" fontId="16" fillId="5" borderId="4" xfId="0" applyFont="1" applyFill="1" applyBorder="1" applyAlignment="1">
      <alignment horizontal="center"/>
    </xf>
    <xf numFmtId="0" fontId="17" fillId="8" borderId="41" xfId="0" applyFont="1" applyFill="1" applyBorder="1" applyAlignment="1">
      <alignment horizontal="center"/>
    </xf>
    <xf numFmtId="0" fontId="17" fillId="8" borderId="0" xfId="0" applyFont="1" applyFill="1" applyAlignment="1">
      <alignment horizontal="center"/>
    </xf>
    <xf numFmtId="0" fontId="17" fillId="13" borderId="70" xfId="0" applyFont="1" applyFill="1" applyBorder="1" applyAlignment="1">
      <alignment horizontal="center"/>
    </xf>
    <xf numFmtId="0" fontId="17" fillId="13" borderId="71" xfId="0" applyFont="1" applyFill="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0" fontId="17" fillId="5" borderId="8" xfId="0" applyFont="1" applyFill="1" applyBorder="1" applyAlignment="1">
      <alignment horizontal="center"/>
    </xf>
    <xf numFmtId="0" fontId="17" fillId="2" borderId="2" xfId="0" applyFont="1" applyFill="1" applyBorder="1" applyAlignment="1">
      <alignment horizontal="center"/>
    </xf>
    <xf numFmtId="0" fontId="17" fillId="2" borderId="4" xfId="0" applyFont="1" applyFill="1" applyBorder="1" applyAlignment="1">
      <alignment horizontal="center"/>
    </xf>
    <xf numFmtId="0" fontId="17" fillId="8" borderId="73" xfId="0" applyFont="1" applyFill="1" applyBorder="1" applyAlignment="1">
      <alignment horizontal="center"/>
    </xf>
    <xf numFmtId="0" fontId="19" fillId="6" borderId="2" xfId="0" applyFont="1" applyFill="1" applyBorder="1" applyAlignment="1">
      <alignment horizontal="left" vertical="top" wrapText="1"/>
    </xf>
    <xf numFmtId="0" fontId="19" fillId="6" borderId="3" xfId="0" applyFont="1" applyFill="1" applyBorder="1" applyAlignment="1">
      <alignment horizontal="left" vertical="top" wrapText="1"/>
    </xf>
    <xf numFmtId="0" fontId="19" fillId="6" borderId="4" xfId="0" applyFont="1" applyFill="1" applyBorder="1" applyAlignment="1">
      <alignment horizontal="left" vertical="top" wrapText="1"/>
    </xf>
    <xf numFmtId="0" fontId="17" fillId="13" borderId="40" xfId="0" applyFont="1" applyFill="1" applyBorder="1" applyAlignment="1">
      <alignment horizontal="center"/>
    </xf>
    <xf numFmtId="0" fontId="17" fillId="13" borderId="5" xfId="0" applyFont="1" applyFill="1" applyBorder="1" applyAlignment="1">
      <alignment horizontal="center"/>
    </xf>
    <xf numFmtId="0" fontId="15" fillId="0" borderId="42" xfId="0" applyFont="1" applyBorder="1" applyAlignment="1">
      <alignment horizontal="center"/>
    </xf>
    <xf numFmtId="0" fontId="15" fillId="0" borderId="30" xfId="0" applyFont="1" applyBorder="1" applyAlignment="1">
      <alignment horizontal="center"/>
    </xf>
    <xf numFmtId="0" fontId="15" fillId="0" borderId="43" xfId="0" applyFont="1" applyBorder="1" applyAlignment="1">
      <alignment horizontal="center"/>
    </xf>
    <xf numFmtId="0" fontId="17" fillId="39" borderId="41" xfId="0" applyFont="1" applyFill="1" applyBorder="1" applyAlignment="1">
      <alignment horizontal="center"/>
    </xf>
    <xf numFmtId="0" fontId="17" fillId="39" borderId="55" xfId="0" applyFont="1" applyFill="1" applyBorder="1" applyAlignment="1">
      <alignment horizontal="center"/>
    </xf>
    <xf numFmtId="0" fontId="17" fillId="13" borderId="41" xfId="0" applyFont="1" applyFill="1" applyBorder="1" applyAlignment="1">
      <alignment horizontal="center"/>
    </xf>
    <xf numFmtId="0" fontId="17" fillId="13" borderId="55" xfId="0" applyFont="1" applyFill="1" applyBorder="1" applyAlignment="1">
      <alignment horizontal="center"/>
    </xf>
    <xf numFmtId="0" fontId="17" fillId="20" borderId="50" xfId="0" applyFont="1" applyFill="1" applyBorder="1" applyAlignment="1">
      <alignment horizontal="center"/>
    </xf>
    <xf numFmtId="0" fontId="17" fillId="20" borderId="65" xfId="0" applyFont="1" applyFill="1" applyBorder="1" applyAlignment="1">
      <alignment horizontal="center"/>
    </xf>
    <xf numFmtId="0" fontId="67" fillId="2" borderId="40" xfId="0" applyFont="1" applyFill="1" applyBorder="1" applyAlignment="1">
      <alignment horizontal="center"/>
    </xf>
    <xf numFmtId="0" fontId="67" fillId="2" borderId="19" xfId="0" applyFont="1" applyFill="1" applyBorder="1" applyAlignment="1">
      <alignment horizontal="center"/>
    </xf>
    <xf numFmtId="0" fontId="17" fillId="0" borderId="40" xfId="0" applyFont="1" applyBorder="1" applyAlignment="1">
      <alignment horizontal="center"/>
    </xf>
    <xf numFmtId="0" fontId="17" fillId="0" borderId="19" xfId="0" applyFont="1" applyBorder="1" applyAlignment="1">
      <alignment horizontal="center"/>
    </xf>
    <xf numFmtId="0" fontId="17" fillId="2" borderId="40" xfId="0" applyFont="1" applyFill="1" applyBorder="1" applyAlignment="1">
      <alignment horizontal="center"/>
    </xf>
    <xf numFmtId="0" fontId="17" fillId="2" borderId="19" xfId="0" applyFont="1" applyFill="1" applyBorder="1" applyAlignment="1">
      <alignment horizontal="center"/>
    </xf>
    <xf numFmtId="0" fontId="17" fillId="6" borderId="41" xfId="0" applyFont="1" applyFill="1" applyBorder="1" applyAlignment="1">
      <alignment horizontal="center"/>
    </xf>
    <xf numFmtId="0" fontId="17" fillId="6" borderId="55" xfId="0" applyFont="1" applyFill="1" applyBorder="1" applyAlignment="1">
      <alignment horizontal="center"/>
    </xf>
    <xf numFmtId="0" fontId="67" fillId="21" borderId="50" xfId="0" applyFont="1" applyFill="1" applyBorder="1" applyAlignment="1">
      <alignment horizontal="center"/>
    </xf>
    <xf numFmtId="0" fontId="67" fillId="21" borderId="65" xfId="0" applyFont="1" applyFill="1" applyBorder="1" applyAlignment="1">
      <alignment horizontal="center"/>
    </xf>
    <xf numFmtId="0" fontId="67" fillId="6" borderId="41" xfId="0" applyFont="1" applyFill="1" applyBorder="1" applyAlignment="1">
      <alignment horizontal="center"/>
    </xf>
    <xf numFmtId="0" fontId="67" fillId="6" borderId="55" xfId="0" applyFont="1" applyFill="1" applyBorder="1" applyAlignment="1">
      <alignment horizontal="center"/>
    </xf>
    <xf numFmtId="0" fontId="67" fillId="13" borderId="41" xfId="0" applyFont="1" applyFill="1" applyBorder="1" applyAlignment="1">
      <alignment horizontal="center"/>
    </xf>
    <xf numFmtId="0" fontId="67" fillId="13" borderId="55" xfId="0" applyFont="1" applyFill="1" applyBorder="1" applyAlignment="1">
      <alignment horizontal="center"/>
    </xf>
    <xf numFmtId="0" fontId="17" fillId="5" borderId="50" xfId="0" applyFont="1" applyFill="1" applyBorder="1" applyAlignment="1">
      <alignment horizontal="center"/>
    </xf>
    <xf numFmtId="0" fontId="10" fillId="6" borderId="40" xfId="0" applyFont="1" applyFill="1" applyBorder="1" applyAlignment="1">
      <alignment horizontal="left" vertical="top" wrapText="1"/>
    </xf>
    <xf numFmtId="0" fontId="10" fillId="6" borderId="5" xfId="0" applyFont="1" applyFill="1" applyBorder="1" applyAlignment="1">
      <alignment horizontal="left" vertical="top" wrapText="1"/>
    </xf>
    <xf numFmtId="0" fontId="10" fillId="6" borderId="19" xfId="0" applyFont="1" applyFill="1" applyBorder="1" applyAlignment="1">
      <alignment horizontal="left" vertical="top" wrapText="1"/>
    </xf>
    <xf numFmtId="0" fontId="10" fillId="6" borderId="2" xfId="0" applyFont="1" applyFill="1" applyBorder="1" applyAlignment="1">
      <alignment horizontal="left" vertical="top" wrapText="1"/>
    </xf>
    <xf numFmtId="0" fontId="10" fillId="6" borderId="3" xfId="0" applyFont="1" applyFill="1" applyBorder="1" applyAlignment="1">
      <alignment horizontal="left" vertical="top" wrapText="1"/>
    </xf>
    <xf numFmtId="0" fontId="10" fillId="6" borderId="4" xfId="0" applyFont="1" applyFill="1" applyBorder="1" applyAlignment="1">
      <alignment horizontal="left" vertical="top" wrapText="1"/>
    </xf>
    <xf numFmtId="0" fontId="15" fillId="0" borderId="4" xfId="0" applyFont="1" applyBorder="1" applyAlignment="1">
      <alignment horizontal="center"/>
    </xf>
    <xf numFmtId="0" fontId="19" fillId="6" borderId="41" xfId="0" applyFont="1" applyFill="1" applyBorder="1" applyAlignment="1">
      <alignment horizontal="left" vertical="top" wrapText="1"/>
    </xf>
    <xf numFmtId="0" fontId="19" fillId="6" borderId="0" xfId="0" applyFont="1" applyFill="1" applyAlignment="1">
      <alignment horizontal="left" vertical="top" wrapText="1"/>
    </xf>
    <xf numFmtId="0" fontId="19" fillId="6" borderId="55" xfId="0" applyFont="1" applyFill="1" applyBorder="1" applyAlignment="1">
      <alignment horizontal="left" vertical="top" wrapText="1"/>
    </xf>
    <xf numFmtId="0" fontId="10" fillId="6" borderId="41" xfId="0" applyFont="1" applyFill="1" applyBorder="1" applyAlignment="1">
      <alignment horizontal="left" vertical="top" wrapText="1"/>
    </xf>
    <xf numFmtId="0" fontId="10" fillId="6" borderId="0" xfId="0" applyFont="1" applyFill="1" applyAlignment="1">
      <alignment horizontal="left" vertical="top" wrapText="1"/>
    </xf>
    <xf numFmtId="0" fontId="10" fillId="6" borderId="55" xfId="0" applyFont="1" applyFill="1" applyBorder="1" applyAlignment="1">
      <alignment horizontal="left" vertical="top" wrapText="1"/>
    </xf>
    <xf numFmtId="0" fontId="10" fillId="6" borderId="28" xfId="0" applyFont="1" applyFill="1" applyBorder="1" applyAlignment="1">
      <alignment horizontal="left" vertical="top" wrapText="1"/>
    </xf>
    <xf numFmtId="0" fontId="10" fillId="6" borderId="44" xfId="0" applyFont="1" applyFill="1" applyBorder="1" applyAlignment="1">
      <alignment horizontal="left" vertical="top" wrapText="1"/>
    </xf>
    <xf numFmtId="0" fontId="10" fillId="6" borderId="56" xfId="0" applyFont="1" applyFill="1" applyBorder="1" applyAlignment="1">
      <alignment horizontal="left" vertical="top" wrapText="1"/>
    </xf>
    <xf numFmtId="0" fontId="10" fillId="6" borderId="17" xfId="0" applyFont="1" applyFill="1" applyBorder="1" applyAlignment="1">
      <alignment horizontal="left" vertical="top" wrapText="1"/>
    </xf>
    <xf numFmtId="0" fontId="19" fillId="6" borderId="40" xfId="0" applyFont="1" applyFill="1" applyBorder="1" applyAlignment="1">
      <alignment horizontal="left" vertical="top" wrapText="1"/>
    </xf>
    <xf numFmtId="0" fontId="19" fillId="6" borderId="5" xfId="0" applyFont="1" applyFill="1" applyBorder="1" applyAlignment="1">
      <alignment horizontal="left" vertical="top" wrapText="1"/>
    </xf>
    <xf numFmtId="0" fontId="19" fillId="6" borderId="19" xfId="0" applyFont="1" applyFill="1" applyBorder="1" applyAlignment="1">
      <alignment horizontal="left" vertical="top" wrapText="1"/>
    </xf>
    <xf numFmtId="164" fontId="10" fillId="24" borderId="87" xfId="0" applyNumberFormat="1" applyFont="1" applyFill="1" applyBorder="1" applyAlignment="1">
      <alignment horizontal="center" vertical="center" wrapText="1"/>
    </xf>
    <xf numFmtId="164" fontId="10" fillId="24" borderId="88" xfId="0" applyNumberFormat="1" applyFont="1" applyFill="1" applyBorder="1" applyAlignment="1">
      <alignment horizontal="center" vertical="center" wrapText="1"/>
    </xf>
    <xf numFmtId="164" fontId="10" fillId="24" borderId="98" xfId="0" applyNumberFormat="1" applyFont="1" applyFill="1" applyBorder="1" applyAlignment="1">
      <alignment horizontal="center" vertical="center" wrapText="1"/>
    </xf>
    <xf numFmtId="164" fontId="10" fillId="34" borderId="100" xfId="0" applyNumberFormat="1" applyFont="1" applyFill="1" applyBorder="1" applyAlignment="1">
      <alignment horizontal="center" vertical="center" wrapText="1"/>
    </xf>
    <xf numFmtId="164" fontId="10" fillId="34" borderId="101" xfId="0" applyNumberFormat="1" applyFont="1" applyFill="1" applyBorder="1" applyAlignment="1">
      <alignment horizontal="center" vertical="center" wrapText="1"/>
    </xf>
    <xf numFmtId="164" fontId="10" fillId="34" borderId="93" xfId="0" applyNumberFormat="1" applyFont="1" applyFill="1" applyBorder="1" applyAlignment="1">
      <alignment horizontal="center" vertical="center" wrapText="1"/>
    </xf>
    <xf numFmtId="0" fontId="63" fillId="0" borderId="105" xfId="0" applyFont="1" applyBorder="1" applyAlignment="1">
      <alignment horizontal="center" vertical="center" wrapText="1"/>
    </xf>
    <xf numFmtId="0" fontId="63" fillId="0" borderId="8" xfId="0" applyFont="1" applyBorder="1" applyAlignment="1">
      <alignment horizontal="center" vertical="center" wrapText="1"/>
    </xf>
    <xf numFmtId="165" fontId="59" fillId="0" borderId="5" xfId="0" applyNumberFormat="1" applyFont="1" applyBorder="1" applyAlignment="1">
      <alignment horizontal="center" shrinkToFit="1"/>
    </xf>
    <xf numFmtId="165" fontId="59" fillId="0" borderId="19" xfId="0" applyNumberFormat="1" applyFont="1" applyBorder="1" applyAlignment="1">
      <alignment horizontal="center" shrinkToFit="1"/>
    </xf>
    <xf numFmtId="0" fontId="10" fillId="0" borderId="0" xfId="0" applyFont="1" applyAlignment="1">
      <alignment horizontal="center" vertical="top" wrapText="1"/>
    </xf>
    <xf numFmtId="0" fontId="10" fillId="0" borderId="55" xfId="0" applyFont="1" applyBorder="1" applyAlignment="1">
      <alignment horizontal="center" vertical="top" wrapText="1"/>
    </xf>
    <xf numFmtId="0" fontId="19" fillId="25" borderId="40" xfId="0" applyFont="1" applyFill="1" applyBorder="1" applyAlignment="1">
      <alignment horizontal="center" vertical="top" wrapText="1"/>
    </xf>
    <xf numFmtId="0" fontId="19" fillId="25" borderId="5" xfId="0" applyFont="1" applyFill="1" applyBorder="1" applyAlignment="1">
      <alignment horizontal="center" vertical="top" wrapText="1"/>
    </xf>
    <xf numFmtId="0" fontId="19" fillId="25" borderId="19" xfId="0" applyFont="1" applyFill="1" applyBorder="1" applyAlignment="1">
      <alignment horizontal="center" vertical="top" wrapText="1"/>
    </xf>
    <xf numFmtId="0" fontId="57" fillId="26" borderId="42" xfId="0" applyFont="1" applyFill="1" applyBorder="1" applyAlignment="1">
      <alignment horizontal="center" vertical="top" wrapText="1"/>
    </xf>
    <xf numFmtId="0" fontId="57" fillId="26" borderId="30" xfId="0" applyFont="1" applyFill="1" applyBorder="1" applyAlignment="1">
      <alignment horizontal="center" vertical="top" wrapText="1"/>
    </xf>
    <xf numFmtId="0" fontId="57" fillId="26" borderId="43" xfId="0" applyFont="1" applyFill="1" applyBorder="1" applyAlignment="1">
      <alignment horizontal="center" vertical="top" wrapText="1"/>
    </xf>
    <xf numFmtId="0" fontId="19" fillId="0" borderId="87" xfId="0" applyFont="1" applyBorder="1" applyAlignment="1">
      <alignment horizontal="center" vertical="center" wrapText="1"/>
    </xf>
    <xf numFmtId="0" fontId="19" fillId="0" borderId="88" xfId="0" applyFont="1" applyBorder="1" applyAlignment="1">
      <alignment horizontal="center" vertical="center" wrapText="1"/>
    </xf>
    <xf numFmtId="0" fontId="19" fillId="0" borderId="89" xfId="0" applyFont="1" applyBorder="1" applyAlignment="1">
      <alignment horizontal="center" vertical="center" wrapText="1"/>
    </xf>
    <xf numFmtId="0" fontId="66" fillId="2" borderId="30" xfId="0" applyFont="1" applyFill="1" applyBorder="1" applyAlignment="1">
      <alignment horizontal="center" vertical="top"/>
    </xf>
    <xf numFmtId="0" fontId="16" fillId="5" borderId="40" xfId="0" applyFont="1" applyFill="1" applyBorder="1" applyAlignment="1">
      <alignment horizontal="center"/>
    </xf>
    <xf numFmtId="0" fontId="16" fillId="5" borderId="5" xfId="0" applyFont="1" applyFill="1" applyBorder="1" applyAlignment="1">
      <alignment horizontal="center"/>
    </xf>
    <xf numFmtId="0" fontId="16" fillId="5" borderId="19" xfId="0" applyFont="1" applyFill="1" applyBorder="1" applyAlignment="1">
      <alignment horizontal="center"/>
    </xf>
    <xf numFmtId="0" fontId="17" fillId="5" borderId="0" xfId="0" applyFont="1" applyFill="1" applyAlignment="1">
      <alignment horizontal="center"/>
    </xf>
    <xf numFmtId="0" fontId="17" fillId="2" borderId="42" xfId="0" applyFont="1" applyFill="1" applyBorder="1" applyAlignment="1">
      <alignment horizontal="center"/>
    </xf>
    <xf numFmtId="0" fontId="17" fillId="2" borderId="43" xfId="0" applyFont="1" applyFill="1" applyBorder="1" applyAlignment="1">
      <alignment horizontal="center"/>
    </xf>
    <xf numFmtId="0" fontId="19" fillId="6" borderId="6" xfId="0" applyFont="1" applyFill="1" applyBorder="1" applyAlignment="1">
      <alignment horizontal="left" vertical="top" wrapText="1"/>
    </xf>
    <xf numFmtId="0" fontId="17" fillId="14" borderId="0" xfId="0" applyFont="1" applyFill="1" applyAlignment="1">
      <alignment horizontal="center"/>
    </xf>
    <xf numFmtId="0" fontId="17" fillId="0" borderId="0" xfId="0" applyFont="1" applyAlignment="1">
      <alignment horizontal="center"/>
    </xf>
    <xf numFmtId="0" fontId="16" fillId="5" borderId="6" xfId="0" applyFont="1" applyFill="1" applyBorder="1" applyAlignment="1">
      <alignment horizontal="center"/>
    </xf>
    <xf numFmtId="0" fontId="16" fillId="5" borderId="0" xfId="0" applyFont="1" applyFill="1" applyAlignment="1">
      <alignment horizontal="center"/>
    </xf>
    <xf numFmtId="0" fontId="15" fillId="0" borderId="6" xfId="0" applyFont="1" applyBorder="1" applyAlignment="1">
      <alignment horizontal="center"/>
    </xf>
    <xf numFmtId="0" fontId="15" fillId="0" borderId="0" xfId="0" applyFont="1" applyAlignment="1">
      <alignment horizontal="center"/>
    </xf>
    <xf numFmtId="0" fontId="17" fillId="7" borderId="41" xfId="0" applyFont="1" applyFill="1" applyBorder="1" applyAlignment="1">
      <alignment horizontal="center"/>
    </xf>
    <xf numFmtId="0" fontId="17" fillId="7" borderId="55" xfId="0" applyFont="1" applyFill="1" applyBorder="1" applyAlignment="1">
      <alignment horizontal="center"/>
    </xf>
    <xf numFmtId="0" fontId="16" fillId="5" borderId="38" xfId="0" applyFont="1" applyFill="1" applyBorder="1" applyAlignment="1">
      <alignment horizontal="center"/>
    </xf>
    <xf numFmtId="0" fontId="16" fillId="5" borderId="49" xfId="0" applyFont="1" applyFill="1" applyBorder="1" applyAlignment="1">
      <alignment horizontal="center"/>
    </xf>
    <xf numFmtId="0" fontId="16" fillId="5" borderId="51" xfId="0" applyFont="1" applyFill="1" applyBorder="1" applyAlignment="1">
      <alignment horizontal="center"/>
    </xf>
    <xf numFmtId="0" fontId="15" fillId="0" borderId="66" xfId="0" applyFont="1" applyBorder="1" applyAlignment="1">
      <alignment horizontal="center"/>
    </xf>
    <xf numFmtId="0" fontId="15" fillId="0" borderId="67" xfId="0" applyFont="1" applyBorder="1" applyAlignment="1">
      <alignment horizontal="center"/>
    </xf>
    <xf numFmtId="0" fontId="15" fillId="0" borderId="59" xfId="0" applyFont="1" applyBorder="1" applyAlignment="1">
      <alignment horizontal="center"/>
    </xf>
    <xf numFmtId="0" fontId="16" fillId="5" borderId="1" xfId="0" applyFont="1" applyFill="1" applyBorder="1" applyAlignment="1">
      <alignment horizontal="center"/>
    </xf>
    <xf numFmtId="0" fontId="15" fillId="0" borderId="1" xfId="0" applyFont="1" applyBorder="1" applyAlignment="1">
      <alignment horizontal="center"/>
    </xf>
    <xf numFmtId="0" fontId="67" fillId="0" borderId="40" xfId="0" applyFont="1" applyBorder="1" applyAlignment="1">
      <alignment horizontal="center"/>
    </xf>
    <xf numFmtId="0" fontId="67" fillId="0" borderId="19" xfId="0" applyFont="1" applyBorder="1" applyAlignment="1">
      <alignment horizontal="center"/>
    </xf>
    <xf numFmtId="0" fontId="67" fillId="5" borderId="41" xfId="0" applyFont="1" applyFill="1" applyBorder="1" applyAlignment="1">
      <alignment horizontal="center"/>
    </xf>
    <xf numFmtId="0" fontId="67" fillId="5" borderId="55" xfId="0" applyFont="1" applyFill="1" applyBorder="1" applyAlignment="1">
      <alignment horizontal="center"/>
    </xf>
    <xf numFmtId="0" fontId="17" fillId="5" borderId="41" xfId="0" applyFont="1" applyFill="1" applyBorder="1" applyAlignment="1">
      <alignment horizontal="center"/>
    </xf>
    <xf numFmtId="0" fontId="17" fillId="5" borderId="55" xfId="0" applyFont="1" applyFill="1" applyBorder="1" applyAlignment="1">
      <alignment horizontal="center"/>
    </xf>
    <xf numFmtId="0" fontId="17" fillId="36" borderId="11" xfId="0" applyFont="1" applyFill="1" applyBorder="1" applyAlignment="1">
      <alignment horizontal="center"/>
    </xf>
    <xf numFmtId="0" fontId="17" fillId="36" borderId="12" xfId="0" applyFont="1" applyFill="1" applyBorder="1" applyAlignment="1">
      <alignment horizontal="center"/>
    </xf>
    <xf numFmtId="0" fontId="17" fillId="37" borderId="7" xfId="0" applyFont="1" applyFill="1" applyBorder="1" applyAlignment="1">
      <alignment horizontal="center"/>
    </xf>
    <xf numFmtId="0" fontId="17" fillId="37" borderId="15" xfId="0" applyFont="1" applyFill="1" applyBorder="1" applyAlignment="1">
      <alignment horizontal="center"/>
    </xf>
    <xf numFmtId="0" fontId="17" fillId="21" borderId="54" xfId="0" applyFont="1" applyFill="1" applyBorder="1" applyAlignment="1">
      <alignment horizontal="center"/>
    </xf>
    <xf numFmtId="0" fontId="17" fillId="8" borderId="8" xfId="0" applyFont="1" applyFill="1" applyBorder="1" applyAlignment="1">
      <alignment horizontal="center"/>
    </xf>
    <xf numFmtId="14" fontId="45" fillId="8" borderId="54" xfId="0" applyNumberFormat="1" applyFont="1" applyFill="1" applyBorder="1" applyAlignment="1">
      <alignment horizontal="center"/>
    </xf>
    <xf numFmtId="0" fontId="45" fillId="8" borderId="54" xfId="0" applyFont="1" applyFill="1" applyBorder="1" applyAlignment="1">
      <alignment horizontal="center"/>
    </xf>
    <xf numFmtId="44" fontId="15" fillId="2" borderId="29" xfId="0" applyNumberFormat="1" applyFont="1" applyFill="1" applyBorder="1" applyAlignment="1">
      <alignment horizontal="center" vertical="center"/>
    </xf>
    <xf numFmtId="44" fontId="15" fillId="2" borderId="37" xfId="0" applyNumberFormat="1" applyFont="1" applyFill="1" applyBorder="1" applyAlignment="1">
      <alignment horizontal="center" vertical="center"/>
    </xf>
    <xf numFmtId="0" fontId="15" fillId="2" borderId="52" xfId="0" applyFont="1" applyFill="1" applyBorder="1" applyAlignment="1">
      <alignment horizontal="center" vertical="center"/>
    </xf>
    <xf numFmtId="0" fontId="15" fillId="2" borderId="39" xfId="0" applyFont="1" applyFill="1" applyBorder="1" applyAlignment="1">
      <alignment horizontal="center" vertical="center"/>
    </xf>
    <xf numFmtId="44" fontId="15" fillId="2" borderId="19" xfId="0" applyNumberFormat="1" applyFont="1" applyFill="1" applyBorder="1" applyAlignment="1">
      <alignment horizontal="center" vertical="center"/>
    </xf>
    <xf numFmtId="44" fontId="15" fillId="2" borderId="43" xfId="0" applyNumberFormat="1" applyFont="1" applyFill="1" applyBorder="1" applyAlignment="1">
      <alignment horizontal="center" vertical="center"/>
    </xf>
    <xf numFmtId="0" fontId="15" fillId="38" borderId="19" xfId="0" applyFont="1" applyFill="1" applyBorder="1" applyAlignment="1">
      <alignment horizontal="center" vertical="center"/>
    </xf>
    <xf numFmtId="0" fontId="15" fillId="38" borderId="43" xfId="0" applyFont="1" applyFill="1" applyBorder="1" applyAlignment="1">
      <alignment horizontal="center" vertical="center"/>
    </xf>
    <xf numFmtId="0" fontId="15" fillId="38" borderId="29" xfId="0" applyFont="1" applyFill="1" applyBorder="1" applyAlignment="1">
      <alignment horizontal="center" vertical="center"/>
    </xf>
    <xf numFmtId="0" fontId="15" fillId="38" borderId="32" xfId="0" applyFont="1" applyFill="1" applyBorder="1" applyAlignment="1">
      <alignment horizontal="center" vertical="center"/>
    </xf>
    <xf numFmtId="0" fontId="15" fillId="38" borderId="37"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30" xfId="0" applyFont="1" applyFill="1" applyBorder="1" applyAlignment="1">
      <alignment horizontal="center" vertical="center"/>
    </xf>
    <xf numFmtId="0" fontId="17" fillId="6" borderId="0" xfId="0" applyFont="1" applyFill="1" applyAlignment="1">
      <alignment horizontal="center"/>
    </xf>
    <xf numFmtId="0" fontId="16" fillId="5" borderId="41" xfId="0" applyFont="1" applyFill="1" applyBorder="1" applyAlignment="1">
      <alignment horizontal="center"/>
    </xf>
    <xf numFmtId="0" fontId="15" fillId="0" borderId="41" xfId="0" applyFont="1" applyBorder="1" applyAlignment="1">
      <alignment horizontal="center"/>
    </xf>
    <xf numFmtId="0" fontId="17" fillId="0" borderId="41" xfId="0" applyFont="1" applyBorder="1" applyAlignment="1">
      <alignment horizontal="center"/>
    </xf>
    <xf numFmtId="0" fontId="17" fillId="0" borderId="55" xfId="0" applyFont="1" applyBorder="1" applyAlignment="1">
      <alignment horizontal="center"/>
    </xf>
    <xf numFmtId="0" fontId="17" fillId="0" borderId="2" xfId="0" applyFont="1" applyBorder="1" applyAlignment="1">
      <alignment horizontal="center"/>
    </xf>
    <xf numFmtId="0" fontId="17" fillId="0" borderId="4" xfId="0" applyFont="1" applyBorder="1" applyAlignment="1">
      <alignment horizontal="center"/>
    </xf>
    <xf numFmtId="0" fontId="17" fillId="0" borderId="49" xfId="0" applyFont="1" applyBorder="1" applyAlignment="1">
      <alignment horizontal="center"/>
    </xf>
    <xf numFmtId="0" fontId="17" fillId="0" borderId="51" xfId="0" applyFont="1" applyBorder="1" applyAlignment="1">
      <alignment horizontal="center"/>
    </xf>
    <xf numFmtId="0" fontId="17" fillId="0" borderId="17" xfId="0" applyFont="1" applyBorder="1" applyAlignment="1">
      <alignment horizontal="center"/>
    </xf>
    <xf numFmtId="0" fontId="17" fillId="2" borderId="30" xfId="0" applyFont="1" applyFill="1" applyBorder="1" applyAlignment="1">
      <alignment horizontal="center"/>
    </xf>
    <xf numFmtId="0" fontId="48" fillId="22" borderId="0" xfId="0" applyFont="1" applyFill="1" applyAlignment="1">
      <alignment horizontal="center"/>
    </xf>
    <xf numFmtId="0" fontId="49" fillId="0" borderId="0" xfId="0" applyFont="1" applyAlignment="1">
      <alignment horizontal="center" vertical="center"/>
    </xf>
    <xf numFmtId="0" fontId="50" fillId="0" borderId="0" xfId="0" applyFont="1"/>
    <xf numFmtId="0" fontId="0" fillId="0" borderId="0" xfId="0"/>
    <xf numFmtId="0" fontId="51" fillId="0" borderId="0" xfId="0" applyFont="1" applyAlignment="1">
      <alignment horizontal="center" vertical="center"/>
    </xf>
    <xf numFmtId="0" fontId="50" fillId="0" borderId="0" xfId="0" applyFont="1" applyAlignment="1">
      <alignment horizontal="left" vertical="top"/>
    </xf>
    <xf numFmtId="0" fontId="0" fillId="0" borderId="0" xfId="0" applyAlignment="1">
      <alignment horizontal="left" vertical="top"/>
    </xf>
    <xf numFmtId="0" fontId="50" fillId="0" borderId="0" xfId="0" applyFont="1" applyAlignment="1">
      <alignment horizontal="left" vertical="center" wrapText="1"/>
    </xf>
    <xf numFmtId="0" fontId="0" fillId="0" borderId="0" xfId="0" applyAlignment="1">
      <alignment horizontal="left" vertical="center"/>
    </xf>
    <xf numFmtId="0" fontId="52" fillId="0" borderId="0" xfId="0" applyFont="1" applyAlignment="1">
      <alignment horizontal="left" vertical="top"/>
    </xf>
    <xf numFmtId="0" fontId="0" fillId="0" borderId="0" xfId="0" applyAlignment="1">
      <alignment horizontal="center" wrapText="1"/>
    </xf>
    <xf numFmtId="0" fontId="19" fillId="6" borderId="13" xfId="0" applyFont="1" applyFill="1" applyBorder="1" applyAlignment="1">
      <alignment horizontal="left" vertical="top" wrapText="1"/>
    </xf>
    <xf numFmtId="0" fontId="19" fillId="6" borderId="18" xfId="0" applyFont="1" applyFill="1" applyBorder="1" applyAlignment="1">
      <alignment horizontal="left" vertical="top" wrapText="1"/>
    </xf>
    <xf numFmtId="0" fontId="19" fillId="6" borderId="14" xfId="0" applyFont="1" applyFill="1" applyBorder="1" applyAlignment="1">
      <alignment horizontal="left" vertical="top" wrapText="1"/>
    </xf>
    <xf numFmtId="0" fontId="17" fillId="19" borderId="8" xfId="0" applyFont="1" applyFill="1" applyBorder="1" applyAlignment="1">
      <alignment horizontal="center"/>
    </xf>
    <xf numFmtId="0" fontId="10" fillId="6" borderId="6" xfId="0" applyFont="1" applyFill="1" applyBorder="1" applyAlignment="1">
      <alignment horizontal="left" vertical="top" wrapText="1"/>
    </xf>
    <xf numFmtId="0" fontId="17" fillId="6" borderId="8" xfId="0" applyFont="1" applyFill="1" applyBorder="1" applyAlignment="1">
      <alignment horizontal="center"/>
    </xf>
    <xf numFmtId="0" fontId="17" fillId="13" borderId="8" xfId="0" applyFont="1" applyFill="1" applyBorder="1" applyAlignment="1">
      <alignment horizontal="center"/>
    </xf>
    <xf numFmtId="0" fontId="16" fillId="5" borderId="13" xfId="0" applyFont="1" applyFill="1" applyBorder="1" applyAlignment="1">
      <alignment horizontal="center"/>
    </xf>
    <xf numFmtId="0" fontId="16" fillId="5" borderId="18" xfId="0" applyFont="1" applyFill="1" applyBorder="1" applyAlignment="1">
      <alignment horizontal="center"/>
    </xf>
    <xf numFmtId="0" fontId="16" fillId="5" borderId="14" xfId="0" applyFont="1" applyFill="1" applyBorder="1" applyAlignment="1">
      <alignment horizontal="center"/>
    </xf>
    <xf numFmtId="0" fontId="15" fillId="0" borderId="11" xfId="0" applyFont="1" applyBorder="1" applyAlignment="1">
      <alignment horizontal="center"/>
    </xf>
    <xf numFmtId="0" fontId="15" fillId="0" borderId="54" xfId="0" applyFont="1" applyBorder="1" applyAlignment="1">
      <alignment horizontal="center"/>
    </xf>
    <xf numFmtId="0" fontId="15" fillId="0" borderId="12" xfId="0" applyFont="1" applyBorder="1" applyAlignment="1">
      <alignment horizontal="center"/>
    </xf>
    <xf numFmtId="0" fontId="17" fillId="13" borderId="0" xfId="0" applyFont="1" applyFill="1"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FFCCFF"/>
      <color rgb="FFFF9966"/>
      <color rgb="FFCAD082"/>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38100</xdr:rowOff>
    </xdr:from>
    <xdr:to>
      <xdr:col>1</xdr:col>
      <xdr:colOff>1381125</xdr:colOff>
      <xdr:row>3</xdr:row>
      <xdr:rowOff>0</xdr:rowOff>
    </xdr:to>
    <xdr:pic>
      <xdr:nvPicPr>
        <xdr:cNvPr id="2" name="Picture 3" descr="logo">
          <a:extLst>
            <a:ext uri="{FF2B5EF4-FFF2-40B4-BE49-F238E27FC236}">
              <a16:creationId xmlns:a16="http://schemas.microsoft.com/office/drawing/2014/main" id="{778CB57D-DC18-4199-9B99-20E52016B8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38100"/>
          <a:ext cx="13620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3966808</xdr:colOff>
      <xdr:row>105</xdr:row>
      <xdr:rowOff>137584</xdr:rowOff>
    </xdr:from>
    <xdr:to>
      <xdr:col>2</xdr:col>
      <xdr:colOff>5340886</xdr:colOff>
      <xdr:row>105</xdr:row>
      <xdr:rowOff>1950632</xdr:rowOff>
    </xdr:to>
    <xdr:pic>
      <xdr:nvPicPr>
        <xdr:cNvPr id="3" name="Picture 2">
          <a:extLst>
            <a:ext uri="{FF2B5EF4-FFF2-40B4-BE49-F238E27FC236}">
              <a16:creationId xmlns:a16="http://schemas.microsoft.com/office/drawing/2014/main" id="{AC22DC07-F056-FAF4-FAC1-9EE11879C818}"/>
            </a:ext>
          </a:extLst>
        </xdr:cNvPr>
        <xdr:cNvPicPr>
          <a:picLocks noChangeAspect="1"/>
        </xdr:cNvPicPr>
      </xdr:nvPicPr>
      <xdr:blipFill>
        <a:blip xmlns:r="http://schemas.openxmlformats.org/officeDocument/2006/relationships" r:embed="rId2"/>
        <a:stretch>
          <a:fillRect/>
        </a:stretch>
      </xdr:blipFill>
      <xdr:spPr>
        <a:xfrm>
          <a:off x="5829475" y="150643167"/>
          <a:ext cx="1374078" cy="1813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0</xdr:row>
      <xdr:rowOff>38100</xdr:rowOff>
    </xdr:from>
    <xdr:to>
      <xdr:col>1</xdr:col>
      <xdr:colOff>1381125</xdr:colOff>
      <xdr:row>3</xdr:row>
      <xdr:rowOff>0</xdr:rowOff>
    </xdr:to>
    <xdr:pic>
      <xdr:nvPicPr>
        <xdr:cNvPr id="2" name="Picture 3" descr="logo">
          <a:extLst>
            <a:ext uri="{FF2B5EF4-FFF2-40B4-BE49-F238E27FC236}">
              <a16:creationId xmlns:a16="http://schemas.microsoft.com/office/drawing/2014/main" id="{85319BA9-40EB-497A-9676-61AF6D552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38100"/>
          <a:ext cx="13620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542925</xdr:colOff>
      <xdr:row>32</xdr:row>
      <xdr:rowOff>19050</xdr:rowOff>
    </xdr:from>
    <xdr:to>
      <xdr:col>7</xdr:col>
      <xdr:colOff>257561</xdr:colOff>
      <xdr:row>38</xdr:row>
      <xdr:rowOff>181181</xdr:rowOff>
    </xdr:to>
    <xdr:pic>
      <xdr:nvPicPr>
        <xdr:cNvPr id="2" name="Picture 1">
          <a:extLst>
            <a:ext uri="{FF2B5EF4-FFF2-40B4-BE49-F238E27FC236}">
              <a16:creationId xmlns:a16="http://schemas.microsoft.com/office/drawing/2014/main" id="{A6372C8D-9169-77D8-C760-312855483F3B}"/>
            </a:ext>
          </a:extLst>
        </xdr:cNvPr>
        <xdr:cNvPicPr>
          <a:picLocks noChangeAspect="1"/>
        </xdr:cNvPicPr>
      </xdr:nvPicPr>
      <xdr:blipFill>
        <a:blip xmlns:r="http://schemas.openxmlformats.org/officeDocument/2006/relationships" r:embed="rId1"/>
        <a:stretch>
          <a:fillRect/>
        </a:stretch>
      </xdr:blipFill>
      <xdr:spPr>
        <a:xfrm>
          <a:off x="3228975" y="13811250"/>
          <a:ext cx="2762636" cy="14765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409575</xdr:colOff>
      <xdr:row>17</xdr:row>
      <xdr:rowOff>92029</xdr:rowOff>
    </xdr:from>
    <xdr:to>
      <xdr:col>6</xdr:col>
      <xdr:colOff>209550</xdr:colOff>
      <xdr:row>25</xdr:row>
      <xdr:rowOff>152958</xdr:rowOff>
    </xdr:to>
    <xdr:pic>
      <xdr:nvPicPr>
        <xdr:cNvPr id="2" name="Picture 1">
          <a:extLst>
            <a:ext uri="{FF2B5EF4-FFF2-40B4-BE49-F238E27FC236}">
              <a16:creationId xmlns:a16="http://schemas.microsoft.com/office/drawing/2014/main" id="{9C5355BF-DF8A-F796-C5F0-ECBDBAF41668}"/>
            </a:ext>
          </a:extLst>
        </xdr:cNvPr>
        <xdr:cNvPicPr>
          <a:picLocks noChangeAspect="1"/>
        </xdr:cNvPicPr>
      </xdr:nvPicPr>
      <xdr:blipFill>
        <a:blip xmlns:r="http://schemas.openxmlformats.org/officeDocument/2006/relationships" r:embed="rId1"/>
        <a:stretch>
          <a:fillRect/>
        </a:stretch>
      </xdr:blipFill>
      <xdr:spPr>
        <a:xfrm>
          <a:off x="4381500" y="4321129"/>
          <a:ext cx="4581525" cy="397570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s://www.fergusonhome.com/moen-s665/s688947?uid=3595192"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5047-FBB5-424C-96A9-FAE7D0BF27A6}">
  <sheetPr>
    <tabColor rgb="FF00B050"/>
    <pageSetUpPr fitToPage="1"/>
  </sheetPr>
  <dimension ref="B1:P136"/>
  <sheetViews>
    <sheetView tabSelected="1" topLeftCell="A77" zoomScale="90" zoomScaleNormal="90" workbookViewId="0">
      <selection activeCell="B79" sqref="B79:H79"/>
    </sheetView>
  </sheetViews>
  <sheetFormatPr defaultRowHeight="15" x14ac:dyDescent="0.25"/>
  <cols>
    <col min="1" max="1" width="4.85546875" customWidth="1"/>
    <col min="2" max="2" width="23" style="40" customWidth="1"/>
    <col min="3" max="3" width="82" customWidth="1"/>
    <col min="4" max="4" width="15.28515625" style="40" customWidth="1"/>
    <col min="5" max="5" width="12" style="40" customWidth="1"/>
    <col min="6" max="6" width="17" style="70" customWidth="1"/>
    <col min="7" max="7" width="18.7109375" style="70" customWidth="1"/>
    <col min="8" max="8" width="18.28515625" style="41" customWidth="1"/>
    <col min="9" max="9" width="19.5703125" style="688" customWidth="1"/>
    <col min="10" max="10" width="20" customWidth="1"/>
    <col min="11" max="11" width="11.42578125" customWidth="1"/>
    <col min="12" max="12" width="57.7109375" customWidth="1"/>
    <col min="257" max="257" width="4.85546875" customWidth="1"/>
    <col min="258" max="258" width="22.140625" customWidth="1"/>
    <col min="259" max="259" width="82.5703125" customWidth="1"/>
    <col min="260" max="260" width="15.28515625" customWidth="1"/>
    <col min="261" max="261" width="11.140625" customWidth="1"/>
    <col min="262" max="262" width="17" customWidth="1"/>
    <col min="263" max="263" width="14" customWidth="1"/>
    <col min="264" max="264" width="17.140625" customWidth="1"/>
    <col min="265" max="265" width="16.28515625" bestFit="1" customWidth="1"/>
    <col min="267" max="267" width="11.42578125" customWidth="1"/>
    <col min="513" max="513" width="4.85546875" customWidth="1"/>
    <col min="514" max="514" width="22.140625" customWidth="1"/>
    <col min="515" max="515" width="82.5703125" customWidth="1"/>
    <col min="516" max="516" width="15.28515625" customWidth="1"/>
    <col min="517" max="517" width="11.140625" customWidth="1"/>
    <col min="518" max="518" width="17" customWidth="1"/>
    <col min="519" max="519" width="14" customWidth="1"/>
    <col min="520" max="520" width="17.140625" customWidth="1"/>
    <col min="521" max="521" width="16.28515625" bestFit="1" customWidth="1"/>
    <col min="523" max="523" width="11.42578125" customWidth="1"/>
    <col min="769" max="769" width="4.85546875" customWidth="1"/>
    <col min="770" max="770" width="22.140625" customWidth="1"/>
    <col min="771" max="771" width="82.5703125" customWidth="1"/>
    <col min="772" max="772" width="15.28515625" customWidth="1"/>
    <col min="773" max="773" width="11.140625" customWidth="1"/>
    <col min="774" max="774" width="17" customWidth="1"/>
    <col min="775" max="775" width="14" customWidth="1"/>
    <col min="776" max="776" width="17.140625" customWidth="1"/>
    <col min="777" max="777" width="16.28515625" bestFit="1" customWidth="1"/>
    <col min="779" max="779" width="11.42578125" customWidth="1"/>
    <col min="1025" max="1025" width="4.85546875" customWidth="1"/>
    <col min="1026" max="1026" width="22.140625" customWidth="1"/>
    <col min="1027" max="1027" width="82.5703125" customWidth="1"/>
    <col min="1028" max="1028" width="15.28515625" customWidth="1"/>
    <col min="1029" max="1029" width="11.140625" customWidth="1"/>
    <col min="1030" max="1030" width="17" customWidth="1"/>
    <col min="1031" max="1031" width="14" customWidth="1"/>
    <col min="1032" max="1032" width="17.140625" customWidth="1"/>
    <col min="1033" max="1033" width="16.28515625" bestFit="1" customWidth="1"/>
    <col min="1035" max="1035" width="11.42578125" customWidth="1"/>
    <col min="1281" max="1281" width="4.85546875" customWidth="1"/>
    <col min="1282" max="1282" width="22.140625" customWidth="1"/>
    <col min="1283" max="1283" width="82.5703125" customWidth="1"/>
    <col min="1284" max="1284" width="15.28515625" customWidth="1"/>
    <col min="1285" max="1285" width="11.140625" customWidth="1"/>
    <col min="1286" max="1286" width="17" customWidth="1"/>
    <col min="1287" max="1287" width="14" customWidth="1"/>
    <col min="1288" max="1288" width="17.140625" customWidth="1"/>
    <col min="1289" max="1289" width="16.28515625" bestFit="1" customWidth="1"/>
    <col min="1291" max="1291" width="11.42578125" customWidth="1"/>
    <col min="1537" max="1537" width="4.85546875" customWidth="1"/>
    <col min="1538" max="1538" width="22.140625" customWidth="1"/>
    <col min="1539" max="1539" width="82.5703125" customWidth="1"/>
    <col min="1540" max="1540" width="15.28515625" customWidth="1"/>
    <col min="1541" max="1541" width="11.140625" customWidth="1"/>
    <col min="1542" max="1542" width="17" customWidth="1"/>
    <col min="1543" max="1543" width="14" customWidth="1"/>
    <col min="1544" max="1544" width="17.140625" customWidth="1"/>
    <col min="1545" max="1545" width="16.28515625" bestFit="1" customWidth="1"/>
    <col min="1547" max="1547" width="11.42578125" customWidth="1"/>
    <col min="1793" max="1793" width="4.85546875" customWidth="1"/>
    <col min="1794" max="1794" width="22.140625" customWidth="1"/>
    <col min="1795" max="1795" width="82.5703125" customWidth="1"/>
    <col min="1796" max="1796" width="15.28515625" customWidth="1"/>
    <col min="1797" max="1797" width="11.140625" customWidth="1"/>
    <col min="1798" max="1798" width="17" customWidth="1"/>
    <col min="1799" max="1799" width="14" customWidth="1"/>
    <col min="1800" max="1800" width="17.140625" customWidth="1"/>
    <col min="1801" max="1801" width="16.28515625" bestFit="1" customWidth="1"/>
    <col min="1803" max="1803" width="11.42578125" customWidth="1"/>
    <col min="2049" max="2049" width="4.85546875" customWidth="1"/>
    <col min="2050" max="2050" width="22.140625" customWidth="1"/>
    <col min="2051" max="2051" width="82.5703125" customWidth="1"/>
    <col min="2052" max="2052" width="15.28515625" customWidth="1"/>
    <col min="2053" max="2053" width="11.140625" customWidth="1"/>
    <col min="2054" max="2054" width="17" customWidth="1"/>
    <col min="2055" max="2055" width="14" customWidth="1"/>
    <col min="2056" max="2056" width="17.140625" customWidth="1"/>
    <col min="2057" max="2057" width="16.28515625" bestFit="1" customWidth="1"/>
    <col min="2059" max="2059" width="11.42578125" customWidth="1"/>
    <col min="2305" max="2305" width="4.85546875" customWidth="1"/>
    <col min="2306" max="2306" width="22.140625" customWidth="1"/>
    <col min="2307" max="2307" width="82.5703125" customWidth="1"/>
    <col min="2308" max="2308" width="15.28515625" customWidth="1"/>
    <col min="2309" max="2309" width="11.140625" customWidth="1"/>
    <col min="2310" max="2310" width="17" customWidth="1"/>
    <col min="2311" max="2311" width="14" customWidth="1"/>
    <col min="2312" max="2312" width="17.140625" customWidth="1"/>
    <col min="2313" max="2313" width="16.28515625" bestFit="1" customWidth="1"/>
    <col min="2315" max="2315" width="11.42578125" customWidth="1"/>
    <col min="2561" max="2561" width="4.85546875" customWidth="1"/>
    <col min="2562" max="2562" width="22.140625" customWidth="1"/>
    <col min="2563" max="2563" width="82.5703125" customWidth="1"/>
    <col min="2564" max="2564" width="15.28515625" customWidth="1"/>
    <col min="2565" max="2565" width="11.140625" customWidth="1"/>
    <col min="2566" max="2566" width="17" customWidth="1"/>
    <col min="2567" max="2567" width="14" customWidth="1"/>
    <col min="2568" max="2568" width="17.140625" customWidth="1"/>
    <col min="2569" max="2569" width="16.28515625" bestFit="1" customWidth="1"/>
    <col min="2571" max="2571" width="11.42578125" customWidth="1"/>
    <col min="2817" max="2817" width="4.85546875" customWidth="1"/>
    <col min="2818" max="2818" width="22.140625" customWidth="1"/>
    <col min="2819" max="2819" width="82.5703125" customWidth="1"/>
    <col min="2820" max="2820" width="15.28515625" customWidth="1"/>
    <col min="2821" max="2821" width="11.140625" customWidth="1"/>
    <col min="2822" max="2822" width="17" customWidth="1"/>
    <col min="2823" max="2823" width="14" customWidth="1"/>
    <col min="2824" max="2824" width="17.140625" customWidth="1"/>
    <col min="2825" max="2825" width="16.28515625" bestFit="1" customWidth="1"/>
    <col min="2827" max="2827" width="11.42578125" customWidth="1"/>
    <col min="3073" max="3073" width="4.85546875" customWidth="1"/>
    <col min="3074" max="3074" width="22.140625" customWidth="1"/>
    <col min="3075" max="3075" width="82.5703125" customWidth="1"/>
    <col min="3076" max="3076" width="15.28515625" customWidth="1"/>
    <col min="3077" max="3077" width="11.140625" customWidth="1"/>
    <col min="3078" max="3078" width="17" customWidth="1"/>
    <col min="3079" max="3079" width="14" customWidth="1"/>
    <col min="3080" max="3080" width="17.140625" customWidth="1"/>
    <col min="3081" max="3081" width="16.28515625" bestFit="1" customWidth="1"/>
    <col min="3083" max="3083" width="11.42578125" customWidth="1"/>
    <col min="3329" max="3329" width="4.85546875" customWidth="1"/>
    <col min="3330" max="3330" width="22.140625" customWidth="1"/>
    <col min="3331" max="3331" width="82.5703125" customWidth="1"/>
    <col min="3332" max="3332" width="15.28515625" customWidth="1"/>
    <col min="3333" max="3333" width="11.140625" customWidth="1"/>
    <col min="3334" max="3334" width="17" customWidth="1"/>
    <col min="3335" max="3335" width="14" customWidth="1"/>
    <col min="3336" max="3336" width="17.140625" customWidth="1"/>
    <col min="3337" max="3337" width="16.28515625" bestFit="1" customWidth="1"/>
    <col min="3339" max="3339" width="11.42578125" customWidth="1"/>
    <col min="3585" max="3585" width="4.85546875" customWidth="1"/>
    <col min="3586" max="3586" width="22.140625" customWidth="1"/>
    <col min="3587" max="3587" width="82.5703125" customWidth="1"/>
    <col min="3588" max="3588" width="15.28515625" customWidth="1"/>
    <col min="3589" max="3589" width="11.140625" customWidth="1"/>
    <col min="3590" max="3590" width="17" customWidth="1"/>
    <col min="3591" max="3591" width="14" customWidth="1"/>
    <col min="3592" max="3592" width="17.140625" customWidth="1"/>
    <col min="3593" max="3593" width="16.28515625" bestFit="1" customWidth="1"/>
    <col min="3595" max="3595" width="11.42578125" customWidth="1"/>
    <col min="3841" max="3841" width="4.85546875" customWidth="1"/>
    <col min="3842" max="3842" width="22.140625" customWidth="1"/>
    <col min="3843" max="3843" width="82.5703125" customWidth="1"/>
    <col min="3844" max="3844" width="15.28515625" customWidth="1"/>
    <col min="3845" max="3845" width="11.140625" customWidth="1"/>
    <col min="3846" max="3846" width="17" customWidth="1"/>
    <col min="3847" max="3847" width="14" customWidth="1"/>
    <col min="3848" max="3848" width="17.140625" customWidth="1"/>
    <col min="3849" max="3849" width="16.28515625" bestFit="1" customWidth="1"/>
    <col min="3851" max="3851" width="11.42578125" customWidth="1"/>
    <col min="4097" max="4097" width="4.85546875" customWidth="1"/>
    <col min="4098" max="4098" width="22.140625" customWidth="1"/>
    <col min="4099" max="4099" width="82.5703125" customWidth="1"/>
    <col min="4100" max="4100" width="15.28515625" customWidth="1"/>
    <col min="4101" max="4101" width="11.140625" customWidth="1"/>
    <col min="4102" max="4102" width="17" customWidth="1"/>
    <col min="4103" max="4103" width="14" customWidth="1"/>
    <col min="4104" max="4104" width="17.140625" customWidth="1"/>
    <col min="4105" max="4105" width="16.28515625" bestFit="1" customWidth="1"/>
    <col min="4107" max="4107" width="11.42578125" customWidth="1"/>
    <col min="4353" max="4353" width="4.85546875" customWidth="1"/>
    <col min="4354" max="4354" width="22.140625" customWidth="1"/>
    <col min="4355" max="4355" width="82.5703125" customWidth="1"/>
    <col min="4356" max="4356" width="15.28515625" customWidth="1"/>
    <col min="4357" max="4357" width="11.140625" customWidth="1"/>
    <col min="4358" max="4358" width="17" customWidth="1"/>
    <col min="4359" max="4359" width="14" customWidth="1"/>
    <col min="4360" max="4360" width="17.140625" customWidth="1"/>
    <col min="4361" max="4361" width="16.28515625" bestFit="1" customWidth="1"/>
    <col min="4363" max="4363" width="11.42578125" customWidth="1"/>
    <col min="4609" max="4609" width="4.85546875" customWidth="1"/>
    <col min="4610" max="4610" width="22.140625" customWidth="1"/>
    <col min="4611" max="4611" width="82.5703125" customWidth="1"/>
    <col min="4612" max="4612" width="15.28515625" customWidth="1"/>
    <col min="4613" max="4613" width="11.140625" customWidth="1"/>
    <col min="4614" max="4614" width="17" customWidth="1"/>
    <col min="4615" max="4615" width="14" customWidth="1"/>
    <col min="4616" max="4616" width="17.140625" customWidth="1"/>
    <col min="4617" max="4617" width="16.28515625" bestFit="1" customWidth="1"/>
    <col min="4619" max="4619" width="11.42578125" customWidth="1"/>
    <col min="4865" max="4865" width="4.85546875" customWidth="1"/>
    <col min="4866" max="4866" width="22.140625" customWidth="1"/>
    <col min="4867" max="4867" width="82.5703125" customWidth="1"/>
    <col min="4868" max="4868" width="15.28515625" customWidth="1"/>
    <col min="4869" max="4869" width="11.140625" customWidth="1"/>
    <col min="4870" max="4870" width="17" customWidth="1"/>
    <col min="4871" max="4871" width="14" customWidth="1"/>
    <col min="4872" max="4872" width="17.140625" customWidth="1"/>
    <col min="4873" max="4873" width="16.28515625" bestFit="1" customWidth="1"/>
    <col min="4875" max="4875" width="11.42578125" customWidth="1"/>
    <col min="5121" max="5121" width="4.85546875" customWidth="1"/>
    <col min="5122" max="5122" width="22.140625" customWidth="1"/>
    <col min="5123" max="5123" width="82.5703125" customWidth="1"/>
    <col min="5124" max="5124" width="15.28515625" customWidth="1"/>
    <col min="5125" max="5125" width="11.140625" customWidth="1"/>
    <col min="5126" max="5126" width="17" customWidth="1"/>
    <col min="5127" max="5127" width="14" customWidth="1"/>
    <col min="5128" max="5128" width="17.140625" customWidth="1"/>
    <col min="5129" max="5129" width="16.28515625" bestFit="1" customWidth="1"/>
    <col min="5131" max="5131" width="11.42578125" customWidth="1"/>
    <col min="5377" max="5377" width="4.85546875" customWidth="1"/>
    <col min="5378" max="5378" width="22.140625" customWidth="1"/>
    <col min="5379" max="5379" width="82.5703125" customWidth="1"/>
    <col min="5380" max="5380" width="15.28515625" customWidth="1"/>
    <col min="5381" max="5381" width="11.140625" customWidth="1"/>
    <col min="5382" max="5382" width="17" customWidth="1"/>
    <col min="5383" max="5383" width="14" customWidth="1"/>
    <col min="5384" max="5384" width="17.140625" customWidth="1"/>
    <col min="5385" max="5385" width="16.28515625" bestFit="1" customWidth="1"/>
    <col min="5387" max="5387" width="11.42578125" customWidth="1"/>
    <col min="5633" max="5633" width="4.85546875" customWidth="1"/>
    <col min="5634" max="5634" width="22.140625" customWidth="1"/>
    <col min="5635" max="5635" width="82.5703125" customWidth="1"/>
    <col min="5636" max="5636" width="15.28515625" customWidth="1"/>
    <col min="5637" max="5637" width="11.140625" customWidth="1"/>
    <col min="5638" max="5638" width="17" customWidth="1"/>
    <col min="5639" max="5639" width="14" customWidth="1"/>
    <col min="5640" max="5640" width="17.140625" customWidth="1"/>
    <col min="5641" max="5641" width="16.28515625" bestFit="1" customWidth="1"/>
    <col min="5643" max="5643" width="11.42578125" customWidth="1"/>
    <col min="5889" max="5889" width="4.85546875" customWidth="1"/>
    <col min="5890" max="5890" width="22.140625" customWidth="1"/>
    <col min="5891" max="5891" width="82.5703125" customWidth="1"/>
    <col min="5892" max="5892" width="15.28515625" customWidth="1"/>
    <col min="5893" max="5893" width="11.140625" customWidth="1"/>
    <col min="5894" max="5894" width="17" customWidth="1"/>
    <col min="5895" max="5895" width="14" customWidth="1"/>
    <col min="5896" max="5896" width="17.140625" customWidth="1"/>
    <col min="5897" max="5897" width="16.28515625" bestFit="1" customWidth="1"/>
    <col min="5899" max="5899" width="11.42578125" customWidth="1"/>
    <col min="6145" max="6145" width="4.85546875" customWidth="1"/>
    <col min="6146" max="6146" width="22.140625" customWidth="1"/>
    <col min="6147" max="6147" width="82.5703125" customWidth="1"/>
    <col min="6148" max="6148" width="15.28515625" customWidth="1"/>
    <col min="6149" max="6149" width="11.140625" customWidth="1"/>
    <col min="6150" max="6150" width="17" customWidth="1"/>
    <col min="6151" max="6151" width="14" customWidth="1"/>
    <col min="6152" max="6152" width="17.140625" customWidth="1"/>
    <col min="6153" max="6153" width="16.28515625" bestFit="1" customWidth="1"/>
    <col min="6155" max="6155" width="11.42578125" customWidth="1"/>
    <col min="6401" max="6401" width="4.85546875" customWidth="1"/>
    <col min="6402" max="6402" width="22.140625" customWidth="1"/>
    <col min="6403" max="6403" width="82.5703125" customWidth="1"/>
    <col min="6404" max="6404" width="15.28515625" customWidth="1"/>
    <col min="6405" max="6405" width="11.140625" customWidth="1"/>
    <col min="6406" max="6406" width="17" customWidth="1"/>
    <col min="6407" max="6407" width="14" customWidth="1"/>
    <col min="6408" max="6408" width="17.140625" customWidth="1"/>
    <col min="6409" max="6409" width="16.28515625" bestFit="1" customWidth="1"/>
    <col min="6411" max="6411" width="11.42578125" customWidth="1"/>
    <col min="6657" max="6657" width="4.85546875" customWidth="1"/>
    <col min="6658" max="6658" width="22.140625" customWidth="1"/>
    <col min="6659" max="6659" width="82.5703125" customWidth="1"/>
    <col min="6660" max="6660" width="15.28515625" customWidth="1"/>
    <col min="6661" max="6661" width="11.140625" customWidth="1"/>
    <col min="6662" max="6662" width="17" customWidth="1"/>
    <col min="6663" max="6663" width="14" customWidth="1"/>
    <col min="6664" max="6664" width="17.140625" customWidth="1"/>
    <col min="6665" max="6665" width="16.28515625" bestFit="1" customWidth="1"/>
    <col min="6667" max="6667" width="11.42578125" customWidth="1"/>
    <col min="6913" max="6913" width="4.85546875" customWidth="1"/>
    <col min="6914" max="6914" width="22.140625" customWidth="1"/>
    <col min="6915" max="6915" width="82.5703125" customWidth="1"/>
    <col min="6916" max="6916" width="15.28515625" customWidth="1"/>
    <col min="6917" max="6917" width="11.140625" customWidth="1"/>
    <col min="6918" max="6918" width="17" customWidth="1"/>
    <col min="6919" max="6919" width="14" customWidth="1"/>
    <col min="6920" max="6920" width="17.140625" customWidth="1"/>
    <col min="6921" max="6921" width="16.28515625" bestFit="1" customWidth="1"/>
    <col min="6923" max="6923" width="11.42578125" customWidth="1"/>
    <col min="7169" max="7169" width="4.85546875" customWidth="1"/>
    <col min="7170" max="7170" width="22.140625" customWidth="1"/>
    <col min="7171" max="7171" width="82.5703125" customWidth="1"/>
    <col min="7172" max="7172" width="15.28515625" customWidth="1"/>
    <col min="7173" max="7173" width="11.140625" customWidth="1"/>
    <col min="7174" max="7174" width="17" customWidth="1"/>
    <col min="7175" max="7175" width="14" customWidth="1"/>
    <col min="7176" max="7176" width="17.140625" customWidth="1"/>
    <col min="7177" max="7177" width="16.28515625" bestFit="1" customWidth="1"/>
    <col min="7179" max="7179" width="11.42578125" customWidth="1"/>
    <col min="7425" max="7425" width="4.85546875" customWidth="1"/>
    <col min="7426" max="7426" width="22.140625" customWidth="1"/>
    <col min="7427" max="7427" width="82.5703125" customWidth="1"/>
    <col min="7428" max="7428" width="15.28515625" customWidth="1"/>
    <col min="7429" max="7429" width="11.140625" customWidth="1"/>
    <col min="7430" max="7430" width="17" customWidth="1"/>
    <col min="7431" max="7431" width="14" customWidth="1"/>
    <col min="7432" max="7432" width="17.140625" customWidth="1"/>
    <col min="7433" max="7433" width="16.28515625" bestFit="1" customWidth="1"/>
    <col min="7435" max="7435" width="11.42578125" customWidth="1"/>
    <col min="7681" max="7681" width="4.85546875" customWidth="1"/>
    <col min="7682" max="7682" width="22.140625" customWidth="1"/>
    <col min="7683" max="7683" width="82.5703125" customWidth="1"/>
    <col min="7684" max="7684" width="15.28515625" customWidth="1"/>
    <col min="7685" max="7685" width="11.140625" customWidth="1"/>
    <col min="7686" max="7686" width="17" customWidth="1"/>
    <col min="7687" max="7687" width="14" customWidth="1"/>
    <col min="7688" max="7688" width="17.140625" customWidth="1"/>
    <col min="7689" max="7689" width="16.28515625" bestFit="1" customWidth="1"/>
    <col min="7691" max="7691" width="11.42578125" customWidth="1"/>
    <col min="7937" max="7937" width="4.85546875" customWidth="1"/>
    <col min="7938" max="7938" width="22.140625" customWidth="1"/>
    <col min="7939" max="7939" width="82.5703125" customWidth="1"/>
    <col min="7940" max="7940" width="15.28515625" customWidth="1"/>
    <col min="7941" max="7941" width="11.140625" customWidth="1"/>
    <col min="7942" max="7942" width="17" customWidth="1"/>
    <col min="7943" max="7943" width="14" customWidth="1"/>
    <col min="7944" max="7944" width="17.140625" customWidth="1"/>
    <col min="7945" max="7945" width="16.28515625" bestFit="1" customWidth="1"/>
    <col min="7947" max="7947" width="11.42578125" customWidth="1"/>
    <col min="8193" max="8193" width="4.85546875" customWidth="1"/>
    <col min="8194" max="8194" width="22.140625" customWidth="1"/>
    <col min="8195" max="8195" width="82.5703125" customWidth="1"/>
    <col min="8196" max="8196" width="15.28515625" customWidth="1"/>
    <col min="8197" max="8197" width="11.140625" customWidth="1"/>
    <col min="8198" max="8198" width="17" customWidth="1"/>
    <col min="8199" max="8199" width="14" customWidth="1"/>
    <col min="8200" max="8200" width="17.140625" customWidth="1"/>
    <col min="8201" max="8201" width="16.28515625" bestFit="1" customWidth="1"/>
    <col min="8203" max="8203" width="11.42578125" customWidth="1"/>
    <col min="8449" max="8449" width="4.85546875" customWidth="1"/>
    <col min="8450" max="8450" width="22.140625" customWidth="1"/>
    <col min="8451" max="8451" width="82.5703125" customWidth="1"/>
    <col min="8452" max="8452" width="15.28515625" customWidth="1"/>
    <col min="8453" max="8453" width="11.140625" customWidth="1"/>
    <col min="8454" max="8454" width="17" customWidth="1"/>
    <col min="8455" max="8455" width="14" customWidth="1"/>
    <col min="8456" max="8456" width="17.140625" customWidth="1"/>
    <col min="8457" max="8457" width="16.28515625" bestFit="1" customWidth="1"/>
    <col min="8459" max="8459" width="11.42578125" customWidth="1"/>
    <col min="8705" max="8705" width="4.85546875" customWidth="1"/>
    <col min="8706" max="8706" width="22.140625" customWidth="1"/>
    <col min="8707" max="8707" width="82.5703125" customWidth="1"/>
    <col min="8708" max="8708" width="15.28515625" customWidth="1"/>
    <col min="8709" max="8709" width="11.140625" customWidth="1"/>
    <col min="8710" max="8710" width="17" customWidth="1"/>
    <col min="8711" max="8711" width="14" customWidth="1"/>
    <col min="8712" max="8712" width="17.140625" customWidth="1"/>
    <col min="8713" max="8713" width="16.28515625" bestFit="1" customWidth="1"/>
    <col min="8715" max="8715" width="11.42578125" customWidth="1"/>
    <col min="8961" max="8961" width="4.85546875" customWidth="1"/>
    <col min="8962" max="8962" width="22.140625" customWidth="1"/>
    <col min="8963" max="8963" width="82.5703125" customWidth="1"/>
    <col min="8964" max="8964" width="15.28515625" customWidth="1"/>
    <col min="8965" max="8965" width="11.140625" customWidth="1"/>
    <col min="8966" max="8966" width="17" customWidth="1"/>
    <col min="8967" max="8967" width="14" customWidth="1"/>
    <col min="8968" max="8968" width="17.140625" customWidth="1"/>
    <col min="8969" max="8969" width="16.28515625" bestFit="1" customWidth="1"/>
    <col min="8971" max="8971" width="11.42578125" customWidth="1"/>
    <col min="9217" max="9217" width="4.85546875" customWidth="1"/>
    <col min="9218" max="9218" width="22.140625" customWidth="1"/>
    <col min="9219" max="9219" width="82.5703125" customWidth="1"/>
    <col min="9220" max="9220" width="15.28515625" customWidth="1"/>
    <col min="9221" max="9221" width="11.140625" customWidth="1"/>
    <col min="9222" max="9222" width="17" customWidth="1"/>
    <col min="9223" max="9223" width="14" customWidth="1"/>
    <col min="9224" max="9224" width="17.140625" customWidth="1"/>
    <col min="9225" max="9225" width="16.28515625" bestFit="1" customWidth="1"/>
    <col min="9227" max="9227" width="11.42578125" customWidth="1"/>
    <col min="9473" max="9473" width="4.85546875" customWidth="1"/>
    <col min="9474" max="9474" width="22.140625" customWidth="1"/>
    <col min="9475" max="9475" width="82.5703125" customWidth="1"/>
    <col min="9476" max="9476" width="15.28515625" customWidth="1"/>
    <col min="9477" max="9477" width="11.140625" customWidth="1"/>
    <col min="9478" max="9478" width="17" customWidth="1"/>
    <col min="9479" max="9479" width="14" customWidth="1"/>
    <col min="9480" max="9480" width="17.140625" customWidth="1"/>
    <col min="9481" max="9481" width="16.28515625" bestFit="1" customWidth="1"/>
    <col min="9483" max="9483" width="11.42578125" customWidth="1"/>
    <col min="9729" max="9729" width="4.85546875" customWidth="1"/>
    <col min="9730" max="9730" width="22.140625" customWidth="1"/>
    <col min="9731" max="9731" width="82.5703125" customWidth="1"/>
    <col min="9732" max="9732" width="15.28515625" customWidth="1"/>
    <col min="9733" max="9733" width="11.140625" customWidth="1"/>
    <col min="9734" max="9734" width="17" customWidth="1"/>
    <col min="9735" max="9735" width="14" customWidth="1"/>
    <col min="9736" max="9736" width="17.140625" customWidth="1"/>
    <col min="9737" max="9737" width="16.28515625" bestFit="1" customWidth="1"/>
    <col min="9739" max="9739" width="11.42578125" customWidth="1"/>
    <col min="9985" max="9985" width="4.85546875" customWidth="1"/>
    <col min="9986" max="9986" width="22.140625" customWidth="1"/>
    <col min="9987" max="9987" width="82.5703125" customWidth="1"/>
    <col min="9988" max="9988" width="15.28515625" customWidth="1"/>
    <col min="9989" max="9989" width="11.140625" customWidth="1"/>
    <col min="9990" max="9990" width="17" customWidth="1"/>
    <col min="9991" max="9991" width="14" customWidth="1"/>
    <col min="9992" max="9992" width="17.140625" customWidth="1"/>
    <col min="9993" max="9993" width="16.28515625" bestFit="1" customWidth="1"/>
    <col min="9995" max="9995" width="11.42578125" customWidth="1"/>
    <col min="10241" max="10241" width="4.85546875" customWidth="1"/>
    <col min="10242" max="10242" width="22.140625" customWidth="1"/>
    <col min="10243" max="10243" width="82.5703125" customWidth="1"/>
    <col min="10244" max="10244" width="15.28515625" customWidth="1"/>
    <col min="10245" max="10245" width="11.140625" customWidth="1"/>
    <col min="10246" max="10246" width="17" customWidth="1"/>
    <col min="10247" max="10247" width="14" customWidth="1"/>
    <col min="10248" max="10248" width="17.140625" customWidth="1"/>
    <col min="10249" max="10249" width="16.28515625" bestFit="1" customWidth="1"/>
    <col min="10251" max="10251" width="11.42578125" customWidth="1"/>
    <col min="10497" max="10497" width="4.85546875" customWidth="1"/>
    <col min="10498" max="10498" width="22.140625" customWidth="1"/>
    <col min="10499" max="10499" width="82.5703125" customWidth="1"/>
    <col min="10500" max="10500" width="15.28515625" customWidth="1"/>
    <col min="10501" max="10501" width="11.140625" customWidth="1"/>
    <col min="10502" max="10502" width="17" customWidth="1"/>
    <col min="10503" max="10503" width="14" customWidth="1"/>
    <col min="10504" max="10504" width="17.140625" customWidth="1"/>
    <col min="10505" max="10505" width="16.28515625" bestFit="1" customWidth="1"/>
    <col min="10507" max="10507" width="11.42578125" customWidth="1"/>
    <col min="10753" max="10753" width="4.85546875" customWidth="1"/>
    <col min="10754" max="10754" width="22.140625" customWidth="1"/>
    <col min="10755" max="10755" width="82.5703125" customWidth="1"/>
    <col min="10756" max="10756" width="15.28515625" customWidth="1"/>
    <col min="10757" max="10757" width="11.140625" customWidth="1"/>
    <col min="10758" max="10758" width="17" customWidth="1"/>
    <col min="10759" max="10759" width="14" customWidth="1"/>
    <col min="10760" max="10760" width="17.140625" customWidth="1"/>
    <col min="10761" max="10761" width="16.28515625" bestFit="1" customWidth="1"/>
    <col min="10763" max="10763" width="11.42578125" customWidth="1"/>
    <col min="11009" max="11009" width="4.85546875" customWidth="1"/>
    <col min="11010" max="11010" width="22.140625" customWidth="1"/>
    <col min="11011" max="11011" width="82.5703125" customWidth="1"/>
    <col min="11012" max="11012" width="15.28515625" customWidth="1"/>
    <col min="11013" max="11013" width="11.140625" customWidth="1"/>
    <col min="11014" max="11014" width="17" customWidth="1"/>
    <col min="11015" max="11015" width="14" customWidth="1"/>
    <col min="11016" max="11016" width="17.140625" customWidth="1"/>
    <col min="11017" max="11017" width="16.28515625" bestFit="1" customWidth="1"/>
    <col min="11019" max="11019" width="11.42578125" customWidth="1"/>
    <col min="11265" max="11265" width="4.85546875" customWidth="1"/>
    <col min="11266" max="11266" width="22.140625" customWidth="1"/>
    <col min="11267" max="11267" width="82.5703125" customWidth="1"/>
    <col min="11268" max="11268" width="15.28515625" customWidth="1"/>
    <col min="11269" max="11269" width="11.140625" customWidth="1"/>
    <col min="11270" max="11270" width="17" customWidth="1"/>
    <col min="11271" max="11271" width="14" customWidth="1"/>
    <col min="11272" max="11272" width="17.140625" customWidth="1"/>
    <col min="11273" max="11273" width="16.28515625" bestFit="1" customWidth="1"/>
    <col min="11275" max="11275" width="11.42578125" customWidth="1"/>
    <col min="11521" max="11521" width="4.85546875" customWidth="1"/>
    <col min="11522" max="11522" width="22.140625" customWidth="1"/>
    <col min="11523" max="11523" width="82.5703125" customWidth="1"/>
    <col min="11524" max="11524" width="15.28515625" customWidth="1"/>
    <col min="11525" max="11525" width="11.140625" customWidth="1"/>
    <col min="11526" max="11526" width="17" customWidth="1"/>
    <col min="11527" max="11527" width="14" customWidth="1"/>
    <col min="11528" max="11528" width="17.140625" customWidth="1"/>
    <col min="11529" max="11529" width="16.28515625" bestFit="1" customWidth="1"/>
    <col min="11531" max="11531" width="11.42578125" customWidth="1"/>
    <col min="11777" max="11777" width="4.85546875" customWidth="1"/>
    <col min="11778" max="11778" width="22.140625" customWidth="1"/>
    <col min="11779" max="11779" width="82.5703125" customWidth="1"/>
    <col min="11780" max="11780" width="15.28515625" customWidth="1"/>
    <col min="11781" max="11781" width="11.140625" customWidth="1"/>
    <col min="11782" max="11782" width="17" customWidth="1"/>
    <col min="11783" max="11783" width="14" customWidth="1"/>
    <col min="11784" max="11784" width="17.140625" customWidth="1"/>
    <col min="11785" max="11785" width="16.28515625" bestFit="1" customWidth="1"/>
    <col min="11787" max="11787" width="11.42578125" customWidth="1"/>
    <col min="12033" max="12033" width="4.85546875" customWidth="1"/>
    <col min="12034" max="12034" width="22.140625" customWidth="1"/>
    <col min="12035" max="12035" width="82.5703125" customWidth="1"/>
    <col min="12036" max="12036" width="15.28515625" customWidth="1"/>
    <col min="12037" max="12037" width="11.140625" customWidth="1"/>
    <col min="12038" max="12038" width="17" customWidth="1"/>
    <col min="12039" max="12039" width="14" customWidth="1"/>
    <col min="12040" max="12040" width="17.140625" customWidth="1"/>
    <col min="12041" max="12041" width="16.28515625" bestFit="1" customWidth="1"/>
    <col min="12043" max="12043" width="11.42578125" customWidth="1"/>
    <col min="12289" max="12289" width="4.85546875" customWidth="1"/>
    <col min="12290" max="12290" width="22.140625" customWidth="1"/>
    <col min="12291" max="12291" width="82.5703125" customWidth="1"/>
    <col min="12292" max="12292" width="15.28515625" customWidth="1"/>
    <col min="12293" max="12293" width="11.140625" customWidth="1"/>
    <col min="12294" max="12294" width="17" customWidth="1"/>
    <col min="12295" max="12295" width="14" customWidth="1"/>
    <col min="12296" max="12296" width="17.140625" customWidth="1"/>
    <col min="12297" max="12297" width="16.28515625" bestFit="1" customWidth="1"/>
    <col min="12299" max="12299" width="11.42578125" customWidth="1"/>
    <col min="12545" max="12545" width="4.85546875" customWidth="1"/>
    <col min="12546" max="12546" width="22.140625" customWidth="1"/>
    <col min="12547" max="12547" width="82.5703125" customWidth="1"/>
    <col min="12548" max="12548" width="15.28515625" customWidth="1"/>
    <col min="12549" max="12549" width="11.140625" customWidth="1"/>
    <col min="12550" max="12550" width="17" customWidth="1"/>
    <col min="12551" max="12551" width="14" customWidth="1"/>
    <col min="12552" max="12552" width="17.140625" customWidth="1"/>
    <col min="12553" max="12553" width="16.28515625" bestFit="1" customWidth="1"/>
    <col min="12555" max="12555" width="11.42578125" customWidth="1"/>
    <col min="12801" max="12801" width="4.85546875" customWidth="1"/>
    <col min="12802" max="12802" width="22.140625" customWidth="1"/>
    <col min="12803" max="12803" width="82.5703125" customWidth="1"/>
    <col min="12804" max="12804" width="15.28515625" customWidth="1"/>
    <col min="12805" max="12805" width="11.140625" customWidth="1"/>
    <col min="12806" max="12806" width="17" customWidth="1"/>
    <col min="12807" max="12807" width="14" customWidth="1"/>
    <col min="12808" max="12808" width="17.140625" customWidth="1"/>
    <col min="12809" max="12809" width="16.28515625" bestFit="1" customWidth="1"/>
    <col min="12811" max="12811" width="11.42578125" customWidth="1"/>
    <col min="13057" max="13057" width="4.85546875" customWidth="1"/>
    <col min="13058" max="13058" width="22.140625" customWidth="1"/>
    <col min="13059" max="13059" width="82.5703125" customWidth="1"/>
    <col min="13060" max="13060" width="15.28515625" customWidth="1"/>
    <col min="13061" max="13061" width="11.140625" customWidth="1"/>
    <col min="13062" max="13062" width="17" customWidth="1"/>
    <col min="13063" max="13063" width="14" customWidth="1"/>
    <col min="13064" max="13064" width="17.140625" customWidth="1"/>
    <col min="13065" max="13065" width="16.28515625" bestFit="1" customWidth="1"/>
    <col min="13067" max="13067" width="11.42578125" customWidth="1"/>
    <col min="13313" max="13313" width="4.85546875" customWidth="1"/>
    <col min="13314" max="13314" width="22.140625" customWidth="1"/>
    <col min="13315" max="13315" width="82.5703125" customWidth="1"/>
    <col min="13316" max="13316" width="15.28515625" customWidth="1"/>
    <col min="13317" max="13317" width="11.140625" customWidth="1"/>
    <col min="13318" max="13318" width="17" customWidth="1"/>
    <col min="13319" max="13319" width="14" customWidth="1"/>
    <col min="13320" max="13320" width="17.140625" customWidth="1"/>
    <col min="13321" max="13321" width="16.28515625" bestFit="1" customWidth="1"/>
    <col min="13323" max="13323" width="11.42578125" customWidth="1"/>
    <col min="13569" max="13569" width="4.85546875" customWidth="1"/>
    <col min="13570" max="13570" width="22.140625" customWidth="1"/>
    <col min="13571" max="13571" width="82.5703125" customWidth="1"/>
    <col min="13572" max="13572" width="15.28515625" customWidth="1"/>
    <col min="13573" max="13573" width="11.140625" customWidth="1"/>
    <col min="13574" max="13574" width="17" customWidth="1"/>
    <col min="13575" max="13575" width="14" customWidth="1"/>
    <col min="13576" max="13576" width="17.140625" customWidth="1"/>
    <col min="13577" max="13577" width="16.28515625" bestFit="1" customWidth="1"/>
    <col min="13579" max="13579" width="11.42578125" customWidth="1"/>
    <col min="13825" max="13825" width="4.85546875" customWidth="1"/>
    <col min="13826" max="13826" width="22.140625" customWidth="1"/>
    <col min="13827" max="13827" width="82.5703125" customWidth="1"/>
    <col min="13828" max="13828" width="15.28515625" customWidth="1"/>
    <col min="13829" max="13829" width="11.140625" customWidth="1"/>
    <col min="13830" max="13830" width="17" customWidth="1"/>
    <col min="13831" max="13831" width="14" customWidth="1"/>
    <col min="13832" max="13832" width="17.140625" customWidth="1"/>
    <col min="13833" max="13833" width="16.28515625" bestFit="1" customWidth="1"/>
    <col min="13835" max="13835" width="11.42578125" customWidth="1"/>
    <col min="14081" max="14081" width="4.85546875" customWidth="1"/>
    <col min="14082" max="14082" width="22.140625" customWidth="1"/>
    <col min="14083" max="14083" width="82.5703125" customWidth="1"/>
    <col min="14084" max="14084" width="15.28515625" customWidth="1"/>
    <col min="14085" max="14085" width="11.140625" customWidth="1"/>
    <col min="14086" max="14086" width="17" customWidth="1"/>
    <col min="14087" max="14087" width="14" customWidth="1"/>
    <col min="14088" max="14088" width="17.140625" customWidth="1"/>
    <col min="14089" max="14089" width="16.28515625" bestFit="1" customWidth="1"/>
    <col min="14091" max="14091" width="11.42578125" customWidth="1"/>
    <col min="14337" max="14337" width="4.85546875" customWidth="1"/>
    <col min="14338" max="14338" width="22.140625" customWidth="1"/>
    <col min="14339" max="14339" width="82.5703125" customWidth="1"/>
    <col min="14340" max="14340" width="15.28515625" customWidth="1"/>
    <col min="14341" max="14341" width="11.140625" customWidth="1"/>
    <col min="14342" max="14342" width="17" customWidth="1"/>
    <col min="14343" max="14343" width="14" customWidth="1"/>
    <col min="14344" max="14344" width="17.140625" customWidth="1"/>
    <col min="14345" max="14345" width="16.28515625" bestFit="1" customWidth="1"/>
    <col min="14347" max="14347" width="11.42578125" customWidth="1"/>
    <col min="14593" max="14593" width="4.85546875" customWidth="1"/>
    <col min="14594" max="14594" width="22.140625" customWidth="1"/>
    <col min="14595" max="14595" width="82.5703125" customWidth="1"/>
    <col min="14596" max="14596" width="15.28515625" customWidth="1"/>
    <col min="14597" max="14597" width="11.140625" customWidth="1"/>
    <col min="14598" max="14598" width="17" customWidth="1"/>
    <col min="14599" max="14599" width="14" customWidth="1"/>
    <col min="14600" max="14600" width="17.140625" customWidth="1"/>
    <col min="14601" max="14601" width="16.28515625" bestFit="1" customWidth="1"/>
    <col min="14603" max="14603" width="11.42578125" customWidth="1"/>
    <col min="14849" max="14849" width="4.85546875" customWidth="1"/>
    <col min="14850" max="14850" width="22.140625" customWidth="1"/>
    <col min="14851" max="14851" width="82.5703125" customWidth="1"/>
    <col min="14852" max="14852" width="15.28515625" customWidth="1"/>
    <col min="14853" max="14853" width="11.140625" customWidth="1"/>
    <col min="14854" max="14854" width="17" customWidth="1"/>
    <col min="14855" max="14855" width="14" customWidth="1"/>
    <col min="14856" max="14856" width="17.140625" customWidth="1"/>
    <col min="14857" max="14857" width="16.28515625" bestFit="1" customWidth="1"/>
    <col min="14859" max="14859" width="11.42578125" customWidth="1"/>
    <col min="15105" max="15105" width="4.85546875" customWidth="1"/>
    <col min="15106" max="15106" width="22.140625" customWidth="1"/>
    <col min="15107" max="15107" width="82.5703125" customWidth="1"/>
    <col min="15108" max="15108" width="15.28515625" customWidth="1"/>
    <col min="15109" max="15109" width="11.140625" customWidth="1"/>
    <col min="15110" max="15110" width="17" customWidth="1"/>
    <col min="15111" max="15111" width="14" customWidth="1"/>
    <col min="15112" max="15112" width="17.140625" customWidth="1"/>
    <col min="15113" max="15113" width="16.28515625" bestFit="1" customWidth="1"/>
    <col min="15115" max="15115" width="11.42578125" customWidth="1"/>
    <col min="15361" max="15361" width="4.85546875" customWidth="1"/>
    <col min="15362" max="15362" width="22.140625" customWidth="1"/>
    <col min="15363" max="15363" width="82.5703125" customWidth="1"/>
    <col min="15364" max="15364" width="15.28515625" customWidth="1"/>
    <col min="15365" max="15365" width="11.140625" customWidth="1"/>
    <col min="15366" max="15366" width="17" customWidth="1"/>
    <col min="15367" max="15367" width="14" customWidth="1"/>
    <col min="15368" max="15368" width="17.140625" customWidth="1"/>
    <col min="15369" max="15369" width="16.28515625" bestFit="1" customWidth="1"/>
    <col min="15371" max="15371" width="11.42578125" customWidth="1"/>
    <col min="15617" max="15617" width="4.85546875" customWidth="1"/>
    <col min="15618" max="15618" width="22.140625" customWidth="1"/>
    <col min="15619" max="15619" width="82.5703125" customWidth="1"/>
    <col min="15620" max="15620" width="15.28515625" customWidth="1"/>
    <col min="15621" max="15621" width="11.140625" customWidth="1"/>
    <col min="15622" max="15622" width="17" customWidth="1"/>
    <col min="15623" max="15623" width="14" customWidth="1"/>
    <col min="15624" max="15624" width="17.140625" customWidth="1"/>
    <col min="15625" max="15625" width="16.28515625" bestFit="1" customWidth="1"/>
    <col min="15627" max="15627" width="11.42578125" customWidth="1"/>
    <col min="15873" max="15873" width="4.85546875" customWidth="1"/>
    <col min="15874" max="15874" width="22.140625" customWidth="1"/>
    <col min="15875" max="15875" width="82.5703125" customWidth="1"/>
    <col min="15876" max="15876" width="15.28515625" customWidth="1"/>
    <col min="15877" max="15877" width="11.140625" customWidth="1"/>
    <col min="15878" max="15878" width="17" customWidth="1"/>
    <col min="15879" max="15879" width="14" customWidth="1"/>
    <col min="15880" max="15880" width="17.140625" customWidth="1"/>
    <col min="15881" max="15881" width="16.28515625" bestFit="1" customWidth="1"/>
    <col min="15883" max="15883" width="11.42578125" customWidth="1"/>
    <col min="16129" max="16129" width="4.85546875" customWidth="1"/>
    <col min="16130" max="16130" width="22.140625" customWidth="1"/>
    <col min="16131" max="16131" width="82.5703125" customWidth="1"/>
    <col min="16132" max="16132" width="15.28515625" customWidth="1"/>
    <col min="16133" max="16133" width="11.140625" customWidth="1"/>
    <col min="16134" max="16134" width="17" customWidth="1"/>
    <col min="16135" max="16135" width="14" customWidth="1"/>
    <col min="16136" max="16136" width="17.140625" customWidth="1"/>
    <col min="16137" max="16137" width="16.28515625" bestFit="1" customWidth="1"/>
    <col min="16139" max="16139" width="11.42578125" customWidth="1"/>
  </cols>
  <sheetData>
    <row r="1" spans="2:11" s="2" customFormat="1" ht="30" x14ac:dyDescent="0.4">
      <c r="B1" s="1"/>
      <c r="D1" s="1"/>
      <c r="E1" s="1"/>
      <c r="F1" s="63"/>
      <c r="G1" s="63"/>
      <c r="H1" s="3"/>
      <c r="I1" s="681"/>
    </row>
    <row r="2" spans="2:11" s="2" customFormat="1" ht="18" customHeight="1" x14ac:dyDescent="0.4">
      <c r="B2" s="4"/>
      <c r="C2" s="5"/>
      <c r="D2" s="862" t="s">
        <v>42</v>
      </c>
      <c r="E2" s="862"/>
      <c r="F2" s="862"/>
      <c r="G2" s="862"/>
      <c r="H2" s="862"/>
      <c r="I2" s="682"/>
      <c r="J2" s="6"/>
      <c r="K2" s="6"/>
    </row>
    <row r="3" spans="2:11" s="2" customFormat="1" ht="61.5" customHeight="1" x14ac:dyDescent="0.4">
      <c r="B3" s="1"/>
      <c r="C3" s="55" t="s">
        <v>45</v>
      </c>
      <c r="D3" s="862"/>
      <c r="E3" s="862"/>
      <c r="F3" s="862"/>
      <c r="G3" s="862"/>
      <c r="H3" s="862"/>
      <c r="I3" s="683"/>
      <c r="J3" s="7"/>
      <c r="K3" s="7"/>
    </row>
    <row r="4" spans="2:11" s="2" customFormat="1" ht="17.25" customHeight="1" x14ac:dyDescent="0.4">
      <c r="B4" s="8"/>
      <c r="C4" s="9"/>
      <c r="D4" s="862"/>
      <c r="E4" s="862"/>
      <c r="F4" s="862"/>
      <c r="G4" s="862"/>
      <c r="H4" s="862"/>
      <c r="I4" s="683"/>
      <c r="J4" s="7"/>
      <c r="K4" s="7"/>
    </row>
    <row r="5" spans="2:11" s="2" customFormat="1" ht="30" x14ac:dyDescent="0.4">
      <c r="B5" s="10" t="s">
        <v>0</v>
      </c>
      <c r="C5" s="11">
        <f ca="1">TODAY()</f>
        <v>46240</v>
      </c>
      <c r="D5" s="862"/>
      <c r="E5" s="862"/>
      <c r="F5" s="862"/>
      <c r="G5" s="862"/>
      <c r="H5" s="862"/>
      <c r="I5" s="681"/>
    </row>
    <row r="6" spans="2:11" s="2" customFormat="1" ht="30" x14ac:dyDescent="0.4">
      <c r="B6" s="10" t="s">
        <v>1</v>
      </c>
      <c r="C6" s="12" t="s">
        <v>109</v>
      </c>
      <c r="D6" s="13"/>
      <c r="E6" s="13"/>
      <c r="F6" s="863" t="s">
        <v>2</v>
      </c>
      <c r="G6" s="863"/>
      <c r="H6" s="3"/>
      <c r="I6" s="681"/>
    </row>
    <row r="7" spans="2:11" s="2" customFormat="1" ht="30" x14ac:dyDescent="0.4">
      <c r="B7" s="10" t="s">
        <v>3</v>
      </c>
      <c r="C7" s="12" t="s">
        <v>110</v>
      </c>
      <c r="D7" s="13"/>
      <c r="E7" s="13"/>
      <c r="F7" s="863"/>
      <c r="G7" s="863"/>
      <c r="H7" s="3"/>
      <c r="I7" s="681"/>
    </row>
    <row r="8" spans="2:11" s="2" customFormat="1" ht="13.5" customHeight="1" x14ac:dyDescent="0.4">
      <c r="B8" s="865" t="s">
        <v>20</v>
      </c>
      <c r="C8" s="866"/>
      <c r="D8" s="1"/>
      <c r="E8" s="1"/>
      <c r="F8" s="864"/>
      <c r="G8" s="864"/>
      <c r="H8" s="3"/>
      <c r="I8" s="681"/>
    </row>
    <row r="9" spans="2:11" s="2" customFormat="1" ht="13.5" customHeight="1" x14ac:dyDescent="0.4">
      <c r="B9" s="867" t="s">
        <v>21</v>
      </c>
      <c r="C9" s="868"/>
      <c r="D9" s="869" t="s">
        <v>49</v>
      </c>
      <c r="E9" s="869"/>
      <c r="F9" s="869"/>
      <c r="G9" s="869"/>
      <c r="H9" s="869"/>
      <c r="I9" s="681"/>
    </row>
    <row r="10" spans="2:11" s="2" customFormat="1" ht="13.5" customHeight="1" x14ac:dyDescent="0.4">
      <c r="B10" s="870" t="s">
        <v>22</v>
      </c>
      <c r="C10" s="871"/>
      <c r="D10" s="869"/>
      <c r="E10" s="869"/>
      <c r="F10" s="869"/>
      <c r="G10" s="869"/>
      <c r="H10" s="869"/>
      <c r="I10" s="681"/>
    </row>
    <row r="11" spans="2:11" s="2" customFormat="1" ht="13.5" customHeight="1" x14ac:dyDescent="0.4">
      <c r="B11" s="872" t="s">
        <v>23</v>
      </c>
      <c r="C11" s="873"/>
      <c r="D11" s="869"/>
      <c r="E11" s="869"/>
      <c r="F11" s="869"/>
      <c r="G11" s="869"/>
      <c r="H11" s="869"/>
      <c r="I11" s="681"/>
    </row>
    <row r="12" spans="2:11" s="2" customFormat="1" ht="13.5" customHeight="1" x14ac:dyDescent="0.4">
      <c r="B12" s="874" t="s">
        <v>24</v>
      </c>
      <c r="C12" s="875"/>
      <c r="D12" s="869"/>
      <c r="E12" s="869"/>
      <c r="F12" s="869"/>
      <c r="G12" s="869"/>
      <c r="H12" s="869"/>
      <c r="I12" s="681"/>
    </row>
    <row r="13" spans="2:11" s="2" customFormat="1" ht="13.5" customHeight="1" x14ac:dyDescent="0.4">
      <c r="B13" s="876" t="s">
        <v>25</v>
      </c>
      <c r="C13" s="877"/>
      <c r="D13" s="869"/>
      <c r="E13" s="869"/>
      <c r="F13" s="869"/>
      <c r="G13" s="869"/>
      <c r="H13" s="869"/>
      <c r="I13" s="681"/>
    </row>
    <row r="14" spans="2:11" s="2" customFormat="1" ht="13.5" customHeight="1" x14ac:dyDescent="0.4">
      <c r="B14" s="860" t="s">
        <v>26</v>
      </c>
      <c r="C14" s="861"/>
      <c r="D14" s="1"/>
      <c r="E14" s="1"/>
      <c r="F14" s="43"/>
      <c r="G14" s="43"/>
      <c r="H14" s="3"/>
      <c r="I14" s="681"/>
    </row>
    <row r="15" spans="2:11" s="14" customFormat="1" ht="56.25" x14ac:dyDescent="0.25">
      <c r="B15" s="49" t="s">
        <v>4</v>
      </c>
      <c r="C15" s="422" t="s">
        <v>453</v>
      </c>
      <c r="D15" s="49" t="s">
        <v>6</v>
      </c>
      <c r="E15" s="49" t="s">
        <v>17</v>
      </c>
      <c r="F15" s="51" t="s">
        <v>7</v>
      </c>
      <c r="G15" s="51" t="s">
        <v>8</v>
      </c>
      <c r="H15" s="52" t="s">
        <v>9</v>
      </c>
      <c r="I15" s="52" t="s">
        <v>165</v>
      </c>
    </row>
    <row r="16" spans="2:11" s="14" customFormat="1" ht="18.75" x14ac:dyDescent="0.25">
      <c r="B16" s="26"/>
      <c r="C16" s="124" t="s">
        <v>166</v>
      </c>
      <c r="D16" s="26"/>
      <c r="E16" s="26"/>
      <c r="F16" s="64"/>
      <c r="G16" s="71"/>
      <c r="H16" s="28"/>
      <c r="I16" s="125"/>
    </row>
    <row r="17" spans="2:12" s="14" customFormat="1" ht="18.75" x14ac:dyDescent="0.25">
      <c r="B17" s="24"/>
      <c r="C17" s="23"/>
      <c r="D17" s="24"/>
      <c r="E17" s="22"/>
      <c r="F17" s="65"/>
      <c r="G17" s="72"/>
      <c r="H17" s="25"/>
      <c r="I17" s="125" t="s">
        <v>293</v>
      </c>
    </row>
    <row r="18" spans="2:12" s="14" customFormat="1" ht="18.75" x14ac:dyDescent="0.25">
      <c r="B18" s="26"/>
      <c r="C18" s="124" t="s">
        <v>164</v>
      </c>
      <c r="D18" s="26"/>
      <c r="E18" s="26"/>
      <c r="F18" s="64"/>
      <c r="G18" s="71"/>
      <c r="H18" s="28"/>
      <c r="I18" s="125"/>
    </row>
    <row r="19" spans="2:12" s="21" customFormat="1" ht="87.75" customHeight="1" thickBot="1" x14ac:dyDescent="0.3">
      <c r="B19" s="255" t="s">
        <v>10</v>
      </c>
      <c r="C19" s="256" t="s">
        <v>29</v>
      </c>
      <c r="D19" s="257">
        <v>46134</v>
      </c>
      <c r="E19" s="258" t="s">
        <v>76</v>
      </c>
      <c r="F19" s="259">
        <v>4000</v>
      </c>
      <c r="G19" s="260" t="s">
        <v>39</v>
      </c>
      <c r="H19" s="260" t="s">
        <v>80</v>
      </c>
      <c r="I19" s="125"/>
      <c r="J19" s="14"/>
      <c r="K19" s="14"/>
      <c r="L19" s="14"/>
    </row>
    <row r="20" spans="2:12" s="21" customFormat="1" ht="65.25" customHeight="1" x14ac:dyDescent="0.25">
      <c r="B20" s="303" t="s">
        <v>172</v>
      </c>
      <c r="C20" s="248" t="s">
        <v>743</v>
      </c>
      <c r="D20" s="304" t="s">
        <v>321</v>
      </c>
      <c r="E20" s="304" t="s">
        <v>322</v>
      </c>
      <c r="F20" s="250">
        <v>30200</v>
      </c>
      <c r="G20" s="305">
        <v>32038</v>
      </c>
      <c r="H20" s="306">
        <f>G20-F20</f>
        <v>1838</v>
      </c>
      <c r="I20" s="708" t="s">
        <v>760</v>
      </c>
      <c r="J20" s="14"/>
      <c r="K20" s="14"/>
      <c r="L20" s="14"/>
    </row>
    <row r="21" spans="2:12" s="21" customFormat="1" ht="55.5" customHeight="1" x14ac:dyDescent="0.25">
      <c r="B21" s="270" t="s">
        <v>123</v>
      </c>
      <c r="C21" s="91" t="s">
        <v>169</v>
      </c>
      <c r="D21" s="101" t="s">
        <v>308</v>
      </c>
      <c r="E21" s="82" t="s">
        <v>136</v>
      </c>
      <c r="F21" s="85"/>
      <c r="G21" s="95" t="s">
        <v>744</v>
      </c>
      <c r="H21" s="309">
        <v>3376</v>
      </c>
      <c r="I21" s="708" t="s">
        <v>760</v>
      </c>
      <c r="J21" s="14"/>
      <c r="K21" s="14"/>
      <c r="L21" s="14"/>
    </row>
    <row r="22" spans="2:12" s="21" customFormat="1" ht="55.5" customHeight="1" x14ac:dyDescent="0.25">
      <c r="B22" s="270" t="s">
        <v>123</v>
      </c>
      <c r="C22" s="91" t="s">
        <v>745</v>
      </c>
      <c r="D22" s="101"/>
      <c r="E22" s="82"/>
      <c r="F22" s="85"/>
      <c r="G22" s="95" t="s">
        <v>746</v>
      </c>
      <c r="H22" s="309">
        <v>4584</v>
      </c>
      <c r="I22" s="708" t="s">
        <v>767</v>
      </c>
      <c r="J22" s="14"/>
      <c r="K22" s="14"/>
      <c r="L22" s="14"/>
    </row>
    <row r="23" spans="2:12" s="21" customFormat="1" ht="55.5" customHeight="1" x14ac:dyDescent="0.25">
      <c r="B23" s="270" t="s">
        <v>123</v>
      </c>
      <c r="C23" s="91" t="s">
        <v>747</v>
      </c>
      <c r="D23" s="101"/>
      <c r="E23" s="82"/>
      <c r="F23" s="85"/>
      <c r="G23" s="95" t="s">
        <v>748</v>
      </c>
      <c r="H23" s="309">
        <v>1145</v>
      </c>
      <c r="I23" s="708" t="s">
        <v>760</v>
      </c>
      <c r="J23" s="14"/>
      <c r="K23" s="14"/>
      <c r="L23" s="14"/>
    </row>
    <row r="24" spans="2:12" s="21" customFormat="1" ht="55.5" customHeight="1" x14ac:dyDescent="0.25">
      <c r="B24" s="270" t="s">
        <v>123</v>
      </c>
      <c r="C24" s="91" t="s">
        <v>750</v>
      </c>
      <c r="D24" s="101"/>
      <c r="E24" s="82"/>
      <c r="F24" s="85"/>
      <c r="G24" s="95" t="s">
        <v>749</v>
      </c>
      <c r="H24" s="309">
        <v>1777</v>
      </c>
      <c r="I24" s="708" t="s">
        <v>760</v>
      </c>
      <c r="J24" s="14"/>
      <c r="K24" s="14"/>
      <c r="L24" s="14"/>
    </row>
    <row r="25" spans="2:12" s="14" customFormat="1" ht="381" customHeight="1" x14ac:dyDescent="0.25">
      <c r="B25" s="419" t="s">
        <v>10</v>
      </c>
      <c r="C25" s="91" t="s">
        <v>452</v>
      </c>
      <c r="D25" s="82" t="s">
        <v>449</v>
      </c>
      <c r="E25" s="82" t="s">
        <v>136</v>
      </c>
      <c r="F25" s="85">
        <v>14335</v>
      </c>
      <c r="G25" s="85">
        <f>F25+H25</f>
        <v>29757.15</v>
      </c>
      <c r="H25" s="420">
        <v>15422.15</v>
      </c>
      <c r="I25" s="418" t="s">
        <v>448</v>
      </c>
      <c r="J25" s="687" t="s">
        <v>760</v>
      </c>
    </row>
    <row r="26" spans="2:12" s="14" customFormat="1" ht="312.75" customHeight="1" x14ac:dyDescent="0.25">
      <c r="B26" s="80"/>
      <c r="C26" s="246" t="s">
        <v>451</v>
      </c>
      <c r="D26" s="83"/>
      <c r="E26" s="83"/>
      <c r="F26" s="179"/>
      <c r="G26" s="179"/>
      <c r="H26" s="421"/>
      <c r="I26" s="684"/>
    </row>
    <row r="27" spans="2:12" s="14" customFormat="1" ht="265.5" customHeight="1" x14ac:dyDescent="0.25">
      <c r="B27" s="81"/>
      <c r="C27" s="96" t="s">
        <v>450</v>
      </c>
      <c r="D27" s="84"/>
      <c r="E27" s="84"/>
      <c r="F27" s="93"/>
      <c r="G27" s="93"/>
      <c r="H27" s="417"/>
      <c r="I27" s="684"/>
    </row>
    <row r="28" spans="2:12" s="21" customFormat="1" ht="42" customHeight="1" x14ac:dyDescent="0.25">
      <c r="B28" s="310" t="s">
        <v>10</v>
      </c>
      <c r="C28" s="353" t="s">
        <v>34</v>
      </c>
      <c r="D28" s="312"/>
      <c r="E28" s="312"/>
      <c r="F28" s="313"/>
      <c r="G28" s="314"/>
      <c r="H28" s="709" t="s">
        <v>84</v>
      </c>
      <c r="I28" s="684"/>
      <c r="J28" s="14"/>
      <c r="K28" s="14"/>
      <c r="L28" s="14"/>
    </row>
    <row r="29" spans="2:12" s="21" customFormat="1" ht="90.75" customHeight="1" thickBot="1" x14ac:dyDescent="0.3">
      <c r="B29" s="310"/>
      <c r="C29" s="311" t="s">
        <v>66</v>
      </c>
      <c r="D29" s="312" t="s">
        <v>74</v>
      </c>
      <c r="E29" s="312" t="s">
        <v>75</v>
      </c>
      <c r="F29" s="313"/>
      <c r="G29" s="314"/>
      <c r="H29" s="709" t="s">
        <v>73</v>
      </c>
      <c r="I29" s="684"/>
      <c r="J29" s="14"/>
      <c r="K29" s="14"/>
      <c r="L29" s="14"/>
    </row>
    <row r="30" spans="2:12" s="21" customFormat="1" ht="81" customHeight="1" x14ac:dyDescent="0.25">
      <c r="B30" s="247" t="s">
        <v>10</v>
      </c>
      <c r="C30" s="248" t="s">
        <v>38</v>
      </c>
      <c r="D30" s="315" t="s">
        <v>348</v>
      </c>
      <c r="E30" s="316" t="s">
        <v>322</v>
      </c>
      <c r="F30" s="317">
        <v>26500</v>
      </c>
      <c r="G30" s="318">
        <v>29685</v>
      </c>
      <c r="H30" s="319">
        <f>G30-F30</f>
        <v>3185</v>
      </c>
      <c r="I30" s="697" t="s">
        <v>776</v>
      </c>
      <c r="J30" s="14"/>
      <c r="K30" s="14"/>
      <c r="L30" s="14"/>
    </row>
    <row r="31" spans="2:12" s="21" customFormat="1" ht="409.5" x14ac:dyDescent="0.25">
      <c r="B31" s="320"/>
      <c r="C31" s="91" t="s">
        <v>77</v>
      </c>
      <c r="D31" s="89">
        <v>46126</v>
      </c>
      <c r="E31" s="83" t="s">
        <v>76</v>
      </c>
      <c r="F31" s="97"/>
      <c r="G31" s="276" t="s">
        <v>349</v>
      </c>
      <c r="H31" s="308" t="s">
        <v>347</v>
      </c>
      <c r="I31" s="684"/>
      <c r="J31" s="14"/>
      <c r="K31" s="14"/>
      <c r="L31" s="14"/>
    </row>
    <row r="32" spans="2:12" s="21" customFormat="1" ht="137.25" customHeight="1" thickBot="1" x14ac:dyDescent="0.3">
      <c r="B32" s="321"/>
      <c r="C32" s="251" t="s">
        <v>78</v>
      </c>
      <c r="D32" s="272"/>
      <c r="E32" s="322"/>
      <c r="F32" s="323"/>
      <c r="G32" s="324"/>
      <c r="H32" s="325"/>
      <c r="I32" s="684"/>
      <c r="J32" s="14"/>
      <c r="K32" s="14"/>
      <c r="L32" s="14"/>
    </row>
    <row r="33" spans="2:16" s="14" customFormat="1" ht="157.5" customHeight="1" x14ac:dyDescent="0.25">
      <c r="B33" s="303" t="s">
        <v>10</v>
      </c>
      <c r="C33" s="326" t="s">
        <v>99</v>
      </c>
      <c r="D33" s="304" t="s">
        <v>466</v>
      </c>
      <c r="E33" s="327" t="s">
        <v>75</v>
      </c>
      <c r="F33" s="250">
        <v>11200</v>
      </c>
      <c r="G33" s="328">
        <v>8700</v>
      </c>
      <c r="H33" s="329">
        <f>G33-F33</f>
        <v>-2500</v>
      </c>
      <c r="I33" s="687" t="s">
        <v>760</v>
      </c>
    </row>
    <row r="34" spans="2:16" s="14" customFormat="1" ht="161.25" customHeight="1" x14ac:dyDescent="0.25">
      <c r="B34" s="307"/>
      <c r="C34" s="285" t="s">
        <v>100</v>
      </c>
      <c r="D34" s="83"/>
      <c r="E34" s="286"/>
      <c r="F34" s="80"/>
      <c r="G34" s="103"/>
      <c r="H34" s="271"/>
      <c r="I34" s="106"/>
      <c r="J34" s="106"/>
      <c r="K34" s="106"/>
      <c r="L34" s="106"/>
      <c r="M34" s="106"/>
      <c r="N34" s="106"/>
      <c r="O34" s="106"/>
      <c r="P34" s="106"/>
    </row>
    <row r="35" spans="2:16" s="14" customFormat="1" ht="107.25" customHeight="1" x14ac:dyDescent="0.25">
      <c r="B35" s="307"/>
      <c r="C35" s="285" t="s">
        <v>64</v>
      </c>
      <c r="D35" s="83"/>
      <c r="E35" s="103"/>
      <c r="F35" s="80"/>
      <c r="G35" s="103"/>
      <c r="H35" s="271"/>
      <c r="I35" s="106"/>
      <c r="J35" s="106"/>
      <c r="K35" s="106"/>
      <c r="L35" s="106"/>
      <c r="M35" s="106"/>
      <c r="N35" s="106"/>
      <c r="O35" s="106"/>
      <c r="P35" s="106"/>
    </row>
    <row r="36" spans="2:16" s="14" customFormat="1" ht="144.75" customHeight="1" thickBot="1" x14ac:dyDescent="0.3">
      <c r="B36" s="330"/>
      <c r="C36" s="331" t="s">
        <v>65</v>
      </c>
      <c r="D36" s="322"/>
      <c r="E36" s="332"/>
      <c r="F36" s="273"/>
      <c r="G36" s="332"/>
      <c r="H36" s="274"/>
      <c r="I36" s="106"/>
      <c r="J36" s="106"/>
      <c r="K36" s="106"/>
      <c r="L36" s="106"/>
      <c r="M36" s="106"/>
      <c r="N36" s="106"/>
      <c r="O36" s="106"/>
      <c r="P36" s="106"/>
    </row>
    <row r="37" spans="2:16" s="14" customFormat="1" ht="408.75" customHeight="1" thickBot="1" x14ac:dyDescent="0.3">
      <c r="B37" s="333" t="s">
        <v>10</v>
      </c>
      <c r="C37" s="334" t="s">
        <v>194</v>
      </c>
      <c r="D37" s="335">
        <v>46131</v>
      </c>
      <c r="E37" s="336" t="s">
        <v>51</v>
      </c>
      <c r="F37" s="337">
        <v>33000</v>
      </c>
      <c r="G37" s="337">
        <v>29617</v>
      </c>
      <c r="H37" s="535">
        <f>G37-F37</f>
        <v>-3383</v>
      </c>
      <c r="I37" s="680" t="s">
        <v>760</v>
      </c>
      <c r="J37" s="106"/>
      <c r="K37" s="106"/>
      <c r="L37" s="106"/>
      <c r="M37" s="106"/>
      <c r="N37" s="106"/>
      <c r="O37" s="106"/>
      <c r="P37" s="106"/>
    </row>
    <row r="38" spans="2:16" s="14" customFormat="1" ht="101.25" customHeight="1" x14ac:dyDescent="0.25">
      <c r="B38" s="303" t="s">
        <v>10</v>
      </c>
      <c r="C38" s="248" t="s">
        <v>103</v>
      </c>
      <c r="D38" s="304" t="s">
        <v>74</v>
      </c>
      <c r="E38" s="304" t="s">
        <v>75</v>
      </c>
      <c r="F38" s="250">
        <v>5594</v>
      </c>
      <c r="G38" s="338">
        <v>5594</v>
      </c>
      <c r="H38" s="339">
        <v>0</v>
      </c>
      <c r="I38" s="856" t="s">
        <v>760</v>
      </c>
    </row>
    <row r="39" spans="2:16" s="14" customFormat="1" ht="54" customHeight="1" thickBot="1" x14ac:dyDescent="0.3">
      <c r="B39" s="330"/>
      <c r="C39" s="251" t="s">
        <v>379</v>
      </c>
      <c r="D39" s="322"/>
      <c r="E39" s="322"/>
      <c r="F39" s="252"/>
      <c r="G39" s="340"/>
      <c r="H39" s="325"/>
      <c r="I39" s="856"/>
    </row>
    <row r="40" spans="2:16" s="34" customFormat="1" ht="94.5" thickBot="1" x14ac:dyDescent="0.25">
      <c r="B40" s="60" t="s">
        <v>10</v>
      </c>
      <c r="C40" s="76" t="s">
        <v>67</v>
      </c>
      <c r="D40" s="61">
        <v>46114</v>
      </c>
      <c r="E40" s="58" t="s">
        <v>62</v>
      </c>
      <c r="F40" s="66"/>
      <c r="G40" s="412" t="s">
        <v>79</v>
      </c>
      <c r="H40" s="59">
        <v>6110</v>
      </c>
      <c r="I40" s="685"/>
    </row>
    <row r="41" spans="2:16" s="14" customFormat="1" ht="36" customHeight="1" thickBot="1" x14ac:dyDescent="0.3">
      <c r="B41" s="341" t="s">
        <v>10</v>
      </c>
      <c r="C41" s="342" t="s">
        <v>36</v>
      </c>
      <c r="D41" s="335">
        <v>46134</v>
      </c>
      <c r="E41" s="343" t="s">
        <v>76</v>
      </c>
      <c r="F41" s="344"/>
      <c r="G41" s="344" t="s">
        <v>79</v>
      </c>
      <c r="H41" s="345">
        <v>9423.8700000000008</v>
      </c>
      <c r="I41" s="687" t="s">
        <v>760</v>
      </c>
    </row>
    <row r="42" spans="2:16" s="14" customFormat="1" ht="94.5" thickBot="1" x14ac:dyDescent="0.3">
      <c r="B42" s="346" t="s">
        <v>10</v>
      </c>
      <c r="C42" s="347" t="s">
        <v>28</v>
      </c>
      <c r="D42" s="348">
        <v>46134</v>
      </c>
      <c r="E42" s="349" t="s">
        <v>76</v>
      </c>
      <c r="F42" s="350">
        <v>23500</v>
      </c>
      <c r="G42" s="351" t="s">
        <v>48</v>
      </c>
      <c r="H42" s="351" t="s">
        <v>216</v>
      </c>
      <c r="I42" s="684"/>
    </row>
    <row r="43" spans="2:16" s="14" customFormat="1" ht="33" customHeight="1" thickBot="1" x14ac:dyDescent="0.3">
      <c r="B43" s="355" t="s">
        <v>10</v>
      </c>
      <c r="C43" s="356" t="s">
        <v>359</v>
      </c>
      <c r="D43" s="357">
        <v>46134</v>
      </c>
      <c r="E43" s="358" t="s">
        <v>76</v>
      </c>
      <c r="F43" s="359">
        <v>2500</v>
      </c>
      <c r="G43" s="359">
        <v>11088.44</v>
      </c>
      <c r="H43" s="360">
        <f>G43-F43</f>
        <v>8588.44</v>
      </c>
      <c r="I43" s="687" t="s">
        <v>760</v>
      </c>
    </row>
    <row r="44" spans="2:16" s="14" customFormat="1" ht="79.5" customHeight="1" x14ac:dyDescent="0.25">
      <c r="B44" s="352" t="s">
        <v>10</v>
      </c>
      <c r="C44" s="353" t="s">
        <v>32</v>
      </c>
      <c r="D44" s="354">
        <v>46134</v>
      </c>
      <c r="E44" s="312" t="s">
        <v>76</v>
      </c>
      <c r="F44" s="313">
        <v>39933</v>
      </c>
      <c r="G44" s="313"/>
      <c r="H44" s="295" t="s">
        <v>106</v>
      </c>
      <c r="I44" s="684"/>
    </row>
    <row r="45" spans="2:16" s="14" customFormat="1" ht="242.25" customHeight="1" x14ac:dyDescent="0.25">
      <c r="B45" s="60" t="s">
        <v>10</v>
      </c>
      <c r="C45" s="76" t="s">
        <v>615</v>
      </c>
      <c r="D45" s="282">
        <v>46114</v>
      </c>
      <c r="E45" s="58" t="s">
        <v>63</v>
      </c>
      <c r="F45" s="283" t="s">
        <v>108</v>
      </c>
      <c r="G45" s="66" t="s">
        <v>614</v>
      </c>
      <c r="H45" s="59">
        <v>11368</v>
      </c>
      <c r="I45" s="687" t="s">
        <v>760</v>
      </c>
    </row>
    <row r="46" spans="2:16" s="14" customFormat="1" ht="75.75" customHeight="1" x14ac:dyDescent="0.25">
      <c r="B46" s="88" t="s">
        <v>10</v>
      </c>
      <c r="C46" s="96" t="s">
        <v>37</v>
      </c>
      <c r="D46" s="90">
        <v>46157</v>
      </c>
      <c r="E46" s="84" t="s">
        <v>76</v>
      </c>
      <c r="F46" s="93"/>
      <c r="G46" s="93" t="s">
        <v>475</v>
      </c>
      <c r="H46" s="433">
        <v>27800</v>
      </c>
      <c r="I46" s="707" t="s">
        <v>775</v>
      </c>
    </row>
    <row r="47" spans="2:16" s="14" customFormat="1" ht="62.25" customHeight="1" thickBot="1" x14ac:dyDescent="0.3">
      <c r="B47" s="361" t="s">
        <v>10</v>
      </c>
      <c r="C47" s="362" t="s">
        <v>255</v>
      </c>
      <c r="D47" s="363"/>
      <c r="E47" s="363"/>
      <c r="F47" s="364"/>
      <c r="G47" s="364"/>
      <c r="H47" s="365" t="s">
        <v>40</v>
      </c>
      <c r="I47" s="684"/>
    </row>
    <row r="48" spans="2:16" s="14" customFormat="1" ht="150" customHeight="1" thickBot="1" x14ac:dyDescent="0.3">
      <c r="B48" s="333" t="s">
        <v>10</v>
      </c>
      <c r="C48" s="342" t="s">
        <v>890</v>
      </c>
      <c r="D48" s="335" t="s">
        <v>332</v>
      </c>
      <c r="E48" s="343" t="s">
        <v>139</v>
      </c>
      <c r="F48" s="337"/>
      <c r="G48" s="366" t="s">
        <v>79</v>
      </c>
      <c r="H48" s="345">
        <v>55023</v>
      </c>
      <c r="I48" s="687" t="s">
        <v>760</v>
      </c>
    </row>
    <row r="49" spans="2:16" s="14" customFormat="1" ht="62.25" customHeight="1" thickBot="1" x14ac:dyDescent="0.3">
      <c r="B49" s="333" t="s">
        <v>10</v>
      </c>
      <c r="C49" s="342" t="s">
        <v>41</v>
      </c>
      <c r="D49" s="343">
        <v>46154</v>
      </c>
      <c r="E49" s="343" t="s">
        <v>76</v>
      </c>
      <c r="F49" s="344"/>
      <c r="G49" s="366" t="s">
        <v>79</v>
      </c>
      <c r="H49" s="345">
        <v>2445</v>
      </c>
      <c r="I49" s="687" t="s">
        <v>760</v>
      </c>
    </row>
    <row r="50" spans="2:16" s="14" customFormat="1" ht="38.25" customHeight="1" thickBot="1" x14ac:dyDescent="0.3">
      <c r="B50" s="333" t="s">
        <v>10</v>
      </c>
      <c r="C50" s="342" t="s">
        <v>30</v>
      </c>
      <c r="D50" s="343">
        <v>46154</v>
      </c>
      <c r="E50" s="343" t="s">
        <v>76</v>
      </c>
      <c r="F50" s="344"/>
      <c r="G50" s="366" t="s">
        <v>79</v>
      </c>
      <c r="H50" s="345">
        <v>19599.29</v>
      </c>
      <c r="I50" s="687" t="s">
        <v>760</v>
      </c>
    </row>
    <row r="51" spans="2:16" s="14" customFormat="1" ht="178.5" customHeight="1" x14ac:dyDescent="0.25">
      <c r="B51" s="247" t="s">
        <v>10</v>
      </c>
      <c r="C51" s="265" t="s">
        <v>391</v>
      </c>
      <c r="D51" s="266" t="s">
        <v>369</v>
      </c>
      <c r="E51" s="267" t="s">
        <v>136</v>
      </c>
      <c r="F51" s="391" t="s">
        <v>79</v>
      </c>
      <c r="G51" s="390">
        <v>11323.5216</v>
      </c>
      <c r="H51" s="736" t="s">
        <v>804</v>
      </c>
      <c r="K51" s="106"/>
      <c r="L51" s="106"/>
      <c r="M51" s="106"/>
      <c r="N51" s="106"/>
      <c r="O51" s="106"/>
      <c r="P51" s="106"/>
    </row>
    <row r="52" spans="2:16" s="14" customFormat="1" ht="282.75" customHeight="1" thickBot="1" x14ac:dyDescent="0.3">
      <c r="B52" s="268"/>
      <c r="C52" s="96" t="s">
        <v>317</v>
      </c>
      <c r="D52" s="90"/>
      <c r="E52" s="84"/>
      <c r="F52" s="93"/>
      <c r="G52" s="93"/>
      <c r="H52" s="269"/>
      <c r="I52" s="684"/>
    </row>
    <row r="53" spans="2:16" s="14" customFormat="1" ht="100.5" customHeight="1" x14ac:dyDescent="0.25">
      <c r="B53" s="247" t="s">
        <v>10</v>
      </c>
      <c r="C53" s="265" t="s">
        <v>543</v>
      </c>
      <c r="D53" s="266" t="s">
        <v>369</v>
      </c>
      <c r="E53" s="267" t="s">
        <v>136</v>
      </c>
      <c r="F53" s="267"/>
      <c r="G53" s="391" t="s">
        <v>79</v>
      </c>
      <c r="H53" s="390">
        <v>16828</v>
      </c>
      <c r="I53" s="686" t="s">
        <v>403</v>
      </c>
      <c r="J53" s="106"/>
      <c r="K53" s="106"/>
      <c r="L53" s="106"/>
      <c r="M53" s="106"/>
      <c r="N53" s="106"/>
      <c r="O53" s="106"/>
      <c r="P53" s="106"/>
    </row>
    <row r="54" spans="2:16" s="14" customFormat="1" ht="282.75" customHeight="1" thickBot="1" x14ac:dyDescent="0.3">
      <c r="B54" s="268"/>
      <c r="C54" s="96" t="s">
        <v>901</v>
      </c>
      <c r="D54" s="90"/>
      <c r="E54" s="84"/>
      <c r="F54" s="93"/>
      <c r="G54" s="93"/>
      <c r="H54" s="269"/>
      <c r="I54" s="684"/>
    </row>
    <row r="55" spans="2:16" s="14" customFormat="1" ht="100.5" customHeight="1" x14ac:dyDescent="0.25">
      <c r="B55" s="854" t="s">
        <v>903</v>
      </c>
      <c r="C55" s="265" t="s">
        <v>543</v>
      </c>
      <c r="D55" s="266">
        <v>46230</v>
      </c>
      <c r="E55" s="267" t="s">
        <v>76</v>
      </c>
      <c r="F55" s="267"/>
      <c r="G55" s="391" t="s">
        <v>79</v>
      </c>
      <c r="H55" s="390">
        <v>18320.25</v>
      </c>
      <c r="I55" s="686" t="s">
        <v>403</v>
      </c>
      <c r="J55" s="106"/>
      <c r="K55" s="106"/>
      <c r="L55" s="106"/>
      <c r="M55" s="106"/>
      <c r="N55" s="106"/>
      <c r="O55" s="106"/>
      <c r="P55" s="106"/>
    </row>
    <row r="56" spans="2:16" s="14" customFormat="1" ht="282.75" customHeight="1" thickBot="1" x14ac:dyDescent="0.3">
      <c r="B56" s="268"/>
      <c r="C56" s="96" t="s">
        <v>902</v>
      </c>
      <c r="D56" s="90"/>
      <c r="E56" s="84"/>
      <c r="F56" s="93"/>
      <c r="G56" s="93"/>
      <c r="H56" s="269"/>
      <c r="I56" s="684"/>
    </row>
    <row r="57" spans="2:16" s="14" customFormat="1" ht="178.5" customHeight="1" thickBot="1" x14ac:dyDescent="0.3">
      <c r="B57" s="247" t="s">
        <v>10</v>
      </c>
      <c r="C57" s="265" t="s">
        <v>404</v>
      </c>
      <c r="D57" s="266" t="s">
        <v>173</v>
      </c>
      <c r="E57" s="267" t="s">
        <v>51</v>
      </c>
      <c r="F57" s="267"/>
      <c r="G57" s="391" t="s">
        <v>79</v>
      </c>
      <c r="H57" s="413" t="s">
        <v>437</v>
      </c>
      <c r="I57" s="686"/>
      <c r="J57" s="106"/>
      <c r="K57" s="106"/>
      <c r="L57" s="106"/>
      <c r="M57" s="106"/>
      <c r="N57" s="106"/>
      <c r="O57" s="106"/>
      <c r="P57" s="106"/>
    </row>
    <row r="58" spans="2:16" s="21" customFormat="1" ht="65.25" customHeight="1" thickBot="1" x14ac:dyDescent="0.3">
      <c r="B58" s="303" t="s">
        <v>756</v>
      </c>
      <c r="C58" s="248" t="s">
        <v>757</v>
      </c>
      <c r="D58" s="304"/>
      <c r="E58" s="304"/>
      <c r="F58" s="250"/>
      <c r="G58" s="305"/>
      <c r="H58" s="306">
        <v>12500</v>
      </c>
      <c r="I58" s="125" t="s">
        <v>758</v>
      </c>
      <c r="J58" s="679" t="s">
        <v>767</v>
      </c>
      <c r="K58" s="14"/>
      <c r="L58" s="14"/>
    </row>
    <row r="59" spans="2:16" s="14" customFormat="1" ht="187.5" x14ac:dyDescent="0.25">
      <c r="B59" s="303" t="s">
        <v>10</v>
      </c>
      <c r="C59" s="248" t="s">
        <v>262</v>
      </c>
      <c r="D59" s="304" t="s">
        <v>308</v>
      </c>
      <c r="E59" s="267" t="s">
        <v>136</v>
      </c>
      <c r="F59" s="367"/>
      <c r="G59" s="267"/>
      <c r="H59" s="339">
        <v>42491.75</v>
      </c>
      <c r="I59" s="680" t="s">
        <v>760</v>
      </c>
      <c r="J59" s="106"/>
      <c r="K59" s="106"/>
      <c r="L59" s="106"/>
      <c r="M59" s="106"/>
      <c r="N59" s="106"/>
      <c r="O59" s="106"/>
      <c r="P59" s="106"/>
    </row>
    <row r="60" spans="2:16" s="14" customFormat="1" ht="38.25" thickBot="1" x14ac:dyDescent="0.3">
      <c r="B60" s="330"/>
      <c r="C60" s="368" t="s">
        <v>264</v>
      </c>
      <c r="D60" s="322"/>
      <c r="E60" s="273"/>
      <c r="F60" s="252"/>
      <c r="G60" s="252"/>
      <c r="H60" s="325"/>
      <c r="I60" s="106"/>
      <c r="J60" s="106"/>
      <c r="K60" s="106"/>
      <c r="L60" s="106"/>
      <c r="M60" s="106"/>
      <c r="N60" s="106"/>
      <c r="O60" s="106"/>
      <c r="P60" s="106"/>
    </row>
    <row r="61" spans="2:16" s="21" customFormat="1" ht="27.75" customHeight="1" thickBot="1" x14ac:dyDescent="0.3">
      <c r="B61" s="857" t="s">
        <v>320</v>
      </c>
      <c r="C61" s="858"/>
      <c r="D61" s="858"/>
      <c r="E61" s="858"/>
      <c r="F61" s="858"/>
      <c r="G61" s="858"/>
      <c r="H61" s="859"/>
      <c r="I61" s="684"/>
      <c r="J61" s="14"/>
      <c r="K61" s="14"/>
      <c r="L61" s="14"/>
    </row>
    <row r="62" spans="2:16" s="21" customFormat="1" ht="72.75" customHeight="1" x14ac:dyDescent="0.25">
      <c r="B62" s="247" t="s">
        <v>318</v>
      </c>
      <c r="C62" s="248" t="s">
        <v>874</v>
      </c>
      <c r="D62" s="249">
        <v>46156</v>
      </c>
      <c r="E62" s="250" t="s">
        <v>76</v>
      </c>
      <c r="F62" s="250"/>
      <c r="G62" s="398" t="s">
        <v>772</v>
      </c>
      <c r="H62" s="399">
        <v>3679</v>
      </c>
      <c r="I62" s="687" t="s">
        <v>760</v>
      </c>
      <c r="J62" s="791"/>
      <c r="K62" s="14"/>
      <c r="L62" s="14"/>
    </row>
    <row r="63" spans="2:16" s="21" customFormat="1" ht="321.75" customHeight="1" thickBot="1" x14ac:dyDescent="0.3">
      <c r="B63" s="280"/>
      <c r="C63" s="98" t="s">
        <v>335</v>
      </c>
      <c r="D63" s="179"/>
      <c r="E63" s="179"/>
      <c r="F63" s="179"/>
      <c r="G63" s="179"/>
      <c r="H63" s="396"/>
      <c r="I63" s="684"/>
      <c r="J63" s="14"/>
      <c r="K63" s="14"/>
      <c r="L63" s="14"/>
    </row>
    <row r="64" spans="2:16" s="21" customFormat="1" ht="214.5" customHeight="1" x14ac:dyDescent="0.25">
      <c r="B64" s="303" t="s">
        <v>123</v>
      </c>
      <c r="C64" s="397" t="s">
        <v>383</v>
      </c>
      <c r="D64" s="249">
        <v>46156</v>
      </c>
      <c r="E64" s="250" t="s">
        <v>76</v>
      </c>
      <c r="F64" s="250"/>
      <c r="G64" s="398" t="s">
        <v>79</v>
      </c>
      <c r="H64" s="399">
        <v>4035</v>
      </c>
      <c r="I64" s="687" t="s">
        <v>760</v>
      </c>
      <c r="J64" s="14"/>
      <c r="K64" s="14"/>
      <c r="L64" s="14"/>
    </row>
    <row r="65" spans="2:16" s="21" customFormat="1" ht="138.75" customHeight="1" x14ac:dyDescent="0.25">
      <c r="B65" s="307"/>
      <c r="C65" s="279" t="s">
        <v>197</v>
      </c>
      <c r="D65" s="179"/>
      <c r="E65" s="179"/>
      <c r="F65" s="179"/>
      <c r="G65" s="179"/>
      <c r="H65" s="396"/>
      <c r="I65" s="684"/>
      <c r="J65" s="14"/>
      <c r="K65" s="14"/>
      <c r="L65" s="14"/>
    </row>
    <row r="66" spans="2:16" s="21" customFormat="1" ht="243" customHeight="1" thickBot="1" x14ac:dyDescent="0.3">
      <c r="B66" s="330"/>
      <c r="C66" s="400" t="s">
        <v>198</v>
      </c>
      <c r="D66" s="252"/>
      <c r="E66" s="252"/>
      <c r="F66" s="252"/>
      <c r="G66" s="252"/>
      <c r="H66" s="253"/>
      <c r="I66" s="684"/>
      <c r="J66" s="14"/>
      <c r="K66" s="14"/>
      <c r="L66" s="14"/>
    </row>
    <row r="67" spans="2:16" s="21" customFormat="1" ht="165" customHeight="1" x14ac:dyDescent="0.25">
      <c r="B67" s="303" t="s">
        <v>381</v>
      </c>
      <c r="C67" s="397" t="s">
        <v>382</v>
      </c>
      <c r="D67" s="249">
        <v>46156</v>
      </c>
      <c r="E67" s="250" t="s">
        <v>76</v>
      </c>
      <c r="F67" s="250"/>
      <c r="G67" s="398" t="s">
        <v>79</v>
      </c>
      <c r="H67" s="399">
        <v>3118</v>
      </c>
      <c r="I67" s="687" t="s">
        <v>760</v>
      </c>
      <c r="J67" s="14"/>
      <c r="K67" s="14"/>
      <c r="L67" s="14"/>
    </row>
    <row r="68" spans="2:16" s="21" customFormat="1" ht="138.75" customHeight="1" x14ac:dyDescent="0.25">
      <c r="B68" s="307"/>
      <c r="C68" s="279" t="s">
        <v>336</v>
      </c>
      <c r="D68" s="179"/>
      <c r="E68" s="179"/>
      <c r="F68" s="179"/>
      <c r="G68" s="179"/>
      <c r="H68" s="396"/>
      <c r="I68" s="684"/>
      <c r="J68" s="14"/>
      <c r="K68" s="14"/>
      <c r="L68" s="14"/>
    </row>
    <row r="69" spans="2:16" s="21" customFormat="1" ht="260.25" customHeight="1" thickBot="1" x14ac:dyDescent="0.3">
      <c r="B69" s="330"/>
      <c r="C69" s="400" t="s">
        <v>337</v>
      </c>
      <c r="D69" s="252"/>
      <c r="E69" s="252"/>
      <c r="F69" s="252"/>
      <c r="G69" s="252"/>
      <c r="H69" s="253"/>
      <c r="I69" s="684"/>
      <c r="J69" s="14"/>
      <c r="K69" s="14"/>
      <c r="L69" s="14"/>
    </row>
    <row r="70" spans="2:16" s="21" customFormat="1" ht="233.25" customHeight="1" x14ac:dyDescent="0.25">
      <c r="B70" s="81" t="s">
        <v>319</v>
      </c>
      <c r="C70" s="96" t="s">
        <v>315</v>
      </c>
      <c r="D70" s="401">
        <v>46154</v>
      </c>
      <c r="E70" s="93" t="s">
        <v>76</v>
      </c>
      <c r="F70" s="93"/>
      <c r="G70" s="402" t="s">
        <v>79</v>
      </c>
      <c r="H70" s="59">
        <v>5504</v>
      </c>
      <c r="I70" s="687" t="s">
        <v>760</v>
      </c>
      <c r="J70" s="14"/>
      <c r="K70" s="14"/>
      <c r="L70" s="14"/>
    </row>
    <row r="71" spans="2:16" s="14" customFormat="1" ht="160.5" customHeight="1" x14ac:dyDescent="0.25">
      <c r="B71" s="60" t="s">
        <v>123</v>
      </c>
      <c r="C71" s="76" t="s">
        <v>363</v>
      </c>
      <c r="D71" s="61" t="s">
        <v>369</v>
      </c>
      <c r="E71" s="302" t="s">
        <v>136</v>
      </c>
      <c r="F71" s="66"/>
      <c r="G71" s="402" t="s">
        <v>79</v>
      </c>
      <c r="H71" s="59">
        <v>1882</v>
      </c>
      <c r="I71" s="687" t="s">
        <v>760</v>
      </c>
    </row>
    <row r="72" spans="2:16" s="14" customFormat="1" ht="172.5" customHeight="1" x14ac:dyDescent="0.25">
      <c r="B72" s="56" t="s">
        <v>123</v>
      </c>
      <c r="C72" s="92" t="s">
        <v>362</v>
      </c>
      <c r="D72" s="58">
        <v>46156</v>
      </c>
      <c r="E72" s="56" t="s">
        <v>76</v>
      </c>
      <c r="F72" s="93"/>
      <c r="G72" s="403" t="s">
        <v>79</v>
      </c>
      <c r="H72" s="59">
        <v>1532.24</v>
      </c>
      <c r="I72" s="697" t="s">
        <v>768</v>
      </c>
    </row>
    <row r="73" spans="2:16" s="14" customFormat="1" ht="176.25" customHeight="1" x14ac:dyDescent="0.25">
      <c r="B73" s="104" t="s">
        <v>123</v>
      </c>
      <c r="C73" s="122" t="s">
        <v>281</v>
      </c>
      <c r="D73" s="90">
        <v>46155</v>
      </c>
      <c r="E73" s="105" t="s">
        <v>76</v>
      </c>
      <c r="F73" s="107"/>
      <c r="G73" s="263" t="s">
        <v>79</v>
      </c>
      <c r="H73" s="301">
        <v>5800</v>
      </c>
      <c r="I73" s="706" t="s">
        <v>773</v>
      </c>
      <c r="J73" s="106"/>
      <c r="K73" s="106"/>
      <c r="L73" s="106"/>
      <c r="M73" s="106"/>
      <c r="N73" s="106"/>
      <c r="O73" s="106"/>
      <c r="P73" s="106"/>
    </row>
    <row r="74" spans="2:16" s="21" customFormat="1" ht="195" customHeight="1" x14ac:dyDescent="0.25">
      <c r="B74" s="104" t="s">
        <v>123</v>
      </c>
      <c r="C74" s="91" t="s">
        <v>316</v>
      </c>
      <c r="D74" s="101" t="s">
        <v>173</v>
      </c>
      <c r="E74" s="82" t="s">
        <v>51</v>
      </c>
      <c r="F74" s="85"/>
      <c r="G74" s="404"/>
      <c r="H74" s="294">
        <v>1940</v>
      </c>
      <c r="I74" s="687" t="s">
        <v>760</v>
      </c>
      <c r="J74" s="14"/>
      <c r="K74" s="14"/>
      <c r="L74" s="14"/>
    </row>
    <row r="75" spans="2:16" s="14" customFormat="1" ht="408.75" customHeight="1" x14ac:dyDescent="0.25">
      <c r="B75" s="104" t="s">
        <v>123</v>
      </c>
      <c r="C75" s="122" t="s">
        <v>370</v>
      </c>
      <c r="D75" s="82">
        <v>46156</v>
      </c>
      <c r="E75" s="275"/>
      <c r="F75" s="254"/>
      <c r="G75" s="404" t="s">
        <v>79</v>
      </c>
      <c r="H75" s="294">
        <v>7600</v>
      </c>
      <c r="I75" s="698" t="s">
        <v>760</v>
      </c>
      <c r="J75" s="106"/>
      <c r="K75" s="106"/>
      <c r="L75" s="106"/>
      <c r="M75" s="106"/>
      <c r="N75" s="106"/>
      <c r="O75" s="106"/>
      <c r="P75" s="106"/>
    </row>
    <row r="76" spans="2:16" s="14" customFormat="1" ht="257.25" customHeight="1" x14ac:dyDescent="0.25">
      <c r="B76" s="56" t="s">
        <v>123</v>
      </c>
      <c r="C76" s="264" t="s">
        <v>371</v>
      </c>
      <c r="D76" s="58" t="s">
        <v>173</v>
      </c>
      <c r="E76" s="56" t="s">
        <v>51</v>
      </c>
      <c r="F76" s="188"/>
      <c r="G76" s="15" t="s">
        <v>79</v>
      </c>
      <c r="H76" s="301">
        <v>1950</v>
      </c>
      <c r="I76" s="698" t="s">
        <v>760</v>
      </c>
      <c r="J76" s="106"/>
      <c r="K76" s="106"/>
      <c r="L76" s="106"/>
      <c r="M76" s="106"/>
      <c r="N76" s="106"/>
      <c r="O76" s="106"/>
      <c r="P76" s="106"/>
    </row>
    <row r="77" spans="2:16" s="21" customFormat="1" ht="249.75" customHeight="1" x14ac:dyDescent="0.25">
      <c r="B77" s="56" t="s">
        <v>123</v>
      </c>
      <c r="C77" s="76" t="s">
        <v>850</v>
      </c>
      <c r="D77" s="58" t="s">
        <v>418</v>
      </c>
      <c r="E77" s="58" t="s">
        <v>136</v>
      </c>
      <c r="F77" s="66"/>
      <c r="G77" s="15"/>
      <c r="H77" s="301">
        <v>2543</v>
      </c>
      <c r="I77" s="687" t="s">
        <v>760</v>
      </c>
      <c r="J77" s="14"/>
      <c r="K77" s="14"/>
      <c r="L77" s="14"/>
    </row>
    <row r="78" spans="2:16" s="21" customFormat="1" ht="190.5" customHeight="1" x14ac:dyDescent="0.25">
      <c r="B78" s="56" t="s">
        <v>123</v>
      </c>
      <c r="C78" s="96" t="s">
        <v>784</v>
      </c>
      <c r="D78" s="58" t="s">
        <v>780</v>
      </c>
      <c r="E78" s="58" t="s">
        <v>136</v>
      </c>
      <c r="F78" s="66"/>
      <c r="G78" s="15" t="s">
        <v>79</v>
      </c>
      <c r="H78" s="301">
        <v>3969.03</v>
      </c>
      <c r="I78" s="14"/>
      <c r="J78" s="14"/>
      <c r="K78" s="14"/>
      <c r="L78" s="14"/>
    </row>
    <row r="79" spans="2:16" s="21" customFormat="1" ht="91.5" customHeight="1" x14ac:dyDescent="0.25">
      <c r="B79" s="56" t="s">
        <v>123</v>
      </c>
      <c r="C79" s="76" t="s">
        <v>851</v>
      </c>
      <c r="D79" s="58">
        <v>46227</v>
      </c>
      <c r="E79" s="58" t="s">
        <v>76</v>
      </c>
      <c r="F79" s="66"/>
      <c r="G79" s="721" t="s">
        <v>782</v>
      </c>
      <c r="H79" s="301">
        <v>2700</v>
      </c>
      <c r="I79" s="14"/>
      <c r="J79" s="14"/>
      <c r="K79" s="14"/>
      <c r="L79" s="14"/>
    </row>
    <row r="80" spans="2:16" s="21" customFormat="1" ht="126" customHeight="1" x14ac:dyDescent="0.25">
      <c r="B80" s="56" t="s">
        <v>381</v>
      </c>
      <c r="C80" s="96" t="s">
        <v>781</v>
      </c>
      <c r="D80" s="58">
        <v>46182</v>
      </c>
      <c r="E80" s="58" t="s">
        <v>76</v>
      </c>
      <c r="F80" s="66"/>
      <c r="G80" s="721" t="s">
        <v>782</v>
      </c>
      <c r="H80" s="301">
        <v>8006.66</v>
      </c>
      <c r="I80" s="14"/>
      <c r="J80" s="14"/>
      <c r="K80" s="14"/>
      <c r="L80" s="14"/>
    </row>
    <row r="81" spans="2:12" s="21" customFormat="1" ht="18.75" x14ac:dyDescent="0.3">
      <c r="B81" s="26"/>
      <c r="C81" s="124" t="s">
        <v>168</v>
      </c>
      <c r="D81" s="26"/>
      <c r="E81" s="26"/>
      <c r="F81" s="64"/>
      <c r="G81" s="71"/>
      <c r="H81" s="28"/>
      <c r="I81" s="684"/>
      <c r="J81" s="455"/>
      <c r="K81" s="14"/>
      <c r="L81" s="14"/>
    </row>
    <row r="82" spans="2:12" s="21" customFormat="1" ht="56.25" x14ac:dyDescent="0.25">
      <c r="B82" s="22" t="s">
        <v>188</v>
      </c>
      <c r="C82" s="23" t="s">
        <v>259</v>
      </c>
      <c r="D82" s="24"/>
      <c r="E82" s="22"/>
      <c r="F82" s="65"/>
      <c r="G82" s="72"/>
      <c r="H82" s="25" t="s">
        <v>189</v>
      </c>
      <c r="I82" s="684"/>
      <c r="J82" s="14"/>
      <c r="K82" s="14"/>
      <c r="L82" s="14"/>
    </row>
    <row r="83" spans="2:12" s="21" customFormat="1" ht="56.25" x14ac:dyDescent="0.25">
      <c r="B83" s="22" t="s">
        <v>188</v>
      </c>
      <c r="C83" s="23" t="s">
        <v>258</v>
      </c>
      <c r="D83" s="24"/>
      <c r="E83" s="22"/>
      <c r="F83" s="65"/>
      <c r="G83" s="72"/>
      <c r="H83" s="25" t="s">
        <v>189</v>
      </c>
      <c r="I83" s="684"/>
      <c r="J83" s="14"/>
      <c r="K83" s="14"/>
      <c r="L83" s="14"/>
    </row>
    <row r="84" spans="2:12" s="14" customFormat="1" ht="56.25" x14ac:dyDescent="0.25">
      <c r="B84" s="22" t="s">
        <v>188</v>
      </c>
      <c r="C84" s="23" t="s">
        <v>251</v>
      </c>
      <c r="D84" s="24"/>
      <c r="E84" s="22"/>
      <c r="F84" s="65"/>
      <c r="G84" s="72"/>
      <c r="H84" s="25" t="s">
        <v>189</v>
      </c>
      <c r="I84" s="684"/>
    </row>
    <row r="85" spans="2:12" s="14" customFormat="1" ht="56.25" x14ac:dyDescent="0.25">
      <c r="B85" s="22" t="s">
        <v>188</v>
      </c>
      <c r="C85" s="23" t="s">
        <v>260</v>
      </c>
      <c r="D85" s="24"/>
      <c r="E85" s="22"/>
      <c r="F85" s="65"/>
      <c r="G85" s="72"/>
      <c r="H85" s="25" t="s">
        <v>189</v>
      </c>
      <c r="I85" s="684"/>
    </row>
    <row r="86" spans="2:12" s="34" customFormat="1" ht="18.75" x14ac:dyDescent="0.2">
      <c r="B86" s="26"/>
      <c r="C86" s="123" t="s">
        <v>167</v>
      </c>
      <c r="D86" s="26"/>
      <c r="E86" s="26"/>
      <c r="F86" s="64"/>
      <c r="G86" s="71"/>
      <c r="H86" s="28"/>
      <c r="I86" s="685"/>
    </row>
    <row r="87" spans="2:12" s="34" customFormat="1" ht="264.75" customHeight="1" x14ac:dyDescent="0.2">
      <c r="B87" s="104" t="s">
        <v>408</v>
      </c>
      <c r="C87" s="57" t="s">
        <v>148</v>
      </c>
      <c r="D87" s="101" t="s">
        <v>418</v>
      </c>
      <c r="E87" s="82" t="s">
        <v>136</v>
      </c>
      <c r="F87" s="85"/>
      <c r="G87" s="79" t="s">
        <v>417</v>
      </c>
      <c r="H87" s="86">
        <v>12800</v>
      </c>
      <c r="I87" s="696" t="s">
        <v>766</v>
      </c>
    </row>
    <row r="88" spans="2:12" s="34" customFormat="1" ht="158.25" customHeight="1" x14ac:dyDescent="0.2">
      <c r="B88" s="104" t="s">
        <v>409</v>
      </c>
      <c r="C88" s="100" t="s">
        <v>292</v>
      </c>
      <c r="D88" s="101" t="s">
        <v>142</v>
      </c>
      <c r="E88" s="82" t="s">
        <v>51</v>
      </c>
      <c r="F88" s="85"/>
      <c r="G88" s="95" t="s">
        <v>79</v>
      </c>
      <c r="H88" s="86">
        <v>1600</v>
      </c>
      <c r="I88" s="699" t="s">
        <v>769</v>
      </c>
    </row>
    <row r="89" spans="2:12" s="34" customFormat="1" ht="159.75" customHeight="1" x14ac:dyDescent="0.2">
      <c r="B89" s="60" t="s">
        <v>273</v>
      </c>
      <c r="C89" s="76" t="s">
        <v>87</v>
      </c>
      <c r="D89" s="101" t="s">
        <v>135</v>
      </c>
      <c r="E89" s="82" t="s">
        <v>136</v>
      </c>
      <c r="F89" s="85"/>
      <c r="G89" s="95" t="s">
        <v>79</v>
      </c>
      <c r="H89" s="86">
        <v>340</v>
      </c>
      <c r="I89" s="696" t="s">
        <v>760</v>
      </c>
    </row>
    <row r="90" spans="2:12" s="34" customFormat="1" ht="84" customHeight="1" x14ac:dyDescent="0.2">
      <c r="B90" s="60" t="s">
        <v>276</v>
      </c>
      <c r="C90" s="57" t="s">
        <v>807</v>
      </c>
      <c r="D90" s="61" t="s">
        <v>783</v>
      </c>
      <c r="E90" s="58" t="s">
        <v>136</v>
      </c>
      <c r="F90" s="705" t="s">
        <v>546</v>
      </c>
      <c r="G90" s="95" t="s">
        <v>79</v>
      </c>
      <c r="H90" s="66">
        <v>2700</v>
      </c>
    </row>
    <row r="91" spans="2:12" s="34" customFormat="1" ht="49.5" customHeight="1" x14ac:dyDescent="0.2">
      <c r="B91" s="60" t="s">
        <v>276</v>
      </c>
      <c r="C91" s="100" t="s">
        <v>806</v>
      </c>
      <c r="D91" s="101">
        <v>46196</v>
      </c>
      <c r="E91" s="82" t="s">
        <v>76</v>
      </c>
      <c r="F91" s="82"/>
      <c r="G91" s="95" t="s">
        <v>79</v>
      </c>
      <c r="H91" s="85">
        <v>1000</v>
      </c>
    </row>
    <row r="92" spans="2:12" s="34" customFormat="1" ht="43.5" customHeight="1" x14ac:dyDescent="0.2">
      <c r="B92" s="60" t="s">
        <v>276</v>
      </c>
      <c r="C92" s="100" t="s">
        <v>805</v>
      </c>
      <c r="D92" s="101">
        <v>46196</v>
      </c>
      <c r="E92" s="82" t="s">
        <v>76</v>
      </c>
      <c r="F92" s="82"/>
      <c r="G92" s="95" t="s">
        <v>79</v>
      </c>
      <c r="H92" s="85">
        <v>700</v>
      </c>
    </row>
    <row r="93" spans="2:12" s="34" customFormat="1" ht="59.25" customHeight="1" x14ac:dyDescent="0.2">
      <c r="B93" s="104" t="s">
        <v>795</v>
      </c>
      <c r="C93" s="100" t="s">
        <v>796</v>
      </c>
      <c r="D93" s="101">
        <v>46195</v>
      </c>
      <c r="E93" s="82" t="s">
        <v>76</v>
      </c>
      <c r="F93" s="82"/>
      <c r="G93" s="82"/>
      <c r="H93" s="254">
        <f>2412.99+2465</f>
        <v>4877.99</v>
      </c>
    </row>
    <row r="94" spans="2:12" s="34" customFormat="1" ht="84" customHeight="1" x14ac:dyDescent="0.2">
      <c r="B94" s="419" t="s">
        <v>795</v>
      </c>
      <c r="C94" s="733" t="s">
        <v>797</v>
      </c>
      <c r="D94" s="82">
        <v>46195</v>
      </c>
      <c r="E94" s="82" t="s">
        <v>76</v>
      </c>
      <c r="F94" s="101"/>
      <c r="G94" s="82"/>
      <c r="H94" s="254">
        <f>3442.99+290.99+2465</f>
        <v>6198.98</v>
      </c>
    </row>
    <row r="95" spans="2:12" s="34" customFormat="1" ht="84" customHeight="1" x14ac:dyDescent="0.2">
      <c r="B95" s="81"/>
      <c r="C95" s="734" t="s">
        <v>798</v>
      </c>
      <c r="D95" s="84"/>
      <c r="E95" s="84"/>
      <c r="F95" s="90"/>
      <c r="G95" s="84"/>
      <c r="H95" s="84"/>
    </row>
    <row r="96" spans="2:12" s="34" customFormat="1" ht="84" customHeight="1" x14ac:dyDescent="0.2">
      <c r="B96" s="88" t="s">
        <v>795</v>
      </c>
      <c r="C96" s="96" t="s">
        <v>799</v>
      </c>
      <c r="D96" s="90">
        <v>46195</v>
      </c>
      <c r="E96" s="84" t="s">
        <v>76</v>
      </c>
      <c r="F96" s="84"/>
      <c r="G96" s="84"/>
      <c r="H96" s="107">
        <f>3259.92+2465</f>
        <v>5724.92</v>
      </c>
    </row>
    <row r="97" spans="2:10" s="34" customFormat="1" ht="113.25" customHeight="1" x14ac:dyDescent="0.2">
      <c r="B97" s="60" t="s">
        <v>795</v>
      </c>
      <c r="C97" s="57" t="s">
        <v>800</v>
      </c>
      <c r="D97" s="61">
        <v>46195</v>
      </c>
      <c r="E97" s="58" t="s">
        <v>76</v>
      </c>
      <c r="F97" s="58"/>
      <c r="G97" s="58"/>
      <c r="H97" s="188">
        <f>1479+2465</f>
        <v>3944</v>
      </c>
    </row>
    <row r="98" spans="2:10" s="34" customFormat="1" ht="84" customHeight="1" x14ac:dyDescent="0.2">
      <c r="B98" s="60" t="s">
        <v>795</v>
      </c>
      <c r="C98" s="76" t="s">
        <v>802</v>
      </c>
      <c r="D98" s="61">
        <v>46195</v>
      </c>
      <c r="E98" s="58" t="s">
        <v>76</v>
      </c>
      <c r="F98" s="58"/>
      <c r="G98" s="188">
        <v>9860.5400000000009</v>
      </c>
      <c r="H98" s="188" t="s">
        <v>803</v>
      </c>
      <c r="J98" s="732"/>
    </row>
    <row r="99" spans="2:10" s="34" customFormat="1" ht="125.45" customHeight="1" x14ac:dyDescent="0.2">
      <c r="B99" s="60" t="s">
        <v>759</v>
      </c>
      <c r="C99" s="57" t="s">
        <v>801</v>
      </c>
      <c r="D99" s="61" t="s">
        <v>783</v>
      </c>
      <c r="E99" s="58" t="s">
        <v>136</v>
      </c>
      <c r="F99" s="66"/>
      <c r="G99" s="95" t="s">
        <v>79</v>
      </c>
      <c r="H99" s="59">
        <v>300</v>
      </c>
      <c r="I99" s="685"/>
    </row>
    <row r="100" spans="2:10" s="34" customFormat="1" ht="337.5" x14ac:dyDescent="0.2">
      <c r="B100" s="60" t="s">
        <v>221</v>
      </c>
      <c r="C100" s="76" t="s">
        <v>227</v>
      </c>
      <c r="D100" s="61" t="s">
        <v>558</v>
      </c>
      <c r="E100" s="58" t="s">
        <v>75</v>
      </c>
      <c r="F100" s="66"/>
      <c r="G100" s="66"/>
      <c r="H100" s="59" t="s">
        <v>557</v>
      </c>
      <c r="I100" s="685"/>
    </row>
    <row r="101" spans="2:10" s="34" customFormat="1" ht="100.5" customHeight="1" x14ac:dyDescent="0.2">
      <c r="B101" s="60" t="s">
        <v>226</v>
      </c>
      <c r="C101" s="76" t="s">
        <v>228</v>
      </c>
      <c r="D101" s="89" t="s">
        <v>550</v>
      </c>
      <c r="E101" s="103" t="s">
        <v>136</v>
      </c>
      <c r="F101" s="66"/>
      <c r="G101" s="412" t="s">
        <v>79</v>
      </c>
      <c r="H101" s="59">
        <v>120</v>
      </c>
      <c r="I101" s="855" t="s">
        <v>770</v>
      </c>
      <c r="J101" s="700"/>
    </row>
    <row r="102" spans="2:10" s="34" customFormat="1" ht="124.5" customHeight="1" x14ac:dyDescent="0.2">
      <c r="B102" s="60" t="s">
        <v>226</v>
      </c>
      <c r="C102" s="76" t="s">
        <v>229</v>
      </c>
      <c r="D102" s="58" t="s">
        <v>369</v>
      </c>
      <c r="E102" s="56" t="s">
        <v>136</v>
      </c>
      <c r="F102" s="66"/>
      <c r="G102" s="408" t="s">
        <v>422</v>
      </c>
      <c r="H102" s="59">
        <v>322</v>
      </c>
      <c r="I102" s="855"/>
    </row>
    <row r="103" spans="2:10" s="34" customFormat="1" ht="187.5" customHeight="1" x14ac:dyDescent="0.2">
      <c r="B103" s="60" t="s">
        <v>226</v>
      </c>
      <c r="C103" s="76" t="s">
        <v>235</v>
      </c>
      <c r="D103" s="89" t="s">
        <v>550</v>
      </c>
      <c r="E103" s="103" t="s">
        <v>136</v>
      </c>
      <c r="F103" s="66"/>
      <c r="G103" s="412" t="s">
        <v>79</v>
      </c>
      <c r="H103" s="59">
        <v>186</v>
      </c>
      <c r="I103" s="701" t="s">
        <v>774</v>
      </c>
    </row>
    <row r="104" spans="2:10" s="34" customFormat="1" ht="156.75" customHeight="1" x14ac:dyDescent="0.2">
      <c r="B104" s="60" t="s">
        <v>226</v>
      </c>
      <c r="C104" s="76" t="s">
        <v>253</v>
      </c>
      <c r="D104" s="58" t="s">
        <v>550</v>
      </c>
      <c r="E104" s="56" t="s">
        <v>136</v>
      </c>
      <c r="F104" s="93"/>
      <c r="G104" s="412" t="s">
        <v>79</v>
      </c>
      <c r="H104" s="59">
        <v>646</v>
      </c>
      <c r="I104" s="696" t="s">
        <v>760</v>
      </c>
    </row>
    <row r="105" spans="2:10" s="34" customFormat="1" ht="156.75" customHeight="1" x14ac:dyDescent="0.2">
      <c r="B105" s="60" t="s">
        <v>226</v>
      </c>
      <c r="C105" s="76" t="s">
        <v>254</v>
      </c>
      <c r="D105" s="89" t="s">
        <v>550</v>
      </c>
      <c r="E105" s="103" t="s">
        <v>136</v>
      </c>
      <c r="F105" s="66"/>
      <c r="G105" s="66"/>
      <c r="H105" s="59" t="s">
        <v>566</v>
      </c>
      <c r="I105" s="685"/>
    </row>
    <row r="106" spans="2:10" s="34" customFormat="1" ht="170.25" customHeight="1" x14ac:dyDescent="0.2">
      <c r="B106" s="60" t="s">
        <v>284</v>
      </c>
      <c r="C106" s="76" t="s">
        <v>586</v>
      </c>
      <c r="D106" s="61" t="s">
        <v>581</v>
      </c>
      <c r="E106" s="58" t="s">
        <v>139</v>
      </c>
      <c r="F106" s="66"/>
      <c r="G106" s="66" t="s">
        <v>590</v>
      </c>
      <c r="H106" s="466">
        <v>-1000</v>
      </c>
      <c r="I106" s="685"/>
    </row>
    <row r="107" spans="2:10" s="34" customFormat="1" ht="87" customHeight="1" x14ac:dyDescent="0.2">
      <c r="B107" s="60" t="s">
        <v>284</v>
      </c>
      <c r="C107" s="76" t="s">
        <v>616</v>
      </c>
      <c r="D107" s="61" t="s">
        <v>581</v>
      </c>
      <c r="E107" s="58" t="s">
        <v>139</v>
      </c>
      <c r="F107" s="66"/>
      <c r="G107" s="66"/>
      <c r="H107" s="59" t="s">
        <v>574</v>
      </c>
      <c r="I107" s="685"/>
    </row>
    <row r="108" spans="2:10" s="34" customFormat="1" ht="83.25" customHeight="1" x14ac:dyDescent="0.2">
      <c r="B108" s="60" t="s">
        <v>284</v>
      </c>
      <c r="C108" s="76" t="s">
        <v>286</v>
      </c>
      <c r="D108" s="61" t="s">
        <v>581</v>
      </c>
      <c r="E108" s="58" t="s">
        <v>139</v>
      </c>
      <c r="F108" s="66"/>
      <c r="G108" s="66"/>
      <c r="H108" s="59" t="s">
        <v>574</v>
      </c>
      <c r="I108" s="685"/>
    </row>
    <row r="109" spans="2:10" s="34" customFormat="1" ht="221.25" customHeight="1" x14ac:dyDescent="0.2">
      <c r="B109" s="56" t="s">
        <v>208</v>
      </c>
      <c r="C109" s="57" t="s">
        <v>209</v>
      </c>
      <c r="D109" s="58">
        <v>46160</v>
      </c>
      <c r="E109" s="56" t="s">
        <v>76</v>
      </c>
      <c r="F109" s="66"/>
      <c r="G109" s="412" t="s">
        <v>79</v>
      </c>
      <c r="H109" s="59">
        <v>975</v>
      </c>
      <c r="I109" s="696" t="s">
        <v>767</v>
      </c>
    </row>
    <row r="110" spans="2:10" s="34" customFormat="1" ht="81" customHeight="1" x14ac:dyDescent="0.2">
      <c r="B110" s="56" t="s">
        <v>211</v>
      </c>
      <c r="C110" s="76" t="s">
        <v>690</v>
      </c>
      <c r="D110" s="58" t="s">
        <v>670</v>
      </c>
      <c r="E110" s="58" t="s">
        <v>136</v>
      </c>
      <c r="F110" s="66"/>
      <c r="G110" s="533" t="s">
        <v>79</v>
      </c>
      <c r="H110" s="59">
        <v>3384.33</v>
      </c>
      <c r="I110" s="704" t="s">
        <v>689</v>
      </c>
    </row>
    <row r="111" spans="2:10" s="34" customFormat="1" ht="81" customHeight="1" x14ac:dyDescent="0.2">
      <c r="B111" s="56" t="s">
        <v>211</v>
      </c>
      <c r="C111" s="76" t="s">
        <v>691</v>
      </c>
      <c r="D111" s="58" t="s">
        <v>670</v>
      </c>
      <c r="E111" s="58" t="s">
        <v>136</v>
      </c>
      <c r="F111" s="179"/>
      <c r="G111" s="533" t="s">
        <v>79</v>
      </c>
      <c r="H111" s="532">
        <v>5204.33</v>
      </c>
      <c r="I111" s="704" t="s">
        <v>689</v>
      </c>
    </row>
    <row r="112" spans="2:10" s="34" customFormat="1" ht="61.5" customHeight="1" x14ac:dyDescent="0.2">
      <c r="B112" s="104" t="s">
        <v>160</v>
      </c>
      <c r="C112" s="57" t="s">
        <v>668</v>
      </c>
      <c r="D112" s="101" t="s">
        <v>670</v>
      </c>
      <c r="E112" s="82" t="s">
        <v>136</v>
      </c>
      <c r="F112" s="85"/>
      <c r="G112" s="528" t="s">
        <v>667</v>
      </c>
      <c r="H112" s="86">
        <v>11520</v>
      </c>
      <c r="I112" s="696" t="s">
        <v>760</v>
      </c>
    </row>
    <row r="113" spans="2:9" s="34" customFormat="1" ht="85.5" customHeight="1" x14ac:dyDescent="0.2">
      <c r="B113" s="104" t="s">
        <v>160</v>
      </c>
      <c r="C113" s="92" t="s">
        <v>669</v>
      </c>
      <c r="D113" s="101" t="s">
        <v>670</v>
      </c>
      <c r="E113" s="82" t="s">
        <v>136</v>
      </c>
      <c r="F113" s="85"/>
      <c r="G113" s="527"/>
      <c r="H113" s="86">
        <v>1681.33</v>
      </c>
      <c r="I113" s="702" t="s">
        <v>760</v>
      </c>
    </row>
    <row r="114" spans="2:9" s="34" customFormat="1" ht="49.5" customHeight="1" x14ac:dyDescent="0.2">
      <c r="B114" s="104" t="s">
        <v>160</v>
      </c>
      <c r="C114" s="92" t="s">
        <v>673</v>
      </c>
      <c r="D114" s="101">
        <v>46160</v>
      </c>
      <c r="E114" s="82" t="s">
        <v>76</v>
      </c>
      <c r="F114" s="85"/>
      <c r="G114" s="527"/>
      <c r="H114" s="86">
        <v>166.67</v>
      </c>
      <c r="I114" s="702" t="s">
        <v>760</v>
      </c>
    </row>
    <row r="115" spans="2:9" s="34" customFormat="1" ht="85.5" customHeight="1" x14ac:dyDescent="0.2">
      <c r="B115" s="104" t="s">
        <v>160</v>
      </c>
      <c r="C115" s="96" t="s">
        <v>671</v>
      </c>
      <c r="D115" s="101">
        <v>46160</v>
      </c>
      <c r="E115" s="82" t="s">
        <v>76</v>
      </c>
      <c r="F115" s="85"/>
      <c r="G115" s="527"/>
      <c r="H115" s="86">
        <v>277.33</v>
      </c>
      <c r="I115" s="702" t="s">
        <v>760</v>
      </c>
    </row>
    <row r="116" spans="2:9" s="34" customFormat="1" ht="49.5" customHeight="1" x14ac:dyDescent="0.2">
      <c r="B116" s="104" t="s">
        <v>160</v>
      </c>
      <c r="C116" s="92" t="s">
        <v>674</v>
      </c>
      <c r="D116" s="101">
        <v>46160</v>
      </c>
      <c r="E116" s="82" t="s">
        <v>76</v>
      </c>
      <c r="F116" s="85"/>
      <c r="G116" s="527"/>
      <c r="H116" s="86">
        <v>166.67</v>
      </c>
      <c r="I116" s="696" t="s">
        <v>760</v>
      </c>
    </row>
    <row r="117" spans="2:9" s="34" customFormat="1" ht="85.5" customHeight="1" x14ac:dyDescent="0.2">
      <c r="B117" s="104" t="s">
        <v>160</v>
      </c>
      <c r="C117" s="96" t="s">
        <v>672</v>
      </c>
      <c r="D117" s="101">
        <v>46160</v>
      </c>
      <c r="E117" s="82" t="s">
        <v>76</v>
      </c>
      <c r="F117" s="85"/>
      <c r="G117" s="527"/>
      <c r="H117" s="86">
        <v>256</v>
      </c>
      <c r="I117" s="696" t="s">
        <v>760</v>
      </c>
    </row>
    <row r="118" spans="2:9" s="34" customFormat="1" ht="49.5" customHeight="1" x14ac:dyDescent="0.2">
      <c r="B118" s="104" t="s">
        <v>160</v>
      </c>
      <c r="C118" s="92" t="s">
        <v>675</v>
      </c>
      <c r="D118" s="101">
        <v>46160</v>
      </c>
      <c r="E118" s="82" t="s">
        <v>76</v>
      </c>
      <c r="F118" s="85"/>
      <c r="G118" s="527"/>
      <c r="H118" s="86">
        <v>166.67</v>
      </c>
      <c r="I118" s="702" t="s">
        <v>760</v>
      </c>
    </row>
    <row r="119" spans="2:9" s="34" customFormat="1" ht="49.5" customHeight="1" x14ac:dyDescent="0.2">
      <c r="B119" s="104" t="s">
        <v>160</v>
      </c>
      <c r="C119" s="96" t="s">
        <v>676</v>
      </c>
      <c r="D119" s="101">
        <v>46160</v>
      </c>
      <c r="E119" s="82" t="s">
        <v>76</v>
      </c>
      <c r="F119" s="85"/>
      <c r="G119" s="527"/>
      <c r="H119" s="86">
        <v>170</v>
      </c>
      <c r="I119" s="703" t="s">
        <v>771</v>
      </c>
    </row>
    <row r="120" spans="2:9" s="34" customFormat="1" ht="49.5" customHeight="1" x14ac:dyDescent="0.2">
      <c r="B120" s="104" t="s">
        <v>160</v>
      </c>
      <c r="C120" s="96" t="s">
        <v>693</v>
      </c>
      <c r="D120" s="101">
        <v>46160</v>
      </c>
      <c r="E120" s="82" t="s">
        <v>76</v>
      </c>
      <c r="F120" s="85"/>
      <c r="G120" s="527"/>
      <c r="H120" s="86">
        <v>603.20000000000005</v>
      </c>
      <c r="I120" s="696" t="s">
        <v>760</v>
      </c>
    </row>
    <row r="121" spans="2:9" s="34" customFormat="1" ht="18.75" x14ac:dyDescent="0.2">
      <c r="B121" s="26"/>
      <c r="C121" s="78" t="s">
        <v>68</v>
      </c>
      <c r="D121" s="26"/>
      <c r="E121" s="26"/>
      <c r="F121" s="64"/>
      <c r="G121" s="71"/>
      <c r="H121" s="28"/>
      <c r="I121" s="685"/>
    </row>
    <row r="122" spans="2:9" s="34" customFormat="1" ht="84" customHeight="1" x14ac:dyDescent="0.2">
      <c r="B122" s="87" t="s">
        <v>96</v>
      </c>
      <c r="C122" s="100" t="s">
        <v>97</v>
      </c>
      <c r="D122" s="101" t="s">
        <v>85</v>
      </c>
      <c r="E122" s="82" t="s">
        <v>51</v>
      </c>
      <c r="F122" s="94"/>
      <c r="G122" s="102"/>
      <c r="H122" s="86" t="s">
        <v>346</v>
      </c>
      <c r="I122" s="685"/>
    </row>
    <row r="123" spans="2:9" s="34" customFormat="1" ht="84" customHeight="1" x14ac:dyDescent="0.2">
      <c r="B123" s="56" t="s">
        <v>68</v>
      </c>
      <c r="C123" s="100" t="s">
        <v>812</v>
      </c>
      <c r="D123" s="101" t="s">
        <v>815</v>
      </c>
      <c r="E123" s="82" t="s">
        <v>136</v>
      </c>
      <c r="F123" s="94"/>
      <c r="G123" s="102"/>
      <c r="H123" s="86" t="s">
        <v>566</v>
      </c>
      <c r="I123" s="685"/>
    </row>
    <row r="124" spans="2:9" s="34" customFormat="1" ht="84" customHeight="1" x14ac:dyDescent="0.2">
      <c r="B124" s="56" t="s">
        <v>813</v>
      </c>
      <c r="C124" s="100" t="s">
        <v>814</v>
      </c>
      <c r="D124" s="101" t="s">
        <v>815</v>
      </c>
      <c r="E124" s="82" t="s">
        <v>136</v>
      </c>
      <c r="F124" s="94"/>
      <c r="G124" s="102"/>
      <c r="H124" s="86" t="s">
        <v>566</v>
      </c>
      <c r="I124" s="685"/>
    </row>
    <row r="125" spans="2:9" s="34" customFormat="1" ht="48" customHeight="1" x14ac:dyDescent="0.2">
      <c r="B125" s="58" t="s">
        <v>69</v>
      </c>
      <c r="C125" s="57" t="s">
        <v>263</v>
      </c>
      <c r="D125" s="58" t="s">
        <v>70</v>
      </c>
      <c r="E125" s="56" t="s">
        <v>51</v>
      </c>
      <c r="F125" s="66"/>
      <c r="G125" s="74"/>
      <c r="H125" s="59" t="s">
        <v>346</v>
      </c>
      <c r="I125" s="685"/>
    </row>
    <row r="126" spans="2:9" ht="18.75" x14ac:dyDescent="0.25">
      <c r="B126" s="56"/>
      <c r="C126" s="76"/>
      <c r="D126" s="58"/>
      <c r="E126" s="58"/>
      <c r="F126" s="66"/>
      <c r="G126" s="66"/>
      <c r="H126" s="59"/>
    </row>
    <row r="127" spans="2:9" ht="18.75" x14ac:dyDescent="0.25">
      <c r="B127" s="56"/>
      <c r="C127" s="57"/>
      <c r="D127" s="58"/>
      <c r="E127" s="58"/>
      <c r="F127" s="66"/>
      <c r="G127" s="66"/>
      <c r="H127" s="59"/>
    </row>
    <row r="128" spans="2:9" ht="15.75" x14ac:dyDescent="0.25">
      <c r="B128" s="29"/>
      <c r="C128" s="30"/>
      <c r="D128" s="31"/>
      <c r="E128" s="31"/>
      <c r="F128" s="67"/>
      <c r="G128" s="67"/>
      <c r="H128" s="33"/>
    </row>
    <row r="129" spans="2:8" ht="18.75" x14ac:dyDescent="0.3">
      <c r="B129" s="32"/>
      <c r="C129" s="34"/>
      <c r="D129" s="32"/>
      <c r="E129" s="32"/>
      <c r="F129" s="67"/>
      <c r="G129" s="73" t="s">
        <v>13</v>
      </c>
      <c r="H129" s="36">
        <f>SUM(H16:H127)</f>
        <v>375232.1</v>
      </c>
    </row>
    <row r="130" spans="2:8" ht="15.75" x14ac:dyDescent="0.25">
      <c r="B130" s="39" t="s">
        <v>43</v>
      </c>
      <c r="C130" s="39" t="s">
        <v>14</v>
      </c>
      <c r="D130" s="38"/>
      <c r="E130" s="35"/>
      <c r="F130" s="68"/>
      <c r="G130" s="67"/>
      <c r="H130" s="33"/>
    </row>
    <row r="131" spans="2:8" ht="15.75" x14ac:dyDescent="0.25">
      <c r="B131" s="39"/>
      <c r="C131" s="39"/>
      <c r="D131" s="35"/>
      <c r="E131" s="35"/>
      <c r="F131" s="69"/>
      <c r="G131" s="73"/>
      <c r="H131" s="33"/>
    </row>
    <row r="132" spans="2:8" ht="15.75" x14ac:dyDescent="0.25">
      <c r="B132" s="39" t="s">
        <v>15</v>
      </c>
      <c r="C132" s="39" t="s">
        <v>14</v>
      </c>
      <c r="D132" s="38"/>
      <c r="E132" s="35"/>
      <c r="F132" s="68"/>
      <c r="G132" s="67"/>
      <c r="H132" s="33"/>
    </row>
    <row r="133" spans="2:8" ht="15.75" x14ac:dyDescent="0.25">
      <c r="B133" s="39"/>
      <c r="C133" s="37"/>
      <c r="D133" s="35"/>
      <c r="E133" s="35"/>
      <c r="F133" s="67"/>
      <c r="G133" s="67"/>
      <c r="H133" s="39"/>
    </row>
    <row r="134" spans="2:8" ht="15.75" x14ac:dyDescent="0.25">
      <c r="B134" s="39" t="s">
        <v>44</v>
      </c>
      <c r="C134" s="34"/>
      <c r="D134" s="35"/>
      <c r="E134" s="35"/>
      <c r="F134" s="67"/>
      <c r="G134" s="67"/>
      <c r="H134" s="33"/>
    </row>
    <row r="135" spans="2:8" ht="15.75" x14ac:dyDescent="0.25">
      <c r="B135" s="32"/>
      <c r="C135" s="34"/>
      <c r="D135" s="32"/>
      <c r="E135" s="32"/>
      <c r="F135" s="67"/>
      <c r="G135" s="67"/>
      <c r="H135" s="33"/>
    </row>
    <row r="136" spans="2:8" ht="15.75" x14ac:dyDescent="0.25">
      <c r="B136" s="32"/>
      <c r="C136" s="34"/>
      <c r="D136" s="32"/>
      <c r="E136" s="32"/>
      <c r="F136" s="67"/>
      <c r="G136" s="67"/>
      <c r="H136" s="33"/>
    </row>
  </sheetData>
  <mergeCells count="13">
    <mergeCell ref="I101:I102"/>
    <mergeCell ref="I38:I39"/>
    <mergeCell ref="B61:H61"/>
    <mergeCell ref="B14:C14"/>
    <mergeCell ref="D2:H5"/>
    <mergeCell ref="F6:G8"/>
    <mergeCell ref="B8:C8"/>
    <mergeCell ref="B9:C9"/>
    <mergeCell ref="D9:H13"/>
    <mergeCell ref="B10:C10"/>
    <mergeCell ref="B11:C11"/>
    <mergeCell ref="B12:C12"/>
    <mergeCell ref="B13:C13"/>
  </mergeCells>
  <pageMargins left="0.7" right="0.7" top="0.75" bottom="0.75" header="0.3" footer="0.3"/>
  <pageSetup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90540-3EFF-413F-8F2E-588312367B51}">
  <sheetPr>
    <tabColor rgb="FFFFFF00"/>
  </sheetPr>
  <dimension ref="A1:G17"/>
  <sheetViews>
    <sheetView topLeftCell="A14" workbookViewId="0">
      <selection activeCell="C19" sqref="C19"/>
    </sheetView>
  </sheetViews>
  <sheetFormatPr defaultColWidth="9.140625" defaultRowHeight="17.25" x14ac:dyDescent="0.3"/>
  <cols>
    <col min="1" max="1" width="8.85546875" style="42" customWidth="1"/>
    <col min="2" max="2" width="23.42578125" style="42" customWidth="1"/>
    <col min="3" max="3" width="89.42578125" style="42" customWidth="1"/>
    <col min="4" max="4" width="11.28515625" style="42" customWidth="1"/>
    <col min="5" max="7" width="17.5703125" style="42" customWidth="1"/>
    <col min="8" max="16384" width="9.140625" style="42"/>
  </cols>
  <sheetData>
    <row r="1" spans="1:7" ht="21.75" thickBot="1" x14ac:dyDescent="0.4">
      <c r="A1" s="878" t="str">
        <f>'DNU  Customer Option Cover Page'!C6</f>
        <v>Olsen Veranda Bay Model #2</v>
      </c>
      <c r="B1" s="879"/>
      <c r="C1" s="879"/>
      <c r="D1" s="879"/>
      <c r="E1" s="879"/>
      <c r="F1" s="879"/>
      <c r="G1" s="879"/>
    </row>
    <row r="2" spans="1:7" x14ac:dyDescent="0.3">
      <c r="A2" s="880" t="str">
        <f>'DNU  Customer Option Cover Page'!C7</f>
        <v xml:space="preserve">183 Stillwater Drive, Flagler Beach </v>
      </c>
      <c r="B2" s="880"/>
      <c r="C2" s="880"/>
      <c r="D2" s="880"/>
      <c r="E2" s="880"/>
      <c r="F2" s="880"/>
      <c r="G2" s="880"/>
    </row>
    <row r="3" spans="1:7" s="2" customFormat="1" ht="30" x14ac:dyDescent="0.4">
      <c r="B3" s="10" t="s">
        <v>0</v>
      </c>
      <c r="C3" s="11">
        <f ca="1">TODAY()</f>
        <v>46240</v>
      </c>
      <c r="D3" s="42"/>
      <c r="E3" s="42"/>
      <c r="F3" s="42"/>
      <c r="G3" s="42"/>
    </row>
    <row r="4" spans="1:7" s="2" customFormat="1" ht="30" x14ac:dyDescent="0.4">
      <c r="B4" s="10" t="s">
        <v>1</v>
      </c>
      <c r="C4" s="12" t="str">
        <f>'DNU  Customer Option Cover Page'!C6</f>
        <v>Olsen Veranda Bay Model #2</v>
      </c>
      <c r="D4" s="13"/>
      <c r="E4" s="42"/>
      <c r="F4" s="42"/>
      <c r="G4" s="3"/>
    </row>
    <row r="5" spans="1:7" s="2" customFormat="1" ht="30" x14ac:dyDescent="0.4">
      <c r="B5" s="10" t="s">
        <v>3</v>
      </c>
      <c r="C5" s="12" t="str">
        <f>'DNU  Customer Option Cover Page'!C7</f>
        <v xml:space="preserve">183 Stillwater Drive, Flagler Beach </v>
      </c>
      <c r="D5" s="13"/>
      <c r="E5" s="42"/>
      <c r="F5" s="42"/>
      <c r="G5" s="3"/>
    </row>
    <row r="7" spans="1:7" s="14" customFormat="1" ht="18" x14ac:dyDescent="0.25">
      <c r="B7" s="49" t="s">
        <v>4</v>
      </c>
      <c r="C7" s="50" t="s">
        <v>5</v>
      </c>
      <c r="D7" s="49" t="s">
        <v>6</v>
      </c>
      <c r="E7" s="49" t="s">
        <v>7</v>
      </c>
      <c r="F7" s="51" t="s">
        <v>47</v>
      </c>
      <c r="G7" s="52" t="s">
        <v>9</v>
      </c>
    </row>
    <row r="8" spans="1:7" s="14" customFormat="1" ht="18.75" x14ac:dyDescent="0.25">
      <c r="B8" s="15" t="s">
        <v>10</v>
      </c>
      <c r="C8" s="48" t="s">
        <v>34</v>
      </c>
      <c r="D8" s="16"/>
      <c r="E8" s="17"/>
      <c r="F8" s="17"/>
      <c r="G8" s="18"/>
    </row>
    <row r="9" spans="1:7" s="14" customFormat="1" ht="94.5" customHeight="1" x14ac:dyDescent="0.25">
      <c r="B9" s="15" t="s">
        <v>10</v>
      </c>
      <c r="C9" s="48" t="s">
        <v>38</v>
      </c>
      <c r="D9" s="16"/>
      <c r="E9" s="17"/>
      <c r="F9" s="17"/>
      <c r="G9" s="18"/>
    </row>
    <row r="10" spans="1:7" s="14" customFormat="1" ht="38.25" customHeight="1" x14ac:dyDescent="0.25">
      <c r="B10" s="15" t="s">
        <v>10</v>
      </c>
      <c r="C10" s="48" t="s">
        <v>36</v>
      </c>
      <c r="D10" s="16"/>
      <c r="E10" s="19"/>
      <c r="F10" s="20"/>
      <c r="G10" s="18"/>
    </row>
    <row r="11" spans="1:7" s="14" customFormat="1" ht="37.5" customHeight="1" x14ac:dyDescent="0.25">
      <c r="B11" s="15" t="s">
        <v>10</v>
      </c>
      <c r="C11" s="48" t="s">
        <v>32</v>
      </c>
      <c r="D11" s="16"/>
      <c r="E11" s="19"/>
      <c r="F11" s="20"/>
      <c r="G11" s="18"/>
    </row>
    <row r="12" spans="1:7" s="14" customFormat="1" ht="37.5" x14ac:dyDescent="0.25">
      <c r="B12" s="15" t="s">
        <v>10</v>
      </c>
      <c r="C12" s="48" t="s">
        <v>37</v>
      </c>
      <c r="D12" s="16"/>
      <c r="E12" s="19"/>
      <c r="F12" s="20"/>
      <c r="G12" s="18"/>
    </row>
    <row r="13" spans="1:7" s="14" customFormat="1" ht="37.5" customHeight="1" x14ac:dyDescent="0.25">
      <c r="B13" s="15" t="s">
        <v>10</v>
      </c>
      <c r="C13" s="48" t="s">
        <v>33</v>
      </c>
      <c r="D13" s="16"/>
      <c r="E13" s="19"/>
      <c r="F13" s="20"/>
      <c r="G13" s="18"/>
    </row>
    <row r="14" spans="1:7" s="14" customFormat="1" ht="37.5" customHeight="1" x14ac:dyDescent="0.25">
      <c r="B14" s="15" t="s">
        <v>10</v>
      </c>
      <c r="C14" s="48" t="s">
        <v>41</v>
      </c>
      <c r="D14" s="16"/>
      <c r="E14" s="19"/>
      <c r="F14" s="20"/>
      <c r="G14" s="18"/>
    </row>
    <row r="15" spans="1:7" s="14" customFormat="1" ht="41.25" customHeight="1" x14ac:dyDescent="0.25">
      <c r="B15" s="15" t="s">
        <v>10</v>
      </c>
      <c r="C15" s="48" t="s">
        <v>30</v>
      </c>
      <c r="D15" s="16"/>
      <c r="E15" s="19"/>
      <c r="F15" s="20"/>
      <c r="G15" s="18"/>
    </row>
    <row r="16" spans="1:7" s="14" customFormat="1" ht="51" customHeight="1" x14ac:dyDescent="0.25">
      <c r="B16" s="15" t="s">
        <v>10</v>
      </c>
      <c r="C16" s="48" t="s">
        <v>35</v>
      </c>
      <c r="D16" s="16"/>
      <c r="E16" s="19"/>
      <c r="F16" s="20"/>
      <c r="G16" s="18"/>
    </row>
    <row r="17" ht="59.25" customHeight="1" x14ac:dyDescent="0.3"/>
  </sheetData>
  <customSheetViews>
    <customSheetView guid="{1D143CF9-D561-438B-9881-64C8826F55C9}">
      <pageMargins left="0.7" right="0.7" top="0.75" bottom="0.75" header="0.3" footer="0.3"/>
    </customSheetView>
  </customSheetViews>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CC87-3503-45C3-AE4C-7410B452788A}">
  <sheetPr>
    <tabColor rgb="FFFFC000"/>
  </sheetPr>
  <dimension ref="A1:J17"/>
  <sheetViews>
    <sheetView workbookViewId="0">
      <selection activeCell="C20" sqref="C20"/>
    </sheetView>
  </sheetViews>
  <sheetFormatPr defaultColWidth="9.140625" defaultRowHeight="17.25" x14ac:dyDescent="0.3"/>
  <cols>
    <col min="1" max="1" width="9.140625" style="42" customWidth="1"/>
    <col min="2" max="2" width="18.28515625" style="42" customWidth="1"/>
    <col min="3" max="3" width="57.7109375" style="42" customWidth="1"/>
    <col min="4" max="4" width="11.7109375" style="42" customWidth="1"/>
    <col min="5" max="5" width="13.85546875" style="42" customWidth="1"/>
    <col min="6" max="6" width="17.42578125" style="42" customWidth="1"/>
    <col min="7" max="7" width="16.140625" style="42" customWidth="1"/>
    <col min="8" max="8" width="18.140625" style="42" customWidth="1"/>
    <col min="9" max="16384" width="9.140625" style="42"/>
  </cols>
  <sheetData>
    <row r="1" spans="1:10" ht="21.75" thickBot="1" x14ac:dyDescent="0.4">
      <c r="A1" s="878" t="str">
        <f>'DNU  Customer Option Cover Page'!C6</f>
        <v>Olsen Veranda Bay Model #2</v>
      </c>
      <c r="B1" s="879"/>
      <c r="C1" s="879"/>
      <c r="D1" s="879"/>
      <c r="E1" s="879"/>
      <c r="F1" s="879"/>
      <c r="G1" s="879"/>
      <c r="H1" s="879"/>
      <c r="I1" s="881"/>
    </row>
    <row r="2" spans="1:10" x14ac:dyDescent="0.3">
      <c r="A2" s="880" t="str">
        <f>'DNU  Customer Option Cover Page'!C7</f>
        <v xml:space="preserve">183 Stillwater Drive, Flagler Beach </v>
      </c>
      <c r="B2" s="880"/>
      <c r="C2" s="880"/>
      <c r="D2" s="880"/>
      <c r="E2" s="880"/>
      <c r="F2" s="880"/>
      <c r="G2" s="880"/>
      <c r="H2" s="880"/>
      <c r="I2" s="880"/>
    </row>
    <row r="3" spans="1:10" s="2" customFormat="1" ht="30" x14ac:dyDescent="0.4">
      <c r="B3" s="10" t="s">
        <v>0</v>
      </c>
      <c r="C3" s="11">
        <f ca="1">TODAY()</f>
        <v>46240</v>
      </c>
      <c r="D3" s="42"/>
      <c r="E3" s="42"/>
      <c r="F3" s="42"/>
      <c r="G3" s="42"/>
      <c r="H3" s="42"/>
    </row>
    <row r="4" spans="1:10" s="2" customFormat="1" ht="30" x14ac:dyDescent="0.4">
      <c r="B4" s="10" t="s">
        <v>1</v>
      </c>
      <c r="C4" s="12" t="str">
        <f>A1</f>
        <v>Olsen Veranda Bay Model #2</v>
      </c>
      <c r="D4" s="13"/>
      <c r="E4" s="13"/>
      <c r="F4" s="42"/>
      <c r="G4" s="42"/>
      <c r="H4" s="3"/>
    </row>
    <row r="5" spans="1:10" s="2" customFormat="1" ht="30" x14ac:dyDescent="0.4">
      <c r="B5" s="10" t="s">
        <v>3</v>
      </c>
      <c r="C5" s="12" t="str">
        <f>A2</f>
        <v xml:space="preserve">183 Stillwater Drive, Flagler Beach </v>
      </c>
      <c r="D5" s="13"/>
      <c r="E5" s="13"/>
      <c r="F5" s="42"/>
      <c r="G5" s="42"/>
      <c r="H5" s="3"/>
    </row>
    <row r="7" spans="1:10" s="14" customFormat="1" ht="34.5" x14ac:dyDescent="0.25">
      <c r="B7" s="49" t="s">
        <v>4</v>
      </c>
      <c r="C7" s="50" t="s">
        <v>5</v>
      </c>
      <c r="D7" s="49" t="s">
        <v>6</v>
      </c>
      <c r="E7" s="49" t="s">
        <v>17</v>
      </c>
      <c r="F7" s="49" t="s">
        <v>46</v>
      </c>
      <c r="G7" s="51" t="s">
        <v>8</v>
      </c>
      <c r="H7" s="52" t="s">
        <v>9</v>
      </c>
    </row>
    <row r="8" spans="1:10" s="21" customFormat="1" ht="18.75" x14ac:dyDescent="0.25">
      <c r="B8" s="22"/>
      <c r="C8" s="23"/>
      <c r="D8" s="24"/>
      <c r="E8" s="22"/>
      <c r="F8" s="53"/>
      <c r="G8" s="54"/>
      <c r="H8" s="25"/>
      <c r="I8" s="14"/>
      <c r="J8" s="14"/>
    </row>
    <row r="9" spans="1:10" s="21" customFormat="1" ht="18.75" x14ac:dyDescent="0.25">
      <c r="B9" s="22"/>
      <c r="C9" s="23"/>
      <c r="D9" s="24"/>
      <c r="E9" s="22"/>
      <c r="F9" s="53"/>
      <c r="G9" s="54"/>
      <c r="H9" s="25"/>
      <c r="I9" s="14"/>
      <c r="J9" s="14"/>
    </row>
    <row r="10" spans="1:10" s="21" customFormat="1" ht="18.75" x14ac:dyDescent="0.25">
      <c r="B10" s="22"/>
      <c r="C10" s="23"/>
      <c r="D10" s="24"/>
      <c r="E10" s="22"/>
      <c r="F10" s="53"/>
      <c r="G10" s="54"/>
      <c r="H10" s="25"/>
      <c r="I10" s="14"/>
      <c r="J10" s="14"/>
    </row>
    <row r="11" spans="1:10" s="21" customFormat="1" ht="18.75" x14ac:dyDescent="0.25">
      <c r="B11" s="22"/>
      <c r="C11" s="23"/>
      <c r="D11" s="24"/>
      <c r="E11" s="22"/>
      <c r="F11" s="53"/>
      <c r="G11" s="54"/>
      <c r="H11" s="25"/>
      <c r="I11" s="14"/>
      <c r="J11" s="14"/>
    </row>
    <row r="12" spans="1:10" s="21" customFormat="1" ht="18.75" x14ac:dyDescent="0.25">
      <c r="B12" s="22"/>
      <c r="C12" s="23"/>
      <c r="D12" s="24"/>
      <c r="E12" s="22"/>
      <c r="F12" s="53"/>
      <c r="G12" s="54"/>
      <c r="H12" s="25"/>
      <c r="I12" s="14"/>
      <c r="J12" s="14"/>
    </row>
    <row r="13" spans="1:10" s="21" customFormat="1" ht="18.75" x14ac:dyDescent="0.25">
      <c r="B13" s="22"/>
      <c r="C13" s="23"/>
      <c r="D13" s="24"/>
      <c r="E13" s="22"/>
      <c r="F13" s="53"/>
      <c r="G13" s="54"/>
      <c r="H13" s="25"/>
      <c r="I13" s="14"/>
      <c r="J13" s="14"/>
    </row>
    <row r="14" spans="1:10" s="21" customFormat="1" ht="18.75" x14ac:dyDescent="0.25">
      <c r="B14" s="22"/>
      <c r="C14" s="23"/>
      <c r="D14" s="24"/>
      <c r="E14" s="22"/>
      <c r="F14" s="53"/>
      <c r="G14" s="54"/>
      <c r="H14" s="25"/>
      <c r="I14" s="14"/>
      <c r="J14" s="14"/>
    </row>
    <row r="15" spans="1:10" s="21" customFormat="1" ht="18.75" x14ac:dyDescent="0.25">
      <c r="B15" s="22"/>
      <c r="C15" s="23"/>
      <c r="D15" s="24"/>
      <c r="E15" s="22"/>
      <c r="F15" s="53"/>
      <c r="G15" s="54"/>
      <c r="H15" s="25"/>
      <c r="I15" s="14"/>
      <c r="J15" s="14"/>
    </row>
    <row r="16" spans="1:10" s="21" customFormat="1" ht="18.75" x14ac:dyDescent="0.25">
      <c r="B16" s="22"/>
      <c r="C16" s="23"/>
      <c r="D16" s="24"/>
      <c r="E16" s="22"/>
      <c r="F16" s="53"/>
      <c r="G16" s="54"/>
      <c r="H16" s="25"/>
      <c r="I16" s="14"/>
      <c r="J16" s="14"/>
    </row>
    <row r="17" spans="2:10" s="21" customFormat="1" ht="18.75" x14ac:dyDescent="0.25">
      <c r="B17" s="22"/>
      <c r="C17" s="23"/>
      <c r="D17" s="24"/>
      <c r="E17" s="22"/>
      <c r="F17" s="53"/>
      <c r="G17" s="54"/>
      <c r="H17" s="25"/>
      <c r="I17" s="14"/>
      <c r="J17" s="14"/>
    </row>
  </sheetData>
  <mergeCells count="2">
    <mergeCell ref="A1:I1"/>
    <mergeCell ref="A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E5C3-DA90-40F1-A2AB-0DF1FCDB917F}">
  <sheetPr>
    <tabColor rgb="FF7030A0"/>
  </sheetPr>
  <dimension ref="B1:P129"/>
  <sheetViews>
    <sheetView topLeftCell="A115" zoomScale="80" zoomScaleNormal="80" workbookViewId="0">
      <selection activeCell="G125" sqref="G125"/>
    </sheetView>
  </sheetViews>
  <sheetFormatPr defaultRowHeight="15" x14ac:dyDescent="0.25"/>
  <cols>
    <col min="1" max="1" width="4.85546875" customWidth="1"/>
    <col min="2" max="2" width="23" style="40" customWidth="1"/>
    <col min="3" max="3" width="82" customWidth="1"/>
    <col min="4" max="4" width="15.28515625" style="40" customWidth="1"/>
    <col min="5" max="5" width="12" style="40" customWidth="1"/>
    <col min="6" max="6" width="17" style="70" customWidth="1"/>
    <col min="7" max="7" width="18.7109375" style="70" customWidth="1"/>
    <col min="8" max="8" width="18.28515625" style="41" customWidth="1"/>
    <col min="9" max="9" width="19.5703125" customWidth="1"/>
    <col min="11" max="11" width="11.42578125" customWidth="1"/>
    <col min="12" max="12" width="57.7109375" customWidth="1"/>
    <col min="257" max="257" width="4.85546875" customWidth="1"/>
    <col min="258" max="258" width="22.140625" customWidth="1"/>
    <col min="259" max="259" width="82.5703125" customWidth="1"/>
    <col min="260" max="260" width="15.28515625" customWidth="1"/>
    <col min="261" max="261" width="11.140625" customWidth="1"/>
    <col min="262" max="262" width="17" customWidth="1"/>
    <col min="263" max="263" width="14" customWidth="1"/>
    <col min="264" max="264" width="17.140625" customWidth="1"/>
    <col min="265" max="265" width="16.28515625" bestFit="1" customWidth="1"/>
    <col min="267" max="267" width="11.42578125" customWidth="1"/>
    <col min="513" max="513" width="4.85546875" customWidth="1"/>
    <col min="514" max="514" width="22.140625" customWidth="1"/>
    <col min="515" max="515" width="82.5703125" customWidth="1"/>
    <col min="516" max="516" width="15.28515625" customWidth="1"/>
    <col min="517" max="517" width="11.140625" customWidth="1"/>
    <col min="518" max="518" width="17" customWidth="1"/>
    <col min="519" max="519" width="14" customWidth="1"/>
    <col min="520" max="520" width="17.140625" customWidth="1"/>
    <col min="521" max="521" width="16.28515625" bestFit="1" customWidth="1"/>
    <col min="523" max="523" width="11.42578125" customWidth="1"/>
    <col min="769" max="769" width="4.85546875" customWidth="1"/>
    <col min="770" max="770" width="22.140625" customWidth="1"/>
    <col min="771" max="771" width="82.5703125" customWidth="1"/>
    <col min="772" max="772" width="15.28515625" customWidth="1"/>
    <col min="773" max="773" width="11.140625" customWidth="1"/>
    <col min="774" max="774" width="17" customWidth="1"/>
    <col min="775" max="775" width="14" customWidth="1"/>
    <col min="776" max="776" width="17.140625" customWidth="1"/>
    <col min="777" max="777" width="16.28515625" bestFit="1" customWidth="1"/>
    <col min="779" max="779" width="11.42578125" customWidth="1"/>
    <col min="1025" max="1025" width="4.85546875" customWidth="1"/>
    <col min="1026" max="1026" width="22.140625" customWidth="1"/>
    <col min="1027" max="1027" width="82.5703125" customWidth="1"/>
    <col min="1028" max="1028" width="15.28515625" customWidth="1"/>
    <col min="1029" max="1029" width="11.140625" customWidth="1"/>
    <col min="1030" max="1030" width="17" customWidth="1"/>
    <col min="1031" max="1031" width="14" customWidth="1"/>
    <col min="1032" max="1032" width="17.140625" customWidth="1"/>
    <col min="1033" max="1033" width="16.28515625" bestFit="1" customWidth="1"/>
    <col min="1035" max="1035" width="11.42578125" customWidth="1"/>
    <col min="1281" max="1281" width="4.85546875" customWidth="1"/>
    <col min="1282" max="1282" width="22.140625" customWidth="1"/>
    <col min="1283" max="1283" width="82.5703125" customWidth="1"/>
    <col min="1284" max="1284" width="15.28515625" customWidth="1"/>
    <col min="1285" max="1285" width="11.140625" customWidth="1"/>
    <col min="1286" max="1286" width="17" customWidth="1"/>
    <col min="1287" max="1287" width="14" customWidth="1"/>
    <col min="1288" max="1288" width="17.140625" customWidth="1"/>
    <col min="1289" max="1289" width="16.28515625" bestFit="1" customWidth="1"/>
    <col min="1291" max="1291" width="11.42578125" customWidth="1"/>
    <col min="1537" max="1537" width="4.85546875" customWidth="1"/>
    <col min="1538" max="1538" width="22.140625" customWidth="1"/>
    <col min="1539" max="1539" width="82.5703125" customWidth="1"/>
    <col min="1540" max="1540" width="15.28515625" customWidth="1"/>
    <col min="1541" max="1541" width="11.140625" customWidth="1"/>
    <col min="1542" max="1542" width="17" customWidth="1"/>
    <col min="1543" max="1543" width="14" customWidth="1"/>
    <col min="1544" max="1544" width="17.140625" customWidth="1"/>
    <col min="1545" max="1545" width="16.28515625" bestFit="1" customWidth="1"/>
    <col min="1547" max="1547" width="11.42578125" customWidth="1"/>
    <col min="1793" max="1793" width="4.85546875" customWidth="1"/>
    <col min="1794" max="1794" width="22.140625" customWidth="1"/>
    <col min="1795" max="1795" width="82.5703125" customWidth="1"/>
    <col min="1796" max="1796" width="15.28515625" customWidth="1"/>
    <col min="1797" max="1797" width="11.140625" customWidth="1"/>
    <col min="1798" max="1798" width="17" customWidth="1"/>
    <col min="1799" max="1799" width="14" customWidth="1"/>
    <col min="1800" max="1800" width="17.140625" customWidth="1"/>
    <col min="1801" max="1801" width="16.28515625" bestFit="1" customWidth="1"/>
    <col min="1803" max="1803" width="11.42578125" customWidth="1"/>
    <col min="2049" max="2049" width="4.85546875" customWidth="1"/>
    <col min="2050" max="2050" width="22.140625" customWidth="1"/>
    <col min="2051" max="2051" width="82.5703125" customWidth="1"/>
    <col min="2052" max="2052" width="15.28515625" customWidth="1"/>
    <col min="2053" max="2053" width="11.140625" customWidth="1"/>
    <col min="2054" max="2054" width="17" customWidth="1"/>
    <col min="2055" max="2055" width="14" customWidth="1"/>
    <col min="2056" max="2056" width="17.140625" customWidth="1"/>
    <col min="2057" max="2057" width="16.28515625" bestFit="1" customWidth="1"/>
    <col min="2059" max="2059" width="11.42578125" customWidth="1"/>
    <col min="2305" max="2305" width="4.85546875" customWidth="1"/>
    <col min="2306" max="2306" width="22.140625" customWidth="1"/>
    <col min="2307" max="2307" width="82.5703125" customWidth="1"/>
    <col min="2308" max="2308" width="15.28515625" customWidth="1"/>
    <col min="2309" max="2309" width="11.140625" customWidth="1"/>
    <col min="2310" max="2310" width="17" customWidth="1"/>
    <col min="2311" max="2311" width="14" customWidth="1"/>
    <col min="2312" max="2312" width="17.140625" customWidth="1"/>
    <col min="2313" max="2313" width="16.28515625" bestFit="1" customWidth="1"/>
    <col min="2315" max="2315" width="11.42578125" customWidth="1"/>
    <col min="2561" max="2561" width="4.85546875" customWidth="1"/>
    <col min="2562" max="2562" width="22.140625" customWidth="1"/>
    <col min="2563" max="2563" width="82.5703125" customWidth="1"/>
    <col min="2564" max="2564" width="15.28515625" customWidth="1"/>
    <col min="2565" max="2565" width="11.140625" customWidth="1"/>
    <col min="2566" max="2566" width="17" customWidth="1"/>
    <col min="2567" max="2567" width="14" customWidth="1"/>
    <col min="2568" max="2568" width="17.140625" customWidth="1"/>
    <col min="2569" max="2569" width="16.28515625" bestFit="1" customWidth="1"/>
    <col min="2571" max="2571" width="11.42578125" customWidth="1"/>
    <col min="2817" max="2817" width="4.85546875" customWidth="1"/>
    <col min="2818" max="2818" width="22.140625" customWidth="1"/>
    <col min="2819" max="2819" width="82.5703125" customWidth="1"/>
    <col min="2820" max="2820" width="15.28515625" customWidth="1"/>
    <col min="2821" max="2821" width="11.140625" customWidth="1"/>
    <col min="2822" max="2822" width="17" customWidth="1"/>
    <col min="2823" max="2823" width="14" customWidth="1"/>
    <col min="2824" max="2824" width="17.140625" customWidth="1"/>
    <col min="2825" max="2825" width="16.28515625" bestFit="1" customWidth="1"/>
    <col min="2827" max="2827" width="11.42578125" customWidth="1"/>
    <col min="3073" max="3073" width="4.85546875" customWidth="1"/>
    <col min="3074" max="3074" width="22.140625" customWidth="1"/>
    <col min="3075" max="3075" width="82.5703125" customWidth="1"/>
    <col min="3076" max="3076" width="15.28515625" customWidth="1"/>
    <col min="3077" max="3077" width="11.140625" customWidth="1"/>
    <col min="3078" max="3078" width="17" customWidth="1"/>
    <col min="3079" max="3079" width="14" customWidth="1"/>
    <col min="3080" max="3080" width="17.140625" customWidth="1"/>
    <col min="3081" max="3081" width="16.28515625" bestFit="1" customWidth="1"/>
    <col min="3083" max="3083" width="11.42578125" customWidth="1"/>
    <col min="3329" max="3329" width="4.85546875" customWidth="1"/>
    <col min="3330" max="3330" width="22.140625" customWidth="1"/>
    <col min="3331" max="3331" width="82.5703125" customWidth="1"/>
    <col min="3332" max="3332" width="15.28515625" customWidth="1"/>
    <col min="3333" max="3333" width="11.140625" customWidth="1"/>
    <col min="3334" max="3334" width="17" customWidth="1"/>
    <col min="3335" max="3335" width="14" customWidth="1"/>
    <col min="3336" max="3336" width="17.140625" customWidth="1"/>
    <col min="3337" max="3337" width="16.28515625" bestFit="1" customWidth="1"/>
    <col min="3339" max="3339" width="11.42578125" customWidth="1"/>
    <col min="3585" max="3585" width="4.85546875" customWidth="1"/>
    <col min="3586" max="3586" width="22.140625" customWidth="1"/>
    <col min="3587" max="3587" width="82.5703125" customWidth="1"/>
    <col min="3588" max="3588" width="15.28515625" customWidth="1"/>
    <col min="3589" max="3589" width="11.140625" customWidth="1"/>
    <col min="3590" max="3590" width="17" customWidth="1"/>
    <col min="3591" max="3591" width="14" customWidth="1"/>
    <col min="3592" max="3592" width="17.140625" customWidth="1"/>
    <col min="3593" max="3593" width="16.28515625" bestFit="1" customWidth="1"/>
    <col min="3595" max="3595" width="11.42578125" customWidth="1"/>
    <col min="3841" max="3841" width="4.85546875" customWidth="1"/>
    <col min="3842" max="3842" width="22.140625" customWidth="1"/>
    <col min="3843" max="3843" width="82.5703125" customWidth="1"/>
    <col min="3844" max="3844" width="15.28515625" customWidth="1"/>
    <col min="3845" max="3845" width="11.140625" customWidth="1"/>
    <col min="3846" max="3846" width="17" customWidth="1"/>
    <col min="3847" max="3847" width="14" customWidth="1"/>
    <col min="3848" max="3848" width="17.140625" customWidth="1"/>
    <col min="3849" max="3849" width="16.28515625" bestFit="1" customWidth="1"/>
    <col min="3851" max="3851" width="11.42578125" customWidth="1"/>
    <col min="4097" max="4097" width="4.85546875" customWidth="1"/>
    <col min="4098" max="4098" width="22.140625" customWidth="1"/>
    <col min="4099" max="4099" width="82.5703125" customWidth="1"/>
    <col min="4100" max="4100" width="15.28515625" customWidth="1"/>
    <col min="4101" max="4101" width="11.140625" customWidth="1"/>
    <col min="4102" max="4102" width="17" customWidth="1"/>
    <col min="4103" max="4103" width="14" customWidth="1"/>
    <col min="4104" max="4104" width="17.140625" customWidth="1"/>
    <col min="4105" max="4105" width="16.28515625" bestFit="1" customWidth="1"/>
    <col min="4107" max="4107" width="11.42578125" customWidth="1"/>
    <col min="4353" max="4353" width="4.85546875" customWidth="1"/>
    <col min="4354" max="4354" width="22.140625" customWidth="1"/>
    <col min="4355" max="4355" width="82.5703125" customWidth="1"/>
    <col min="4356" max="4356" width="15.28515625" customWidth="1"/>
    <col min="4357" max="4357" width="11.140625" customWidth="1"/>
    <col min="4358" max="4358" width="17" customWidth="1"/>
    <col min="4359" max="4359" width="14" customWidth="1"/>
    <col min="4360" max="4360" width="17.140625" customWidth="1"/>
    <col min="4361" max="4361" width="16.28515625" bestFit="1" customWidth="1"/>
    <col min="4363" max="4363" width="11.42578125" customWidth="1"/>
    <col min="4609" max="4609" width="4.85546875" customWidth="1"/>
    <col min="4610" max="4610" width="22.140625" customWidth="1"/>
    <col min="4611" max="4611" width="82.5703125" customWidth="1"/>
    <col min="4612" max="4612" width="15.28515625" customWidth="1"/>
    <col min="4613" max="4613" width="11.140625" customWidth="1"/>
    <col min="4614" max="4614" width="17" customWidth="1"/>
    <col min="4615" max="4615" width="14" customWidth="1"/>
    <col min="4616" max="4616" width="17.140625" customWidth="1"/>
    <col min="4617" max="4617" width="16.28515625" bestFit="1" customWidth="1"/>
    <col min="4619" max="4619" width="11.42578125" customWidth="1"/>
    <col min="4865" max="4865" width="4.85546875" customWidth="1"/>
    <col min="4866" max="4866" width="22.140625" customWidth="1"/>
    <col min="4867" max="4867" width="82.5703125" customWidth="1"/>
    <col min="4868" max="4868" width="15.28515625" customWidth="1"/>
    <col min="4869" max="4869" width="11.140625" customWidth="1"/>
    <col min="4870" max="4870" width="17" customWidth="1"/>
    <col min="4871" max="4871" width="14" customWidth="1"/>
    <col min="4872" max="4872" width="17.140625" customWidth="1"/>
    <col min="4873" max="4873" width="16.28515625" bestFit="1" customWidth="1"/>
    <col min="4875" max="4875" width="11.42578125" customWidth="1"/>
    <col min="5121" max="5121" width="4.85546875" customWidth="1"/>
    <col min="5122" max="5122" width="22.140625" customWidth="1"/>
    <col min="5123" max="5123" width="82.5703125" customWidth="1"/>
    <col min="5124" max="5124" width="15.28515625" customWidth="1"/>
    <col min="5125" max="5125" width="11.140625" customWidth="1"/>
    <col min="5126" max="5126" width="17" customWidth="1"/>
    <col min="5127" max="5127" width="14" customWidth="1"/>
    <col min="5128" max="5128" width="17.140625" customWidth="1"/>
    <col min="5129" max="5129" width="16.28515625" bestFit="1" customWidth="1"/>
    <col min="5131" max="5131" width="11.42578125" customWidth="1"/>
    <col min="5377" max="5377" width="4.85546875" customWidth="1"/>
    <col min="5378" max="5378" width="22.140625" customWidth="1"/>
    <col min="5379" max="5379" width="82.5703125" customWidth="1"/>
    <col min="5380" max="5380" width="15.28515625" customWidth="1"/>
    <col min="5381" max="5381" width="11.140625" customWidth="1"/>
    <col min="5382" max="5382" width="17" customWidth="1"/>
    <col min="5383" max="5383" width="14" customWidth="1"/>
    <col min="5384" max="5384" width="17.140625" customWidth="1"/>
    <col min="5385" max="5385" width="16.28515625" bestFit="1" customWidth="1"/>
    <col min="5387" max="5387" width="11.42578125" customWidth="1"/>
    <col min="5633" max="5633" width="4.85546875" customWidth="1"/>
    <col min="5634" max="5634" width="22.140625" customWidth="1"/>
    <col min="5635" max="5635" width="82.5703125" customWidth="1"/>
    <col min="5636" max="5636" width="15.28515625" customWidth="1"/>
    <col min="5637" max="5637" width="11.140625" customWidth="1"/>
    <col min="5638" max="5638" width="17" customWidth="1"/>
    <col min="5639" max="5639" width="14" customWidth="1"/>
    <col min="5640" max="5640" width="17.140625" customWidth="1"/>
    <col min="5641" max="5641" width="16.28515625" bestFit="1" customWidth="1"/>
    <col min="5643" max="5643" width="11.42578125" customWidth="1"/>
    <col min="5889" max="5889" width="4.85546875" customWidth="1"/>
    <col min="5890" max="5890" width="22.140625" customWidth="1"/>
    <col min="5891" max="5891" width="82.5703125" customWidth="1"/>
    <col min="5892" max="5892" width="15.28515625" customWidth="1"/>
    <col min="5893" max="5893" width="11.140625" customWidth="1"/>
    <col min="5894" max="5894" width="17" customWidth="1"/>
    <col min="5895" max="5895" width="14" customWidth="1"/>
    <col min="5896" max="5896" width="17.140625" customWidth="1"/>
    <col min="5897" max="5897" width="16.28515625" bestFit="1" customWidth="1"/>
    <col min="5899" max="5899" width="11.42578125" customWidth="1"/>
    <col min="6145" max="6145" width="4.85546875" customWidth="1"/>
    <col min="6146" max="6146" width="22.140625" customWidth="1"/>
    <col min="6147" max="6147" width="82.5703125" customWidth="1"/>
    <col min="6148" max="6148" width="15.28515625" customWidth="1"/>
    <col min="6149" max="6149" width="11.140625" customWidth="1"/>
    <col min="6150" max="6150" width="17" customWidth="1"/>
    <col min="6151" max="6151" width="14" customWidth="1"/>
    <col min="6152" max="6152" width="17.140625" customWidth="1"/>
    <col min="6153" max="6153" width="16.28515625" bestFit="1" customWidth="1"/>
    <col min="6155" max="6155" width="11.42578125" customWidth="1"/>
    <col min="6401" max="6401" width="4.85546875" customWidth="1"/>
    <col min="6402" max="6402" width="22.140625" customWidth="1"/>
    <col min="6403" max="6403" width="82.5703125" customWidth="1"/>
    <col min="6404" max="6404" width="15.28515625" customWidth="1"/>
    <col min="6405" max="6405" width="11.140625" customWidth="1"/>
    <col min="6406" max="6406" width="17" customWidth="1"/>
    <col min="6407" max="6407" width="14" customWidth="1"/>
    <col min="6408" max="6408" width="17.140625" customWidth="1"/>
    <col min="6409" max="6409" width="16.28515625" bestFit="1" customWidth="1"/>
    <col min="6411" max="6411" width="11.42578125" customWidth="1"/>
    <col min="6657" max="6657" width="4.85546875" customWidth="1"/>
    <col min="6658" max="6658" width="22.140625" customWidth="1"/>
    <col min="6659" max="6659" width="82.5703125" customWidth="1"/>
    <col min="6660" max="6660" width="15.28515625" customWidth="1"/>
    <col min="6661" max="6661" width="11.140625" customWidth="1"/>
    <col min="6662" max="6662" width="17" customWidth="1"/>
    <col min="6663" max="6663" width="14" customWidth="1"/>
    <col min="6664" max="6664" width="17.140625" customWidth="1"/>
    <col min="6665" max="6665" width="16.28515625" bestFit="1" customWidth="1"/>
    <col min="6667" max="6667" width="11.42578125" customWidth="1"/>
    <col min="6913" max="6913" width="4.85546875" customWidth="1"/>
    <col min="6914" max="6914" width="22.140625" customWidth="1"/>
    <col min="6915" max="6915" width="82.5703125" customWidth="1"/>
    <col min="6916" max="6916" width="15.28515625" customWidth="1"/>
    <col min="6917" max="6917" width="11.140625" customWidth="1"/>
    <col min="6918" max="6918" width="17" customWidth="1"/>
    <col min="6919" max="6919" width="14" customWidth="1"/>
    <col min="6920" max="6920" width="17.140625" customWidth="1"/>
    <col min="6921" max="6921" width="16.28515625" bestFit="1" customWidth="1"/>
    <col min="6923" max="6923" width="11.42578125" customWidth="1"/>
    <col min="7169" max="7169" width="4.85546875" customWidth="1"/>
    <col min="7170" max="7170" width="22.140625" customWidth="1"/>
    <col min="7171" max="7171" width="82.5703125" customWidth="1"/>
    <col min="7172" max="7172" width="15.28515625" customWidth="1"/>
    <col min="7173" max="7173" width="11.140625" customWidth="1"/>
    <col min="7174" max="7174" width="17" customWidth="1"/>
    <col min="7175" max="7175" width="14" customWidth="1"/>
    <col min="7176" max="7176" width="17.140625" customWidth="1"/>
    <col min="7177" max="7177" width="16.28515625" bestFit="1" customWidth="1"/>
    <col min="7179" max="7179" width="11.42578125" customWidth="1"/>
    <col min="7425" max="7425" width="4.85546875" customWidth="1"/>
    <col min="7426" max="7426" width="22.140625" customWidth="1"/>
    <col min="7427" max="7427" width="82.5703125" customWidth="1"/>
    <col min="7428" max="7428" width="15.28515625" customWidth="1"/>
    <col min="7429" max="7429" width="11.140625" customWidth="1"/>
    <col min="7430" max="7430" width="17" customWidth="1"/>
    <col min="7431" max="7431" width="14" customWidth="1"/>
    <col min="7432" max="7432" width="17.140625" customWidth="1"/>
    <col min="7433" max="7433" width="16.28515625" bestFit="1" customWidth="1"/>
    <col min="7435" max="7435" width="11.42578125" customWidth="1"/>
    <col min="7681" max="7681" width="4.85546875" customWidth="1"/>
    <col min="7682" max="7682" width="22.140625" customWidth="1"/>
    <col min="7683" max="7683" width="82.5703125" customWidth="1"/>
    <col min="7684" max="7684" width="15.28515625" customWidth="1"/>
    <col min="7685" max="7685" width="11.140625" customWidth="1"/>
    <col min="7686" max="7686" width="17" customWidth="1"/>
    <col min="7687" max="7687" width="14" customWidth="1"/>
    <col min="7688" max="7688" width="17.140625" customWidth="1"/>
    <col min="7689" max="7689" width="16.28515625" bestFit="1" customWidth="1"/>
    <col min="7691" max="7691" width="11.42578125" customWidth="1"/>
    <col min="7937" max="7937" width="4.85546875" customWidth="1"/>
    <col min="7938" max="7938" width="22.140625" customWidth="1"/>
    <col min="7939" max="7939" width="82.5703125" customWidth="1"/>
    <col min="7940" max="7940" width="15.28515625" customWidth="1"/>
    <col min="7941" max="7941" width="11.140625" customWidth="1"/>
    <col min="7942" max="7942" width="17" customWidth="1"/>
    <col min="7943" max="7943" width="14" customWidth="1"/>
    <col min="7944" max="7944" width="17.140625" customWidth="1"/>
    <col min="7945" max="7945" width="16.28515625" bestFit="1" customWidth="1"/>
    <col min="7947" max="7947" width="11.42578125" customWidth="1"/>
    <col min="8193" max="8193" width="4.85546875" customWidth="1"/>
    <col min="8194" max="8194" width="22.140625" customWidth="1"/>
    <col min="8195" max="8195" width="82.5703125" customWidth="1"/>
    <col min="8196" max="8196" width="15.28515625" customWidth="1"/>
    <col min="8197" max="8197" width="11.140625" customWidth="1"/>
    <col min="8198" max="8198" width="17" customWidth="1"/>
    <col min="8199" max="8199" width="14" customWidth="1"/>
    <col min="8200" max="8200" width="17.140625" customWidth="1"/>
    <col min="8201" max="8201" width="16.28515625" bestFit="1" customWidth="1"/>
    <col min="8203" max="8203" width="11.42578125" customWidth="1"/>
    <col min="8449" max="8449" width="4.85546875" customWidth="1"/>
    <col min="8450" max="8450" width="22.140625" customWidth="1"/>
    <col min="8451" max="8451" width="82.5703125" customWidth="1"/>
    <col min="8452" max="8452" width="15.28515625" customWidth="1"/>
    <col min="8453" max="8453" width="11.140625" customWidth="1"/>
    <col min="8454" max="8454" width="17" customWidth="1"/>
    <col min="8455" max="8455" width="14" customWidth="1"/>
    <col min="8456" max="8456" width="17.140625" customWidth="1"/>
    <col min="8457" max="8457" width="16.28515625" bestFit="1" customWidth="1"/>
    <col min="8459" max="8459" width="11.42578125" customWidth="1"/>
    <col min="8705" max="8705" width="4.85546875" customWidth="1"/>
    <col min="8706" max="8706" width="22.140625" customWidth="1"/>
    <col min="8707" max="8707" width="82.5703125" customWidth="1"/>
    <col min="8708" max="8708" width="15.28515625" customWidth="1"/>
    <col min="8709" max="8709" width="11.140625" customWidth="1"/>
    <col min="8710" max="8710" width="17" customWidth="1"/>
    <col min="8711" max="8711" width="14" customWidth="1"/>
    <col min="8712" max="8712" width="17.140625" customWidth="1"/>
    <col min="8713" max="8713" width="16.28515625" bestFit="1" customWidth="1"/>
    <col min="8715" max="8715" width="11.42578125" customWidth="1"/>
    <col min="8961" max="8961" width="4.85546875" customWidth="1"/>
    <col min="8962" max="8962" width="22.140625" customWidth="1"/>
    <col min="8963" max="8963" width="82.5703125" customWidth="1"/>
    <col min="8964" max="8964" width="15.28515625" customWidth="1"/>
    <col min="8965" max="8965" width="11.140625" customWidth="1"/>
    <col min="8966" max="8966" width="17" customWidth="1"/>
    <col min="8967" max="8967" width="14" customWidth="1"/>
    <col min="8968" max="8968" width="17.140625" customWidth="1"/>
    <col min="8969" max="8969" width="16.28515625" bestFit="1" customWidth="1"/>
    <col min="8971" max="8971" width="11.42578125" customWidth="1"/>
    <col min="9217" max="9217" width="4.85546875" customWidth="1"/>
    <col min="9218" max="9218" width="22.140625" customWidth="1"/>
    <col min="9219" max="9219" width="82.5703125" customWidth="1"/>
    <col min="9220" max="9220" width="15.28515625" customWidth="1"/>
    <col min="9221" max="9221" width="11.140625" customWidth="1"/>
    <col min="9222" max="9222" width="17" customWidth="1"/>
    <col min="9223" max="9223" width="14" customWidth="1"/>
    <col min="9224" max="9224" width="17.140625" customWidth="1"/>
    <col min="9225" max="9225" width="16.28515625" bestFit="1" customWidth="1"/>
    <col min="9227" max="9227" width="11.42578125" customWidth="1"/>
    <col min="9473" max="9473" width="4.85546875" customWidth="1"/>
    <col min="9474" max="9474" width="22.140625" customWidth="1"/>
    <col min="9475" max="9475" width="82.5703125" customWidth="1"/>
    <col min="9476" max="9476" width="15.28515625" customWidth="1"/>
    <col min="9477" max="9477" width="11.140625" customWidth="1"/>
    <col min="9478" max="9478" width="17" customWidth="1"/>
    <col min="9479" max="9479" width="14" customWidth="1"/>
    <col min="9480" max="9480" width="17.140625" customWidth="1"/>
    <col min="9481" max="9481" width="16.28515625" bestFit="1" customWidth="1"/>
    <col min="9483" max="9483" width="11.42578125" customWidth="1"/>
    <col min="9729" max="9729" width="4.85546875" customWidth="1"/>
    <col min="9730" max="9730" width="22.140625" customWidth="1"/>
    <col min="9731" max="9731" width="82.5703125" customWidth="1"/>
    <col min="9732" max="9732" width="15.28515625" customWidth="1"/>
    <col min="9733" max="9733" width="11.140625" customWidth="1"/>
    <col min="9734" max="9734" width="17" customWidth="1"/>
    <col min="9735" max="9735" width="14" customWidth="1"/>
    <col min="9736" max="9736" width="17.140625" customWidth="1"/>
    <col min="9737" max="9737" width="16.28515625" bestFit="1" customWidth="1"/>
    <col min="9739" max="9739" width="11.42578125" customWidth="1"/>
    <col min="9985" max="9985" width="4.85546875" customWidth="1"/>
    <col min="9986" max="9986" width="22.140625" customWidth="1"/>
    <col min="9987" max="9987" width="82.5703125" customWidth="1"/>
    <col min="9988" max="9988" width="15.28515625" customWidth="1"/>
    <col min="9989" max="9989" width="11.140625" customWidth="1"/>
    <col min="9990" max="9990" width="17" customWidth="1"/>
    <col min="9991" max="9991" width="14" customWidth="1"/>
    <col min="9992" max="9992" width="17.140625" customWidth="1"/>
    <col min="9993" max="9993" width="16.28515625" bestFit="1" customWidth="1"/>
    <col min="9995" max="9995" width="11.42578125" customWidth="1"/>
    <col min="10241" max="10241" width="4.85546875" customWidth="1"/>
    <col min="10242" max="10242" width="22.140625" customWidth="1"/>
    <col min="10243" max="10243" width="82.5703125" customWidth="1"/>
    <col min="10244" max="10244" width="15.28515625" customWidth="1"/>
    <col min="10245" max="10245" width="11.140625" customWidth="1"/>
    <col min="10246" max="10246" width="17" customWidth="1"/>
    <col min="10247" max="10247" width="14" customWidth="1"/>
    <col min="10248" max="10248" width="17.140625" customWidth="1"/>
    <col min="10249" max="10249" width="16.28515625" bestFit="1" customWidth="1"/>
    <col min="10251" max="10251" width="11.42578125" customWidth="1"/>
    <col min="10497" max="10497" width="4.85546875" customWidth="1"/>
    <col min="10498" max="10498" width="22.140625" customWidth="1"/>
    <col min="10499" max="10499" width="82.5703125" customWidth="1"/>
    <col min="10500" max="10500" width="15.28515625" customWidth="1"/>
    <col min="10501" max="10501" width="11.140625" customWidth="1"/>
    <col min="10502" max="10502" width="17" customWidth="1"/>
    <col min="10503" max="10503" width="14" customWidth="1"/>
    <col min="10504" max="10504" width="17.140625" customWidth="1"/>
    <col min="10505" max="10505" width="16.28515625" bestFit="1" customWidth="1"/>
    <col min="10507" max="10507" width="11.42578125" customWidth="1"/>
    <col min="10753" max="10753" width="4.85546875" customWidth="1"/>
    <col min="10754" max="10754" width="22.140625" customWidth="1"/>
    <col min="10755" max="10755" width="82.5703125" customWidth="1"/>
    <col min="10756" max="10756" width="15.28515625" customWidth="1"/>
    <col min="10757" max="10757" width="11.140625" customWidth="1"/>
    <col min="10758" max="10758" width="17" customWidth="1"/>
    <col min="10759" max="10759" width="14" customWidth="1"/>
    <col min="10760" max="10760" width="17.140625" customWidth="1"/>
    <col min="10761" max="10761" width="16.28515625" bestFit="1" customWidth="1"/>
    <col min="10763" max="10763" width="11.42578125" customWidth="1"/>
    <col min="11009" max="11009" width="4.85546875" customWidth="1"/>
    <col min="11010" max="11010" width="22.140625" customWidth="1"/>
    <col min="11011" max="11011" width="82.5703125" customWidth="1"/>
    <col min="11012" max="11012" width="15.28515625" customWidth="1"/>
    <col min="11013" max="11013" width="11.140625" customWidth="1"/>
    <col min="11014" max="11014" width="17" customWidth="1"/>
    <col min="11015" max="11015" width="14" customWidth="1"/>
    <col min="11016" max="11016" width="17.140625" customWidth="1"/>
    <col min="11017" max="11017" width="16.28515625" bestFit="1" customWidth="1"/>
    <col min="11019" max="11019" width="11.42578125" customWidth="1"/>
    <col min="11265" max="11265" width="4.85546875" customWidth="1"/>
    <col min="11266" max="11266" width="22.140625" customWidth="1"/>
    <col min="11267" max="11267" width="82.5703125" customWidth="1"/>
    <col min="11268" max="11268" width="15.28515625" customWidth="1"/>
    <col min="11269" max="11269" width="11.140625" customWidth="1"/>
    <col min="11270" max="11270" width="17" customWidth="1"/>
    <col min="11271" max="11271" width="14" customWidth="1"/>
    <col min="11272" max="11272" width="17.140625" customWidth="1"/>
    <col min="11273" max="11273" width="16.28515625" bestFit="1" customWidth="1"/>
    <col min="11275" max="11275" width="11.42578125" customWidth="1"/>
    <col min="11521" max="11521" width="4.85546875" customWidth="1"/>
    <col min="11522" max="11522" width="22.140625" customWidth="1"/>
    <col min="11523" max="11523" width="82.5703125" customWidth="1"/>
    <col min="11524" max="11524" width="15.28515625" customWidth="1"/>
    <col min="11525" max="11525" width="11.140625" customWidth="1"/>
    <col min="11526" max="11526" width="17" customWidth="1"/>
    <col min="11527" max="11527" width="14" customWidth="1"/>
    <col min="11528" max="11528" width="17.140625" customWidth="1"/>
    <col min="11529" max="11529" width="16.28515625" bestFit="1" customWidth="1"/>
    <col min="11531" max="11531" width="11.42578125" customWidth="1"/>
    <col min="11777" max="11777" width="4.85546875" customWidth="1"/>
    <col min="11778" max="11778" width="22.140625" customWidth="1"/>
    <col min="11779" max="11779" width="82.5703125" customWidth="1"/>
    <col min="11780" max="11780" width="15.28515625" customWidth="1"/>
    <col min="11781" max="11781" width="11.140625" customWidth="1"/>
    <col min="11782" max="11782" width="17" customWidth="1"/>
    <col min="11783" max="11783" width="14" customWidth="1"/>
    <col min="11784" max="11784" width="17.140625" customWidth="1"/>
    <col min="11785" max="11785" width="16.28515625" bestFit="1" customWidth="1"/>
    <col min="11787" max="11787" width="11.42578125" customWidth="1"/>
    <col min="12033" max="12033" width="4.85546875" customWidth="1"/>
    <col min="12034" max="12034" width="22.140625" customWidth="1"/>
    <col min="12035" max="12035" width="82.5703125" customWidth="1"/>
    <col min="12036" max="12036" width="15.28515625" customWidth="1"/>
    <col min="12037" max="12037" width="11.140625" customWidth="1"/>
    <col min="12038" max="12038" width="17" customWidth="1"/>
    <col min="12039" max="12039" width="14" customWidth="1"/>
    <col min="12040" max="12040" width="17.140625" customWidth="1"/>
    <col min="12041" max="12041" width="16.28515625" bestFit="1" customWidth="1"/>
    <col min="12043" max="12043" width="11.42578125" customWidth="1"/>
    <col min="12289" max="12289" width="4.85546875" customWidth="1"/>
    <col min="12290" max="12290" width="22.140625" customWidth="1"/>
    <col min="12291" max="12291" width="82.5703125" customWidth="1"/>
    <col min="12292" max="12292" width="15.28515625" customWidth="1"/>
    <col min="12293" max="12293" width="11.140625" customWidth="1"/>
    <col min="12294" max="12294" width="17" customWidth="1"/>
    <col min="12295" max="12295" width="14" customWidth="1"/>
    <col min="12296" max="12296" width="17.140625" customWidth="1"/>
    <col min="12297" max="12297" width="16.28515625" bestFit="1" customWidth="1"/>
    <col min="12299" max="12299" width="11.42578125" customWidth="1"/>
    <col min="12545" max="12545" width="4.85546875" customWidth="1"/>
    <col min="12546" max="12546" width="22.140625" customWidth="1"/>
    <col min="12547" max="12547" width="82.5703125" customWidth="1"/>
    <col min="12548" max="12548" width="15.28515625" customWidth="1"/>
    <col min="12549" max="12549" width="11.140625" customWidth="1"/>
    <col min="12550" max="12550" width="17" customWidth="1"/>
    <col min="12551" max="12551" width="14" customWidth="1"/>
    <col min="12552" max="12552" width="17.140625" customWidth="1"/>
    <col min="12553" max="12553" width="16.28515625" bestFit="1" customWidth="1"/>
    <col min="12555" max="12555" width="11.42578125" customWidth="1"/>
    <col min="12801" max="12801" width="4.85546875" customWidth="1"/>
    <col min="12802" max="12802" width="22.140625" customWidth="1"/>
    <col min="12803" max="12803" width="82.5703125" customWidth="1"/>
    <col min="12804" max="12804" width="15.28515625" customWidth="1"/>
    <col min="12805" max="12805" width="11.140625" customWidth="1"/>
    <col min="12806" max="12806" width="17" customWidth="1"/>
    <col min="12807" max="12807" width="14" customWidth="1"/>
    <col min="12808" max="12808" width="17.140625" customWidth="1"/>
    <col min="12809" max="12809" width="16.28515625" bestFit="1" customWidth="1"/>
    <col min="12811" max="12811" width="11.42578125" customWidth="1"/>
    <col min="13057" max="13057" width="4.85546875" customWidth="1"/>
    <col min="13058" max="13058" width="22.140625" customWidth="1"/>
    <col min="13059" max="13059" width="82.5703125" customWidth="1"/>
    <col min="13060" max="13060" width="15.28515625" customWidth="1"/>
    <col min="13061" max="13061" width="11.140625" customWidth="1"/>
    <col min="13062" max="13062" width="17" customWidth="1"/>
    <col min="13063" max="13063" width="14" customWidth="1"/>
    <col min="13064" max="13064" width="17.140625" customWidth="1"/>
    <col min="13065" max="13065" width="16.28515625" bestFit="1" customWidth="1"/>
    <col min="13067" max="13067" width="11.42578125" customWidth="1"/>
    <col min="13313" max="13313" width="4.85546875" customWidth="1"/>
    <col min="13314" max="13314" width="22.140625" customWidth="1"/>
    <col min="13315" max="13315" width="82.5703125" customWidth="1"/>
    <col min="13316" max="13316" width="15.28515625" customWidth="1"/>
    <col min="13317" max="13317" width="11.140625" customWidth="1"/>
    <col min="13318" max="13318" width="17" customWidth="1"/>
    <col min="13319" max="13319" width="14" customWidth="1"/>
    <col min="13320" max="13320" width="17.140625" customWidth="1"/>
    <col min="13321" max="13321" width="16.28515625" bestFit="1" customWidth="1"/>
    <col min="13323" max="13323" width="11.42578125" customWidth="1"/>
    <col min="13569" max="13569" width="4.85546875" customWidth="1"/>
    <col min="13570" max="13570" width="22.140625" customWidth="1"/>
    <col min="13571" max="13571" width="82.5703125" customWidth="1"/>
    <col min="13572" max="13572" width="15.28515625" customWidth="1"/>
    <col min="13573" max="13573" width="11.140625" customWidth="1"/>
    <col min="13574" max="13574" width="17" customWidth="1"/>
    <col min="13575" max="13575" width="14" customWidth="1"/>
    <col min="13576" max="13576" width="17.140625" customWidth="1"/>
    <col min="13577" max="13577" width="16.28515625" bestFit="1" customWidth="1"/>
    <col min="13579" max="13579" width="11.42578125" customWidth="1"/>
    <col min="13825" max="13825" width="4.85546875" customWidth="1"/>
    <col min="13826" max="13826" width="22.140625" customWidth="1"/>
    <col min="13827" max="13827" width="82.5703125" customWidth="1"/>
    <col min="13828" max="13828" width="15.28515625" customWidth="1"/>
    <col min="13829" max="13829" width="11.140625" customWidth="1"/>
    <col min="13830" max="13830" width="17" customWidth="1"/>
    <col min="13831" max="13831" width="14" customWidth="1"/>
    <col min="13832" max="13832" width="17.140625" customWidth="1"/>
    <col min="13833" max="13833" width="16.28515625" bestFit="1" customWidth="1"/>
    <col min="13835" max="13835" width="11.42578125" customWidth="1"/>
    <col min="14081" max="14081" width="4.85546875" customWidth="1"/>
    <col min="14082" max="14082" width="22.140625" customWidth="1"/>
    <col min="14083" max="14083" width="82.5703125" customWidth="1"/>
    <col min="14084" max="14084" width="15.28515625" customWidth="1"/>
    <col min="14085" max="14085" width="11.140625" customWidth="1"/>
    <col min="14086" max="14086" width="17" customWidth="1"/>
    <col min="14087" max="14087" width="14" customWidth="1"/>
    <col min="14088" max="14088" width="17.140625" customWidth="1"/>
    <col min="14089" max="14089" width="16.28515625" bestFit="1" customWidth="1"/>
    <col min="14091" max="14091" width="11.42578125" customWidth="1"/>
    <col min="14337" max="14337" width="4.85546875" customWidth="1"/>
    <col min="14338" max="14338" width="22.140625" customWidth="1"/>
    <col min="14339" max="14339" width="82.5703125" customWidth="1"/>
    <col min="14340" max="14340" width="15.28515625" customWidth="1"/>
    <col min="14341" max="14341" width="11.140625" customWidth="1"/>
    <col min="14342" max="14342" width="17" customWidth="1"/>
    <col min="14343" max="14343" width="14" customWidth="1"/>
    <col min="14344" max="14344" width="17.140625" customWidth="1"/>
    <col min="14345" max="14345" width="16.28515625" bestFit="1" customWidth="1"/>
    <col min="14347" max="14347" width="11.42578125" customWidth="1"/>
    <col min="14593" max="14593" width="4.85546875" customWidth="1"/>
    <col min="14594" max="14594" width="22.140625" customWidth="1"/>
    <col min="14595" max="14595" width="82.5703125" customWidth="1"/>
    <col min="14596" max="14596" width="15.28515625" customWidth="1"/>
    <col min="14597" max="14597" width="11.140625" customWidth="1"/>
    <col min="14598" max="14598" width="17" customWidth="1"/>
    <col min="14599" max="14599" width="14" customWidth="1"/>
    <col min="14600" max="14600" width="17.140625" customWidth="1"/>
    <col min="14601" max="14601" width="16.28515625" bestFit="1" customWidth="1"/>
    <col min="14603" max="14603" width="11.42578125" customWidth="1"/>
    <col min="14849" max="14849" width="4.85546875" customWidth="1"/>
    <col min="14850" max="14850" width="22.140625" customWidth="1"/>
    <col min="14851" max="14851" width="82.5703125" customWidth="1"/>
    <col min="14852" max="14852" width="15.28515625" customWidth="1"/>
    <col min="14853" max="14853" width="11.140625" customWidth="1"/>
    <col min="14854" max="14854" width="17" customWidth="1"/>
    <col min="14855" max="14855" width="14" customWidth="1"/>
    <col min="14856" max="14856" width="17.140625" customWidth="1"/>
    <col min="14857" max="14857" width="16.28515625" bestFit="1" customWidth="1"/>
    <col min="14859" max="14859" width="11.42578125" customWidth="1"/>
    <col min="15105" max="15105" width="4.85546875" customWidth="1"/>
    <col min="15106" max="15106" width="22.140625" customWidth="1"/>
    <col min="15107" max="15107" width="82.5703125" customWidth="1"/>
    <col min="15108" max="15108" width="15.28515625" customWidth="1"/>
    <col min="15109" max="15109" width="11.140625" customWidth="1"/>
    <col min="15110" max="15110" width="17" customWidth="1"/>
    <col min="15111" max="15111" width="14" customWidth="1"/>
    <col min="15112" max="15112" width="17.140625" customWidth="1"/>
    <col min="15113" max="15113" width="16.28515625" bestFit="1" customWidth="1"/>
    <col min="15115" max="15115" width="11.42578125" customWidth="1"/>
    <col min="15361" max="15361" width="4.85546875" customWidth="1"/>
    <col min="15362" max="15362" width="22.140625" customWidth="1"/>
    <col min="15363" max="15363" width="82.5703125" customWidth="1"/>
    <col min="15364" max="15364" width="15.28515625" customWidth="1"/>
    <col min="15365" max="15365" width="11.140625" customWidth="1"/>
    <col min="15366" max="15366" width="17" customWidth="1"/>
    <col min="15367" max="15367" width="14" customWidth="1"/>
    <col min="15368" max="15368" width="17.140625" customWidth="1"/>
    <col min="15369" max="15369" width="16.28515625" bestFit="1" customWidth="1"/>
    <col min="15371" max="15371" width="11.42578125" customWidth="1"/>
    <col min="15617" max="15617" width="4.85546875" customWidth="1"/>
    <col min="15618" max="15618" width="22.140625" customWidth="1"/>
    <col min="15619" max="15619" width="82.5703125" customWidth="1"/>
    <col min="15620" max="15620" width="15.28515625" customWidth="1"/>
    <col min="15621" max="15621" width="11.140625" customWidth="1"/>
    <col min="15622" max="15622" width="17" customWidth="1"/>
    <col min="15623" max="15623" width="14" customWidth="1"/>
    <col min="15624" max="15624" width="17.140625" customWidth="1"/>
    <col min="15625" max="15625" width="16.28515625" bestFit="1" customWidth="1"/>
    <col min="15627" max="15627" width="11.42578125" customWidth="1"/>
    <col min="15873" max="15873" width="4.85546875" customWidth="1"/>
    <col min="15874" max="15874" width="22.140625" customWidth="1"/>
    <col min="15875" max="15875" width="82.5703125" customWidth="1"/>
    <col min="15876" max="15876" width="15.28515625" customWidth="1"/>
    <col min="15877" max="15877" width="11.140625" customWidth="1"/>
    <col min="15878" max="15878" width="17" customWidth="1"/>
    <col min="15879" max="15879" width="14" customWidth="1"/>
    <col min="15880" max="15880" width="17.140625" customWidth="1"/>
    <col min="15881" max="15881" width="16.28515625" bestFit="1" customWidth="1"/>
    <col min="15883" max="15883" width="11.42578125" customWidth="1"/>
    <col min="16129" max="16129" width="4.85546875" customWidth="1"/>
    <col min="16130" max="16130" width="22.140625" customWidth="1"/>
    <col min="16131" max="16131" width="82.5703125" customWidth="1"/>
    <col min="16132" max="16132" width="15.28515625" customWidth="1"/>
    <col min="16133" max="16133" width="11.140625" customWidth="1"/>
    <col min="16134" max="16134" width="17" customWidth="1"/>
    <col min="16135" max="16135" width="14" customWidth="1"/>
    <col min="16136" max="16136" width="17.140625" customWidth="1"/>
    <col min="16137" max="16137" width="16.28515625" bestFit="1" customWidth="1"/>
    <col min="16139" max="16139" width="11.42578125" customWidth="1"/>
  </cols>
  <sheetData>
    <row r="1" spans="2:11" s="2" customFormat="1" ht="30" x14ac:dyDescent="0.4">
      <c r="B1" s="1"/>
      <c r="D1" s="1"/>
      <c r="E1" s="1"/>
      <c r="F1" s="63"/>
      <c r="G1" s="63"/>
      <c r="H1" s="3"/>
    </row>
    <row r="2" spans="2:11" s="2" customFormat="1" ht="18" customHeight="1" x14ac:dyDescent="0.4">
      <c r="B2" s="4"/>
      <c r="C2" s="5"/>
      <c r="D2" s="862" t="s">
        <v>42</v>
      </c>
      <c r="E2" s="862"/>
      <c r="F2" s="862"/>
      <c r="G2" s="862"/>
      <c r="H2" s="862"/>
      <c r="I2" s="6"/>
      <c r="J2" s="6"/>
      <c r="K2" s="6"/>
    </row>
    <row r="3" spans="2:11" s="2" customFormat="1" ht="61.5" customHeight="1" x14ac:dyDescent="0.4">
      <c r="B3" s="1"/>
      <c r="C3" s="55" t="s">
        <v>45</v>
      </c>
      <c r="D3" s="862"/>
      <c r="E3" s="862"/>
      <c r="F3" s="862"/>
      <c r="G3" s="862"/>
      <c r="H3" s="862"/>
      <c r="I3" s="7"/>
      <c r="J3" s="7"/>
      <c r="K3" s="7"/>
    </row>
    <row r="4" spans="2:11" s="2" customFormat="1" ht="17.25" customHeight="1" x14ac:dyDescent="0.4">
      <c r="B4" s="8"/>
      <c r="C4" s="9"/>
      <c r="D4" s="862"/>
      <c r="E4" s="862"/>
      <c r="F4" s="862"/>
      <c r="G4" s="862"/>
      <c r="H4" s="862"/>
      <c r="I4" s="7"/>
      <c r="J4" s="7"/>
      <c r="K4" s="7"/>
    </row>
    <row r="5" spans="2:11" s="2" customFormat="1" ht="30" x14ac:dyDescent="0.4">
      <c r="B5" s="10" t="s">
        <v>0</v>
      </c>
      <c r="C5" s="11">
        <f ca="1">TODAY()</f>
        <v>46240</v>
      </c>
      <c r="D5" s="862"/>
      <c r="E5" s="862"/>
      <c r="F5" s="862"/>
      <c r="G5" s="862"/>
      <c r="H5" s="862"/>
    </row>
    <row r="6" spans="2:11" s="2" customFormat="1" ht="30" x14ac:dyDescent="0.4">
      <c r="B6" s="10" t="s">
        <v>1</v>
      </c>
      <c r="C6" s="12" t="s">
        <v>109</v>
      </c>
      <c r="D6" s="13"/>
      <c r="E6" s="13"/>
      <c r="F6" s="863" t="s">
        <v>2</v>
      </c>
      <c r="G6" s="863"/>
      <c r="H6" s="3"/>
    </row>
    <row r="7" spans="2:11" s="2" customFormat="1" ht="30" x14ac:dyDescent="0.4">
      <c r="B7" s="10" t="s">
        <v>3</v>
      </c>
      <c r="C7" s="12" t="s">
        <v>110</v>
      </c>
      <c r="D7" s="13"/>
      <c r="E7" s="13"/>
      <c r="F7" s="863"/>
      <c r="G7" s="863"/>
      <c r="H7" s="3"/>
    </row>
    <row r="8" spans="2:11" s="2" customFormat="1" ht="13.5" customHeight="1" x14ac:dyDescent="0.4">
      <c r="B8" s="865" t="s">
        <v>20</v>
      </c>
      <c r="C8" s="866"/>
      <c r="D8" s="1"/>
      <c r="E8" s="1"/>
      <c r="F8" s="864"/>
      <c r="G8" s="864"/>
      <c r="H8" s="3"/>
    </row>
    <row r="9" spans="2:11" s="2" customFormat="1" ht="13.5" customHeight="1" x14ac:dyDescent="0.4">
      <c r="B9" s="867" t="s">
        <v>21</v>
      </c>
      <c r="C9" s="868"/>
      <c r="D9" s="869" t="s">
        <v>49</v>
      </c>
      <c r="E9" s="869"/>
      <c r="F9" s="869"/>
      <c r="G9" s="869"/>
      <c r="H9" s="869"/>
    </row>
    <row r="10" spans="2:11" s="2" customFormat="1" ht="13.5" customHeight="1" x14ac:dyDescent="0.4">
      <c r="B10" s="870" t="s">
        <v>22</v>
      </c>
      <c r="C10" s="871"/>
      <c r="D10" s="869"/>
      <c r="E10" s="869"/>
      <c r="F10" s="869"/>
      <c r="G10" s="869"/>
      <c r="H10" s="869"/>
    </row>
    <row r="11" spans="2:11" s="2" customFormat="1" ht="13.5" customHeight="1" x14ac:dyDescent="0.4">
      <c r="B11" s="872" t="s">
        <v>23</v>
      </c>
      <c r="C11" s="873"/>
      <c r="D11" s="869"/>
      <c r="E11" s="869"/>
      <c r="F11" s="869"/>
      <c r="G11" s="869"/>
      <c r="H11" s="869"/>
    </row>
    <row r="12" spans="2:11" s="2" customFormat="1" ht="13.5" customHeight="1" x14ac:dyDescent="0.4">
      <c r="B12" s="874" t="s">
        <v>24</v>
      </c>
      <c r="C12" s="875"/>
      <c r="D12" s="869"/>
      <c r="E12" s="869"/>
      <c r="F12" s="869"/>
      <c r="G12" s="869"/>
      <c r="H12" s="869"/>
    </row>
    <row r="13" spans="2:11" s="2" customFormat="1" ht="13.5" customHeight="1" x14ac:dyDescent="0.4">
      <c r="B13" s="876" t="s">
        <v>25</v>
      </c>
      <c r="C13" s="877"/>
      <c r="D13" s="869"/>
      <c r="E13" s="869"/>
      <c r="F13" s="869"/>
      <c r="G13" s="869"/>
      <c r="H13" s="869"/>
    </row>
    <row r="14" spans="2:11" s="2" customFormat="1" ht="13.5" customHeight="1" x14ac:dyDescent="0.4">
      <c r="B14" s="860" t="s">
        <v>26</v>
      </c>
      <c r="C14" s="861"/>
      <c r="D14" s="1"/>
      <c r="E14" s="1"/>
      <c r="F14" s="43"/>
      <c r="G14" s="43"/>
      <c r="H14" s="3"/>
    </row>
    <row r="15" spans="2:11" s="14" customFormat="1" ht="34.5" x14ac:dyDescent="0.25">
      <c r="B15" s="49" t="s">
        <v>4</v>
      </c>
      <c r="C15" s="77" t="s">
        <v>5</v>
      </c>
      <c r="D15" s="49" t="s">
        <v>6</v>
      </c>
      <c r="E15" s="49" t="s">
        <v>17</v>
      </c>
      <c r="F15" s="51" t="s">
        <v>7</v>
      </c>
      <c r="G15" s="51" t="s">
        <v>8</v>
      </c>
      <c r="H15" s="52" t="s">
        <v>9</v>
      </c>
      <c r="I15" s="52" t="s">
        <v>82</v>
      </c>
    </row>
    <row r="16" spans="2:11" s="14" customFormat="1" ht="125.25" customHeight="1" x14ac:dyDescent="0.25">
      <c r="B16" s="127" t="s">
        <v>10</v>
      </c>
      <c r="C16" s="128" t="s">
        <v>29</v>
      </c>
      <c r="D16" s="129">
        <v>46134</v>
      </c>
      <c r="E16" s="130" t="s">
        <v>76</v>
      </c>
      <c r="F16" s="131">
        <v>4000</v>
      </c>
      <c r="G16" s="132" t="s">
        <v>39</v>
      </c>
      <c r="H16" s="132" t="s">
        <v>80</v>
      </c>
      <c r="I16" s="126" t="s">
        <v>80</v>
      </c>
    </row>
    <row r="17" spans="2:9" s="14" customFormat="1" ht="70.5" customHeight="1" x14ac:dyDescent="0.25">
      <c r="B17" s="133" t="s">
        <v>10</v>
      </c>
      <c r="C17" s="134" t="s">
        <v>174</v>
      </c>
      <c r="D17" s="135">
        <v>46134</v>
      </c>
      <c r="E17" s="136" t="s">
        <v>76</v>
      </c>
      <c r="F17" s="137">
        <v>36175</v>
      </c>
      <c r="G17" s="138">
        <v>35377</v>
      </c>
      <c r="H17" s="139">
        <f>G17-F17</f>
        <v>-798</v>
      </c>
      <c r="I17" s="126" t="s">
        <v>83</v>
      </c>
    </row>
    <row r="18" spans="2:9" s="14" customFormat="1" ht="24" customHeight="1" x14ac:dyDescent="0.25">
      <c r="B18" s="133" t="s">
        <v>81</v>
      </c>
      <c r="C18" s="134" t="s">
        <v>92</v>
      </c>
      <c r="D18" s="135"/>
      <c r="E18" s="136"/>
      <c r="F18" s="137"/>
      <c r="G18" s="138"/>
      <c r="H18" s="140"/>
    </row>
    <row r="19" spans="2:9" s="14" customFormat="1" ht="24" customHeight="1" x14ac:dyDescent="0.25">
      <c r="B19" s="133"/>
      <c r="C19" s="134" t="s">
        <v>93</v>
      </c>
      <c r="D19" s="135"/>
      <c r="E19" s="136"/>
      <c r="F19" s="137"/>
      <c r="G19" s="138"/>
      <c r="H19" s="140"/>
    </row>
    <row r="20" spans="2:9" s="14" customFormat="1" ht="24" customHeight="1" x14ac:dyDescent="0.25">
      <c r="B20" s="133"/>
      <c r="C20" s="134" t="s">
        <v>94</v>
      </c>
      <c r="D20" s="135"/>
      <c r="E20" s="136"/>
      <c r="F20" s="137"/>
      <c r="G20" s="138"/>
      <c r="H20" s="140"/>
    </row>
    <row r="21" spans="2:9" s="14" customFormat="1" ht="24" customHeight="1" x14ac:dyDescent="0.25">
      <c r="B21" s="133" t="s">
        <v>123</v>
      </c>
      <c r="C21" s="134" t="s">
        <v>125</v>
      </c>
      <c r="D21" s="135">
        <v>46134</v>
      </c>
      <c r="E21" s="136" t="s">
        <v>76</v>
      </c>
      <c r="F21" s="137"/>
      <c r="G21" s="138"/>
      <c r="H21" s="140">
        <v>2655.38</v>
      </c>
    </row>
    <row r="22" spans="2:9" s="14" customFormat="1" ht="24" customHeight="1" x14ac:dyDescent="0.25">
      <c r="B22" s="133" t="s">
        <v>123</v>
      </c>
      <c r="C22" s="134" t="s">
        <v>126</v>
      </c>
      <c r="D22" s="135">
        <v>46134</v>
      </c>
      <c r="E22" s="136" t="s">
        <v>76</v>
      </c>
      <c r="F22" s="137"/>
      <c r="G22" s="138"/>
      <c r="H22" s="140">
        <v>480</v>
      </c>
    </row>
    <row r="23" spans="2:9" s="14" customFormat="1" ht="24" customHeight="1" x14ac:dyDescent="0.25">
      <c r="B23" s="133" t="s">
        <v>123</v>
      </c>
      <c r="C23" s="134" t="s">
        <v>124</v>
      </c>
      <c r="D23" s="135">
        <v>46134</v>
      </c>
      <c r="E23" s="136" t="s">
        <v>76</v>
      </c>
      <c r="F23" s="137"/>
      <c r="G23" s="138"/>
      <c r="H23" s="140">
        <v>4492.3100000000004</v>
      </c>
    </row>
    <row r="24" spans="2:9" s="14" customFormat="1" ht="24" customHeight="1" x14ac:dyDescent="0.25">
      <c r="B24" s="133" t="s">
        <v>123</v>
      </c>
      <c r="C24" s="134" t="s">
        <v>127</v>
      </c>
      <c r="D24" s="135">
        <v>46134</v>
      </c>
      <c r="E24" s="136" t="s">
        <v>76</v>
      </c>
      <c r="F24" s="137"/>
      <c r="G24" s="138"/>
      <c r="H24" s="140">
        <v>1820</v>
      </c>
    </row>
    <row r="25" spans="2:9" s="14" customFormat="1" ht="24" customHeight="1" x14ac:dyDescent="0.25">
      <c r="B25" s="133" t="s">
        <v>123</v>
      </c>
      <c r="C25" s="134" t="s">
        <v>128</v>
      </c>
      <c r="D25" s="135">
        <v>46134</v>
      </c>
      <c r="E25" s="136" t="s">
        <v>76</v>
      </c>
      <c r="F25" s="137"/>
      <c r="G25" s="138"/>
      <c r="H25" s="140">
        <v>6223.08</v>
      </c>
    </row>
    <row r="26" spans="2:9" s="14" customFormat="1" ht="24" customHeight="1" x14ac:dyDescent="0.25">
      <c r="B26" s="133" t="s">
        <v>123</v>
      </c>
      <c r="C26" s="134" t="s">
        <v>158</v>
      </c>
      <c r="D26" s="135" t="s">
        <v>142</v>
      </c>
      <c r="E26" s="136" t="s">
        <v>51</v>
      </c>
      <c r="F26" s="137"/>
      <c r="G26" s="138"/>
      <c r="H26" s="140" t="s">
        <v>159</v>
      </c>
    </row>
    <row r="27" spans="2:9" s="14" customFormat="1" ht="42" customHeight="1" x14ac:dyDescent="0.25">
      <c r="B27" s="146" t="s">
        <v>10</v>
      </c>
      <c r="C27" s="134" t="s">
        <v>34</v>
      </c>
      <c r="D27" s="136"/>
      <c r="E27" s="136"/>
      <c r="F27" s="137"/>
      <c r="G27" s="138"/>
      <c r="H27" s="140" t="s">
        <v>84</v>
      </c>
    </row>
    <row r="28" spans="2:9" s="14" customFormat="1" ht="78.75" customHeight="1" x14ac:dyDescent="0.25">
      <c r="B28" s="147"/>
      <c r="C28" s="148" t="s">
        <v>185</v>
      </c>
      <c r="D28" s="149" t="s">
        <v>74</v>
      </c>
      <c r="E28" s="149" t="s">
        <v>75</v>
      </c>
      <c r="F28" s="150"/>
      <c r="G28" s="151"/>
      <c r="H28" s="152" t="s">
        <v>73</v>
      </c>
      <c r="I28" s="14" t="s">
        <v>95</v>
      </c>
    </row>
    <row r="29" spans="2:9" s="14" customFormat="1" ht="42" customHeight="1" x14ac:dyDescent="0.25">
      <c r="B29" s="153" t="s">
        <v>10</v>
      </c>
      <c r="C29" s="154" t="s">
        <v>186</v>
      </c>
      <c r="D29" s="155">
        <v>46126</v>
      </c>
      <c r="E29" s="149" t="s">
        <v>76</v>
      </c>
      <c r="F29" s="150">
        <v>26500</v>
      </c>
      <c r="G29" s="151"/>
      <c r="H29" s="152" t="s">
        <v>73</v>
      </c>
    </row>
    <row r="30" spans="2:9" s="14" customFormat="1" ht="403.5" customHeight="1" x14ac:dyDescent="0.25">
      <c r="B30" s="146"/>
      <c r="C30" s="134" t="s">
        <v>187</v>
      </c>
      <c r="D30" s="156">
        <v>46126</v>
      </c>
      <c r="E30" s="157"/>
      <c r="F30" s="158"/>
      <c r="G30" s="159" t="s">
        <v>79</v>
      </c>
      <c r="H30" s="160">
        <v>8245</v>
      </c>
    </row>
    <row r="31" spans="2:9" s="14" customFormat="1" ht="147" customHeight="1" x14ac:dyDescent="0.25">
      <c r="B31" s="161"/>
      <c r="C31" s="162" t="s">
        <v>78</v>
      </c>
      <c r="D31" s="156"/>
      <c r="E31" s="157"/>
      <c r="F31" s="158"/>
      <c r="G31" s="159"/>
      <c r="H31" s="160"/>
    </row>
    <row r="32" spans="2:9" s="14" customFormat="1" ht="86.25" customHeight="1" x14ac:dyDescent="0.25">
      <c r="B32" s="153" t="s">
        <v>96</v>
      </c>
      <c r="C32" s="164" t="s">
        <v>97</v>
      </c>
      <c r="D32" s="135" t="s">
        <v>85</v>
      </c>
      <c r="E32" s="136" t="s">
        <v>51</v>
      </c>
      <c r="F32" s="165"/>
      <c r="G32" s="166"/>
      <c r="H32" s="140" t="s">
        <v>104</v>
      </c>
      <c r="I32" s="163" t="s">
        <v>98</v>
      </c>
    </row>
    <row r="33" spans="2:16" s="163" customFormat="1" ht="157.5" customHeight="1" x14ac:dyDescent="0.25">
      <c r="B33" s="146" t="s">
        <v>10</v>
      </c>
      <c r="C33" s="167" t="s">
        <v>190</v>
      </c>
      <c r="D33" s="136" t="s">
        <v>74</v>
      </c>
      <c r="E33" s="168" t="s">
        <v>75</v>
      </c>
      <c r="F33" s="137">
        <v>11000</v>
      </c>
      <c r="G33" s="169">
        <v>7593.42</v>
      </c>
      <c r="H33" s="170" t="s">
        <v>73</v>
      </c>
    </row>
    <row r="34" spans="2:16" s="163" customFormat="1" ht="161.25" customHeight="1" x14ac:dyDescent="0.25">
      <c r="B34" s="171"/>
      <c r="C34" s="172" t="s">
        <v>191</v>
      </c>
      <c r="D34" s="157"/>
      <c r="E34" s="173"/>
      <c r="F34" s="171"/>
      <c r="G34" s="174"/>
      <c r="H34" s="153"/>
      <c r="I34" s="174"/>
      <c r="J34" s="174"/>
      <c r="K34" s="174"/>
      <c r="L34" s="174"/>
      <c r="M34" s="174"/>
      <c r="N34" s="174"/>
      <c r="O34" s="174"/>
      <c r="P34" s="174"/>
    </row>
    <row r="35" spans="2:16" s="163" customFormat="1" ht="107.25" customHeight="1" x14ac:dyDescent="0.25">
      <c r="B35" s="171"/>
      <c r="C35" s="172" t="s">
        <v>192</v>
      </c>
      <c r="D35" s="157"/>
      <c r="E35" s="174"/>
      <c r="F35" s="171"/>
      <c r="G35" s="174"/>
      <c r="H35" s="153"/>
      <c r="I35" s="174"/>
      <c r="J35" s="174"/>
      <c r="K35" s="174"/>
      <c r="L35" s="174"/>
      <c r="M35" s="174"/>
      <c r="N35" s="174"/>
      <c r="O35" s="174"/>
      <c r="P35" s="174"/>
    </row>
    <row r="36" spans="2:16" s="163" customFormat="1" ht="125.25" customHeight="1" x14ac:dyDescent="0.25">
      <c r="B36" s="147"/>
      <c r="C36" s="175" t="s">
        <v>193</v>
      </c>
      <c r="D36" s="149"/>
      <c r="E36" s="176"/>
      <c r="F36" s="147"/>
      <c r="G36" s="176"/>
      <c r="H36" s="161"/>
      <c r="I36" s="174" t="s">
        <v>101</v>
      </c>
      <c r="J36" s="174"/>
      <c r="K36" s="174"/>
      <c r="L36" s="174"/>
      <c r="M36" s="174"/>
      <c r="N36" s="174"/>
      <c r="O36" s="174"/>
      <c r="P36" s="174"/>
    </row>
    <row r="37" spans="2:16" s="163" customFormat="1" ht="408.75" customHeight="1" x14ac:dyDescent="0.25">
      <c r="B37" s="161" t="s">
        <v>89</v>
      </c>
      <c r="C37" s="177" t="s">
        <v>195</v>
      </c>
      <c r="D37" s="155">
        <v>46131</v>
      </c>
      <c r="E37" s="176" t="s">
        <v>51</v>
      </c>
      <c r="F37" s="178">
        <v>33000</v>
      </c>
      <c r="G37" s="176" t="s">
        <v>105</v>
      </c>
      <c r="H37" s="161" t="s">
        <v>86</v>
      </c>
      <c r="I37" s="174" t="s">
        <v>102</v>
      </c>
      <c r="J37" s="174"/>
      <c r="K37" s="174"/>
      <c r="L37" s="174"/>
      <c r="M37" s="174"/>
      <c r="N37" s="174"/>
      <c r="O37" s="174"/>
      <c r="P37" s="174"/>
    </row>
    <row r="38" spans="2:16" s="14" customFormat="1" ht="36" customHeight="1" x14ac:dyDescent="0.25">
      <c r="B38" s="153" t="s">
        <v>146</v>
      </c>
      <c r="C38" s="180" t="s">
        <v>147</v>
      </c>
      <c r="D38" s="156"/>
      <c r="E38" s="174"/>
      <c r="F38" s="181"/>
      <c r="G38" s="174"/>
      <c r="H38" s="153"/>
      <c r="I38" s="106"/>
      <c r="J38" s="106"/>
      <c r="K38" s="106"/>
      <c r="L38" s="106"/>
      <c r="M38" s="106"/>
      <c r="N38" s="106"/>
      <c r="O38" s="106"/>
      <c r="P38" s="106"/>
    </row>
    <row r="39" spans="2:16" s="14" customFormat="1" ht="80.25" customHeight="1" x14ac:dyDescent="0.25">
      <c r="B39" s="146" t="s">
        <v>10</v>
      </c>
      <c r="C39" s="134" t="s">
        <v>205</v>
      </c>
      <c r="D39" s="136" t="s">
        <v>74</v>
      </c>
      <c r="E39" s="136" t="s">
        <v>75</v>
      </c>
      <c r="F39" s="137">
        <v>5594</v>
      </c>
      <c r="G39" s="186">
        <v>5594</v>
      </c>
      <c r="H39" s="140">
        <v>0</v>
      </c>
    </row>
    <row r="40" spans="2:16" s="14" customFormat="1" ht="102" customHeight="1" x14ac:dyDescent="0.25">
      <c r="B40" s="147"/>
      <c r="C40" s="148" t="s">
        <v>206</v>
      </c>
      <c r="D40" s="149"/>
      <c r="E40" s="149"/>
      <c r="F40" s="150"/>
      <c r="G40" s="187"/>
      <c r="H40" s="152"/>
    </row>
    <row r="41" spans="2:16" s="163" customFormat="1" ht="56.25" x14ac:dyDescent="0.25">
      <c r="B41" s="161" t="s">
        <v>10</v>
      </c>
      <c r="C41" s="189" t="s">
        <v>207</v>
      </c>
      <c r="D41" s="155">
        <v>46131</v>
      </c>
      <c r="E41" s="149" t="s">
        <v>51</v>
      </c>
      <c r="F41" s="150"/>
      <c r="G41" s="150"/>
      <c r="H41" s="152" t="s">
        <v>90</v>
      </c>
    </row>
    <row r="42" spans="2:16" s="163" customFormat="1" ht="352.5" customHeight="1" x14ac:dyDescent="0.25">
      <c r="B42" s="161"/>
      <c r="C42" s="189" t="s">
        <v>212</v>
      </c>
      <c r="D42" s="155">
        <v>46131</v>
      </c>
      <c r="E42" s="149" t="s">
        <v>51</v>
      </c>
      <c r="F42" s="150"/>
      <c r="G42" s="150"/>
      <c r="H42" s="152" t="s">
        <v>91</v>
      </c>
    </row>
    <row r="43" spans="2:16" s="163" customFormat="1" ht="303" customHeight="1" x14ac:dyDescent="0.25">
      <c r="B43" s="161"/>
      <c r="C43" s="189" t="s">
        <v>213</v>
      </c>
      <c r="D43" s="155">
        <v>46131</v>
      </c>
      <c r="E43" s="149" t="s">
        <v>51</v>
      </c>
      <c r="F43" s="150"/>
      <c r="G43" s="150"/>
      <c r="H43" s="152" t="s">
        <v>90</v>
      </c>
    </row>
    <row r="44" spans="2:16" s="163" customFormat="1" ht="386.25" customHeight="1" x14ac:dyDescent="0.25">
      <c r="B44" s="161"/>
      <c r="C44" s="189" t="s">
        <v>214</v>
      </c>
      <c r="D44" s="155">
        <v>46131</v>
      </c>
      <c r="E44" s="149" t="s">
        <v>51</v>
      </c>
      <c r="F44" s="150"/>
      <c r="G44" s="150"/>
      <c r="H44" s="152" t="s">
        <v>90</v>
      </c>
    </row>
    <row r="45" spans="2:16" s="163" customFormat="1" ht="409.5" x14ac:dyDescent="0.25">
      <c r="B45" s="161"/>
      <c r="C45" s="189" t="s">
        <v>215</v>
      </c>
      <c r="D45" s="155">
        <v>46131</v>
      </c>
      <c r="E45" s="149" t="s">
        <v>51</v>
      </c>
      <c r="F45" s="150"/>
      <c r="G45" s="150"/>
      <c r="H45" s="152" t="s">
        <v>90</v>
      </c>
    </row>
    <row r="46" spans="2:16" s="14" customFormat="1" ht="94.5" customHeight="1" x14ac:dyDescent="0.25">
      <c r="B46" s="127" t="s">
        <v>10</v>
      </c>
      <c r="C46" s="128" t="s">
        <v>36</v>
      </c>
      <c r="D46" s="129">
        <v>46134</v>
      </c>
      <c r="E46" s="130" t="s">
        <v>76</v>
      </c>
      <c r="F46" s="131"/>
      <c r="G46" s="131">
        <v>9423.8700000000008</v>
      </c>
      <c r="H46" s="132"/>
    </row>
    <row r="47" spans="2:16" s="14" customFormat="1" ht="94.5" customHeight="1" x14ac:dyDescent="0.25">
      <c r="B47" s="127" t="s">
        <v>10</v>
      </c>
      <c r="C47" s="128" t="s">
        <v>28</v>
      </c>
      <c r="D47" s="129">
        <v>46134</v>
      </c>
      <c r="E47" s="130" t="s">
        <v>76</v>
      </c>
      <c r="F47" s="131">
        <v>23500</v>
      </c>
      <c r="G47" s="132" t="s">
        <v>48</v>
      </c>
      <c r="H47" s="132" t="s">
        <v>216</v>
      </c>
    </row>
    <row r="48" spans="2:16" s="14" customFormat="1" ht="94.5" customHeight="1" x14ac:dyDescent="0.25">
      <c r="B48" s="127" t="s">
        <v>10</v>
      </c>
      <c r="C48" s="128" t="s">
        <v>217</v>
      </c>
      <c r="D48" s="129">
        <v>46134</v>
      </c>
      <c r="E48" s="130" t="s">
        <v>76</v>
      </c>
      <c r="F48" s="131">
        <v>2500</v>
      </c>
      <c r="G48" s="131">
        <v>13950.69</v>
      </c>
      <c r="H48" s="191">
        <f>G48-F48</f>
        <v>11450.69</v>
      </c>
    </row>
    <row r="49" spans="2:8" s="14" customFormat="1" ht="94.5" customHeight="1" x14ac:dyDescent="0.25">
      <c r="B49" s="133" t="s">
        <v>10</v>
      </c>
      <c r="C49" s="134" t="s">
        <v>32</v>
      </c>
      <c r="D49" s="135">
        <v>46134</v>
      </c>
      <c r="E49" s="136" t="s">
        <v>76</v>
      </c>
      <c r="F49" s="137">
        <v>39933</v>
      </c>
      <c r="G49" s="137"/>
      <c r="H49" s="140" t="s">
        <v>106</v>
      </c>
    </row>
    <row r="50" spans="2:8" s="14" customFormat="1" ht="41.25" customHeight="1" x14ac:dyDescent="0.25">
      <c r="B50" s="133" t="s">
        <v>10</v>
      </c>
      <c r="C50" s="134" t="s">
        <v>31</v>
      </c>
      <c r="D50" s="168">
        <v>46114</v>
      </c>
      <c r="E50" s="136" t="s">
        <v>63</v>
      </c>
      <c r="F50" s="169" t="s">
        <v>108</v>
      </c>
      <c r="G50" s="137" t="s">
        <v>107</v>
      </c>
      <c r="H50" s="194"/>
    </row>
    <row r="51" spans="2:8" s="14" customFormat="1" ht="178.5" customHeight="1" x14ac:dyDescent="0.25">
      <c r="B51" s="161"/>
      <c r="C51" s="148" t="s">
        <v>218</v>
      </c>
      <c r="D51" s="195"/>
      <c r="E51" s="149"/>
      <c r="F51" s="196"/>
      <c r="G51" s="150"/>
      <c r="H51" s="197"/>
    </row>
    <row r="52" spans="2:8" s="14" customFormat="1" ht="51.75" customHeight="1" x14ac:dyDescent="0.25">
      <c r="B52" s="198" t="s">
        <v>10</v>
      </c>
      <c r="C52" s="199" t="s">
        <v>220</v>
      </c>
      <c r="D52" s="200"/>
      <c r="E52" s="201"/>
      <c r="F52" s="202"/>
      <c r="G52" s="202"/>
      <c r="H52" s="203"/>
    </row>
    <row r="53" spans="2:8" s="14" customFormat="1" ht="308.25" customHeight="1" x14ac:dyDescent="0.25">
      <c r="B53" s="127" t="s">
        <v>156</v>
      </c>
      <c r="C53" s="128" t="s">
        <v>222</v>
      </c>
      <c r="D53" s="129">
        <v>46114</v>
      </c>
      <c r="E53" s="130" t="s">
        <v>63</v>
      </c>
      <c r="F53" s="131"/>
      <c r="G53" s="131"/>
      <c r="H53" s="132"/>
    </row>
    <row r="54" spans="2:8" s="14" customFormat="1" ht="396" customHeight="1" x14ac:dyDescent="0.25">
      <c r="B54" s="127" t="s">
        <v>156</v>
      </c>
      <c r="C54" s="128" t="s">
        <v>224</v>
      </c>
      <c r="D54" s="129">
        <v>46114</v>
      </c>
      <c r="E54" s="130" t="s">
        <v>63</v>
      </c>
      <c r="F54" s="131"/>
      <c r="G54" s="131"/>
      <c r="H54" s="132" t="s">
        <v>223</v>
      </c>
    </row>
    <row r="55" spans="2:8" s="14" customFormat="1" ht="96.75" customHeight="1" x14ac:dyDescent="0.25">
      <c r="B55" s="127"/>
      <c r="C55" s="128" t="s">
        <v>225</v>
      </c>
      <c r="D55" s="129">
        <v>46114</v>
      </c>
      <c r="E55" s="130" t="s">
        <v>63</v>
      </c>
      <c r="F55" s="131"/>
      <c r="G55" s="131"/>
      <c r="H55" s="132" t="s">
        <v>223</v>
      </c>
    </row>
    <row r="56" spans="2:8" s="14" customFormat="1" ht="143.25" customHeight="1" x14ac:dyDescent="0.25">
      <c r="B56" s="127"/>
      <c r="C56" s="128" t="s">
        <v>230</v>
      </c>
      <c r="D56" s="129">
        <v>46114</v>
      </c>
      <c r="E56" s="130" t="s">
        <v>63</v>
      </c>
      <c r="F56" s="131"/>
      <c r="G56" s="131"/>
      <c r="H56" s="132"/>
    </row>
    <row r="57" spans="2:8" s="14" customFormat="1" ht="262.5" x14ac:dyDescent="0.25">
      <c r="B57" s="127" t="s">
        <v>157</v>
      </c>
      <c r="C57" s="128" t="s">
        <v>232</v>
      </c>
      <c r="D57" s="129">
        <v>46114</v>
      </c>
      <c r="E57" s="130" t="s">
        <v>63</v>
      </c>
      <c r="F57" s="131"/>
      <c r="G57" s="131"/>
      <c r="H57" s="132" t="s">
        <v>231</v>
      </c>
    </row>
    <row r="58" spans="2:8" s="14" customFormat="1" ht="282.75" customHeight="1" x14ac:dyDescent="0.25">
      <c r="B58" s="127"/>
      <c r="C58" s="128" t="s">
        <v>234</v>
      </c>
      <c r="D58" s="129">
        <v>46114</v>
      </c>
      <c r="E58" s="130" t="s">
        <v>63</v>
      </c>
      <c r="F58" s="131"/>
      <c r="G58" s="131"/>
      <c r="H58" s="132" t="s">
        <v>233</v>
      </c>
    </row>
    <row r="59" spans="2:8" s="14" customFormat="1" ht="262.5" x14ac:dyDescent="0.25">
      <c r="B59" s="127"/>
      <c r="C59" s="128" t="s">
        <v>237</v>
      </c>
      <c r="D59" s="129">
        <v>46114</v>
      </c>
      <c r="E59" s="130" t="s">
        <v>63</v>
      </c>
      <c r="F59" s="131"/>
      <c r="G59" s="131"/>
      <c r="H59" s="132" t="s">
        <v>236</v>
      </c>
    </row>
    <row r="60" spans="2:8" s="14" customFormat="1" ht="281.25" x14ac:dyDescent="0.25">
      <c r="B60" s="127"/>
      <c r="C60" s="128" t="s">
        <v>238</v>
      </c>
      <c r="D60" s="129">
        <v>46114</v>
      </c>
      <c r="E60" s="130" t="s">
        <v>63</v>
      </c>
      <c r="F60" s="131"/>
      <c r="G60" s="131"/>
      <c r="H60" s="132" t="s">
        <v>233</v>
      </c>
    </row>
    <row r="61" spans="2:8" s="14" customFormat="1" ht="243.75" x14ac:dyDescent="0.25">
      <c r="B61" s="127"/>
      <c r="C61" s="128" t="s">
        <v>239</v>
      </c>
      <c r="D61" s="129">
        <v>46114</v>
      </c>
      <c r="E61" s="130" t="s">
        <v>63</v>
      </c>
      <c r="F61" s="131"/>
      <c r="G61" s="131"/>
      <c r="H61" s="132"/>
    </row>
    <row r="62" spans="2:8" s="14" customFormat="1" ht="168.75" x14ac:dyDescent="0.25">
      <c r="B62" s="127"/>
      <c r="C62" s="128" t="s">
        <v>241</v>
      </c>
      <c r="D62" s="129">
        <v>46114</v>
      </c>
      <c r="E62" s="130" t="s">
        <v>63</v>
      </c>
      <c r="F62" s="131"/>
      <c r="G62" s="131"/>
      <c r="H62" s="132" t="s">
        <v>240</v>
      </c>
    </row>
    <row r="63" spans="2:8" s="14" customFormat="1" ht="168.75" x14ac:dyDescent="0.25">
      <c r="B63" s="127"/>
      <c r="C63" s="128" t="s">
        <v>242</v>
      </c>
      <c r="D63" s="129">
        <v>46114</v>
      </c>
      <c r="E63" s="130" t="s">
        <v>63</v>
      </c>
      <c r="F63" s="131"/>
      <c r="G63" s="131"/>
      <c r="H63" s="132" t="s">
        <v>240</v>
      </c>
    </row>
    <row r="64" spans="2:8" s="14" customFormat="1" ht="150" x14ac:dyDescent="0.25">
      <c r="B64" s="127"/>
      <c r="C64" s="128" t="s">
        <v>243</v>
      </c>
      <c r="D64" s="129">
        <v>46114</v>
      </c>
      <c r="E64" s="130" t="s">
        <v>63</v>
      </c>
      <c r="F64" s="131"/>
      <c r="G64" s="131"/>
      <c r="H64" s="132" t="s">
        <v>240</v>
      </c>
    </row>
    <row r="65" spans="2:8" s="14" customFormat="1" ht="150" x14ac:dyDescent="0.25">
      <c r="B65" s="127"/>
      <c r="C65" s="128" t="s">
        <v>244</v>
      </c>
      <c r="D65" s="129">
        <v>46114</v>
      </c>
      <c r="E65" s="130" t="s">
        <v>63</v>
      </c>
      <c r="F65" s="131"/>
      <c r="G65" s="131"/>
      <c r="H65" s="132" t="s">
        <v>240</v>
      </c>
    </row>
    <row r="66" spans="2:8" s="14" customFormat="1" ht="150" x14ac:dyDescent="0.25">
      <c r="B66" s="127"/>
      <c r="C66" s="128" t="s">
        <v>245</v>
      </c>
      <c r="D66" s="129">
        <v>46114</v>
      </c>
      <c r="E66" s="130" t="s">
        <v>63</v>
      </c>
      <c r="F66" s="131"/>
      <c r="G66" s="131"/>
      <c r="H66" s="132" t="s">
        <v>233</v>
      </c>
    </row>
    <row r="67" spans="2:8" s="14" customFormat="1" ht="150" x14ac:dyDescent="0.25">
      <c r="B67" s="127"/>
      <c r="C67" s="128" t="s">
        <v>246</v>
      </c>
      <c r="D67" s="129">
        <v>46114</v>
      </c>
      <c r="E67" s="130" t="s">
        <v>63</v>
      </c>
      <c r="F67" s="131"/>
      <c r="G67" s="131"/>
      <c r="H67" s="132" t="s">
        <v>233</v>
      </c>
    </row>
    <row r="68" spans="2:8" s="14" customFormat="1" ht="112.5" x14ac:dyDescent="0.25">
      <c r="B68" s="127"/>
      <c r="C68" s="128" t="s">
        <v>247</v>
      </c>
      <c r="D68" s="129">
        <v>46114</v>
      </c>
      <c r="E68" s="130" t="s">
        <v>63</v>
      </c>
      <c r="F68" s="131"/>
      <c r="G68" s="131"/>
      <c r="H68" s="132" t="s">
        <v>233</v>
      </c>
    </row>
    <row r="69" spans="2:8" s="14" customFormat="1" ht="150" x14ac:dyDescent="0.25">
      <c r="B69" s="127"/>
      <c r="C69" s="128" t="s">
        <v>248</v>
      </c>
      <c r="D69" s="129">
        <v>46114</v>
      </c>
      <c r="E69" s="130" t="s">
        <v>63</v>
      </c>
      <c r="F69" s="131"/>
      <c r="G69" s="131"/>
      <c r="H69" s="132"/>
    </row>
    <row r="70" spans="2:8" s="14" customFormat="1" ht="93.75" x14ac:dyDescent="0.25">
      <c r="B70" s="127"/>
      <c r="C70" s="128" t="s">
        <v>249</v>
      </c>
      <c r="D70" s="129">
        <v>46114</v>
      </c>
      <c r="E70" s="130" t="s">
        <v>63</v>
      </c>
      <c r="F70" s="131"/>
      <c r="G70" s="131"/>
      <c r="H70" s="132"/>
    </row>
    <row r="71" spans="2:8" s="14" customFormat="1" ht="347.25" customHeight="1" x14ac:dyDescent="0.25">
      <c r="B71" s="127"/>
      <c r="C71" s="128" t="s">
        <v>250</v>
      </c>
      <c r="D71" s="129">
        <v>46114</v>
      </c>
      <c r="E71" s="130" t="s">
        <v>63</v>
      </c>
      <c r="F71" s="131"/>
      <c r="G71" s="131"/>
      <c r="H71" s="132" t="s">
        <v>233</v>
      </c>
    </row>
    <row r="72" spans="2:8" s="14" customFormat="1" ht="378.75" customHeight="1" x14ac:dyDescent="0.25">
      <c r="B72" s="127"/>
      <c r="C72" s="128" t="s">
        <v>252</v>
      </c>
      <c r="D72" s="129">
        <v>46114</v>
      </c>
      <c r="E72" s="130" t="s">
        <v>63</v>
      </c>
      <c r="F72" s="131"/>
      <c r="G72" s="131"/>
      <c r="H72" s="132"/>
    </row>
    <row r="73" spans="2:8" s="14" customFormat="1" ht="153" customHeight="1" x14ac:dyDescent="0.25">
      <c r="B73" s="127"/>
      <c r="C73" s="189" t="s">
        <v>143</v>
      </c>
      <c r="D73" s="129"/>
      <c r="E73" s="130"/>
      <c r="F73" s="131"/>
      <c r="G73" s="131"/>
      <c r="H73" s="132"/>
    </row>
    <row r="74" spans="2:8" s="14" customFormat="1" ht="94.5" customHeight="1" x14ac:dyDescent="0.25">
      <c r="B74" s="204" t="s">
        <v>10</v>
      </c>
      <c r="C74" s="189" t="s">
        <v>27</v>
      </c>
      <c r="D74" s="130"/>
      <c r="E74" s="130"/>
      <c r="F74" s="131"/>
      <c r="G74" s="131"/>
      <c r="H74" s="132" t="s">
        <v>40</v>
      </c>
    </row>
    <row r="75" spans="2:8" s="14" customFormat="1" ht="94.5" customHeight="1" x14ac:dyDescent="0.25">
      <c r="B75" s="204" t="s">
        <v>10</v>
      </c>
      <c r="C75" s="134" t="s">
        <v>33</v>
      </c>
      <c r="D75" s="130"/>
      <c r="E75" s="130"/>
      <c r="F75" s="131"/>
      <c r="G75" s="131"/>
      <c r="H75" s="132"/>
    </row>
    <row r="76" spans="2:8" s="14" customFormat="1" ht="129" customHeight="1" x14ac:dyDescent="0.25">
      <c r="B76" s="127"/>
      <c r="C76" s="128" t="s">
        <v>257</v>
      </c>
      <c r="D76" s="129">
        <v>46114</v>
      </c>
      <c r="E76" s="130" t="s">
        <v>62</v>
      </c>
      <c r="F76" s="131"/>
      <c r="G76" s="131"/>
      <c r="H76" s="132" t="s">
        <v>256</v>
      </c>
    </row>
    <row r="77" spans="2:8" s="14" customFormat="1" ht="94.5" customHeight="1" x14ac:dyDescent="0.25">
      <c r="B77" s="204" t="s">
        <v>10</v>
      </c>
      <c r="C77" s="189" t="s">
        <v>41</v>
      </c>
      <c r="D77" s="130"/>
      <c r="E77" s="130"/>
      <c r="F77" s="131"/>
      <c r="G77" s="131"/>
      <c r="H77" s="132"/>
    </row>
    <row r="78" spans="2:8" s="14" customFormat="1" ht="94.5" customHeight="1" x14ac:dyDescent="0.25">
      <c r="B78" s="204" t="s">
        <v>10</v>
      </c>
      <c r="C78" s="128" t="s">
        <v>30</v>
      </c>
      <c r="D78" s="130"/>
      <c r="E78" s="130"/>
      <c r="F78" s="131"/>
      <c r="G78" s="131"/>
      <c r="H78" s="132"/>
    </row>
    <row r="79" spans="2:8" s="14" customFormat="1" ht="94.5" customHeight="1" x14ac:dyDescent="0.25">
      <c r="B79" s="204" t="s">
        <v>10</v>
      </c>
      <c r="C79" s="134" t="s">
        <v>145</v>
      </c>
      <c r="D79" s="130" t="s">
        <v>50</v>
      </c>
      <c r="E79" s="130" t="s">
        <v>51</v>
      </c>
      <c r="F79" s="131"/>
      <c r="G79" s="131"/>
      <c r="H79" s="132" t="s">
        <v>52</v>
      </c>
    </row>
    <row r="80" spans="2:8" s="14" customFormat="1" ht="187.5" x14ac:dyDescent="0.25">
      <c r="B80" s="127"/>
      <c r="C80" s="128" t="s">
        <v>266</v>
      </c>
      <c r="D80" s="129">
        <v>46114</v>
      </c>
      <c r="E80" s="130" t="s">
        <v>62</v>
      </c>
      <c r="F80" s="131"/>
      <c r="G80" s="131"/>
      <c r="H80" s="132"/>
    </row>
    <row r="81" spans="2:12" s="14" customFormat="1" ht="56.25" x14ac:dyDescent="0.25">
      <c r="B81" s="127" t="s">
        <v>123</v>
      </c>
      <c r="C81" s="189" t="s">
        <v>267</v>
      </c>
      <c r="D81" s="129"/>
      <c r="E81" s="130"/>
      <c r="F81" s="131"/>
      <c r="G81" s="131"/>
      <c r="H81" s="132" t="s">
        <v>265</v>
      </c>
    </row>
    <row r="82" spans="2:12" s="14" customFormat="1" ht="18.75" x14ac:dyDescent="0.25">
      <c r="B82" s="26"/>
      <c r="C82" s="75" t="s">
        <v>11</v>
      </c>
      <c r="D82" s="26"/>
      <c r="E82" s="26"/>
      <c r="F82" s="64"/>
      <c r="G82" s="71"/>
      <c r="H82" s="28"/>
    </row>
    <row r="83" spans="2:12" s="21" customFormat="1" ht="37.5" x14ac:dyDescent="0.25">
      <c r="B83" s="26"/>
      <c r="C83" s="27" t="s">
        <v>16</v>
      </c>
      <c r="D83" s="26"/>
      <c r="E83" s="26"/>
      <c r="F83" s="64"/>
      <c r="G83" s="71"/>
      <c r="H83" s="28"/>
      <c r="I83" s="14"/>
      <c r="J83" s="14"/>
      <c r="K83" s="14"/>
    </row>
    <row r="84" spans="2:12" s="14" customFormat="1" ht="18.75" x14ac:dyDescent="0.25">
      <c r="B84" s="26"/>
      <c r="C84" s="62" t="s">
        <v>12</v>
      </c>
      <c r="D84" s="26"/>
      <c r="E84" s="26"/>
      <c r="F84" s="64"/>
      <c r="G84" s="71"/>
      <c r="H84" s="28"/>
    </row>
    <row r="85" spans="2:12" s="14" customFormat="1" ht="294" customHeight="1" x14ac:dyDescent="0.25">
      <c r="B85" s="127"/>
      <c r="C85" s="185" t="s">
        <v>200</v>
      </c>
      <c r="D85" s="129">
        <v>46114</v>
      </c>
      <c r="E85" s="130" t="s">
        <v>62</v>
      </c>
      <c r="F85" s="131">
        <v>2500</v>
      </c>
      <c r="G85" s="131" t="s">
        <v>61</v>
      </c>
      <c r="H85" s="132"/>
      <c r="I85" s="163" t="s">
        <v>88</v>
      </c>
      <c r="J85" s="163"/>
      <c r="K85" s="163"/>
      <c r="L85" s="163"/>
    </row>
    <row r="86" spans="2:12" s="14" customFormat="1" ht="56.25" x14ac:dyDescent="0.25">
      <c r="B86" s="127"/>
      <c r="C86" s="177" t="s">
        <v>201</v>
      </c>
      <c r="D86" s="129">
        <v>46114</v>
      </c>
      <c r="E86" s="130" t="s">
        <v>62</v>
      </c>
      <c r="F86" s="131"/>
      <c r="G86" s="131"/>
      <c r="H86" s="132"/>
      <c r="I86" s="163"/>
      <c r="J86" s="163"/>
      <c r="K86" s="163"/>
      <c r="L86" s="163"/>
    </row>
    <row r="87" spans="2:12" s="14" customFormat="1" ht="93.75" x14ac:dyDescent="0.25">
      <c r="B87" s="127"/>
      <c r="C87" s="177" t="s">
        <v>202</v>
      </c>
      <c r="D87" s="129">
        <v>46114</v>
      </c>
      <c r="E87" s="130" t="s">
        <v>62</v>
      </c>
      <c r="F87" s="131"/>
      <c r="G87" s="131"/>
      <c r="H87" s="132"/>
      <c r="I87" s="163"/>
      <c r="J87" s="163"/>
      <c r="K87" s="163"/>
      <c r="L87" s="163"/>
    </row>
    <row r="88" spans="2:12" s="14" customFormat="1" ht="75" x14ac:dyDescent="0.25">
      <c r="B88" s="127"/>
      <c r="C88" s="177" t="s">
        <v>203</v>
      </c>
      <c r="D88" s="129">
        <v>46114</v>
      </c>
      <c r="E88" s="130" t="s">
        <v>62</v>
      </c>
      <c r="F88" s="131"/>
      <c r="G88" s="131"/>
      <c r="H88" s="132"/>
      <c r="I88" s="163"/>
      <c r="J88" s="163"/>
      <c r="K88" s="163"/>
      <c r="L88" s="163"/>
    </row>
    <row r="89" spans="2:12" s="14" customFormat="1" ht="56.25" customHeight="1" x14ac:dyDescent="0.25">
      <c r="B89" s="127"/>
      <c r="C89" s="128" t="s">
        <v>204</v>
      </c>
      <c r="D89" s="129">
        <v>46114</v>
      </c>
      <c r="E89" s="130" t="s">
        <v>62</v>
      </c>
      <c r="F89" s="131"/>
      <c r="G89" s="131"/>
      <c r="H89" s="132"/>
      <c r="I89" s="163"/>
      <c r="J89" s="163"/>
      <c r="K89" s="163"/>
      <c r="L89" s="163"/>
    </row>
    <row r="90" spans="2:12" s="14" customFormat="1" ht="112.5" x14ac:dyDescent="0.25">
      <c r="B90" s="127"/>
      <c r="C90" s="128" t="s">
        <v>269</v>
      </c>
      <c r="D90" s="129">
        <v>46114</v>
      </c>
      <c r="E90" s="130" t="s">
        <v>62</v>
      </c>
      <c r="F90" s="131"/>
      <c r="G90" s="131"/>
      <c r="H90" s="132" t="s">
        <v>268</v>
      </c>
    </row>
    <row r="91" spans="2:12" s="14" customFormat="1" ht="112.5" x14ac:dyDescent="0.25">
      <c r="B91" s="127"/>
      <c r="C91" s="185" t="s">
        <v>270</v>
      </c>
      <c r="D91" s="129">
        <v>46114</v>
      </c>
      <c r="E91" s="130" t="s">
        <v>62</v>
      </c>
      <c r="F91" s="131"/>
      <c r="G91" s="131"/>
      <c r="H91" s="132" t="s">
        <v>268</v>
      </c>
    </row>
    <row r="92" spans="2:12" s="14" customFormat="1" ht="75" x14ac:dyDescent="0.25">
      <c r="B92" s="127"/>
      <c r="C92" s="185" t="s">
        <v>271</v>
      </c>
      <c r="D92" s="129">
        <v>46114</v>
      </c>
      <c r="E92" s="130" t="s">
        <v>62</v>
      </c>
      <c r="F92" s="131"/>
      <c r="G92" s="131"/>
      <c r="H92" s="132" t="s">
        <v>268</v>
      </c>
    </row>
    <row r="93" spans="2:12" s="14" customFormat="1" ht="114.75" customHeight="1" x14ac:dyDescent="0.25">
      <c r="B93" s="127"/>
      <c r="C93" s="128" t="s">
        <v>272</v>
      </c>
      <c r="D93" s="129">
        <v>46114</v>
      </c>
      <c r="E93" s="130" t="s">
        <v>62</v>
      </c>
      <c r="F93" s="131"/>
      <c r="G93" s="131"/>
      <c r="H93" s="132" t="s">
        <v>268</v>
      </c>
    </row>
    <row r="94" spans="2:12" s="14" customFormat="1" ht="68.25" customHeight="1" x14ac:dyDescent="0.25">
      <c r="B94" s="182"/>
      <c r="C94" s="185" t="s">
        <v>275</v>
      </c>
      <c r="D94" s="129">
        <v>46114</v>
      </c>
      <c r="E94" s="130" t="s">
        <v>62</v>
      </c>
      <c r="F94" s="184"/>
      <c r="G94" s="184"/>
      <c r="H94" s="132" t="s">
        <v>268</v>
      </c>
    </row>
    <row r="95" spans="2:12" s="14" customFormat="1" ht="99.75" customHeight="1" x14ac:dyDescent="0.25">
      <c r="B95" s="127" t="s">
        <v>123</v>
      </c>
      <c r="C95" s="185" t="s">
        <v>140</v>
      </c>
      <c r="D95" s="129" t="s">
        <v>142</v>
      </c>
      <c r="E95" s="130" t="s">
        <v>51</v>
      </c>
      <c r="F95" s="131"/>
      <c r="G95" s="131"/>
      <c r="H95" s="132" t="s">
        <v>141</v>
      </c>
    </row>
    <row r="96" spans="2:12" s="14" customFormat="1" ht="75" x14ac:dyDescent="0.25">
      <c r="B96" s="127"/>
      <c r="C96" s="185" t="s">
        <v>277</v>
      </c>
      <c r="D96" s="129">
        <v>46114</v>
      </c>
      <c r="E96" s="130" t="s">
        <v>62</v>
      </c>
      <c r="F96" s="131"/>
      <c r="G96" s="131"/>
      <c r="H96" s="132" t="s">
        <v>268</v>
      </c>
    </row>
    <row r="97" spans="2:11" s="14" customFormat="1" ht="252.75" customHeight="1" x14ac:dyDescent="0.25">
      <c r="B97" s="182"/>
      <c r="C97" s="185" t="s">
        <v>278</v>
      </c>
      <c r="D97" s="129">
        <v>46114</v>
      </c>
      <c r="E97" s="130" t="s">
        <v>62</v>
      </c>
      <c r="F97" s="131"/>
      <c r="G97" s="131"/>
      <c r="H97" s="132" t="s">
        <v>268</v>
      </c>
    </row>
    <row r="98" spans="2:11" s="14" customFormat="1" ht="75" x14ac:dyDescent="0.25">
      <c r="B98" s="127"/>
      <c r="C98" s="128" t="s">
        <v>279</v>
      </c>
      <c r="D98" s="129">
        <v>46114</v>
      </c>
      <c r="E98" s="130" t="s">
        <v>62</v>
      </c>
      <c r="F98" s="131"/>
      <c r="G98" s="132" t="s">
        <v>176</v>
      </c>
      <c r="H98" s="132" t="s">
        <v>268</v>
      </c>
    </row>
    <row r="99" spans="2:11" s="14" customFormat="1" ht="131.25" customHeight="1" x14ac:dyDescent="0.25">
      <c r="B99" s="127"/>
      <c r="C99" s="128" t="s">
        <v>280</v>
      </c>
      <c r="D99" s="129">
        <v>46114</v>
      </c>
      <c r="E99" s="130" t="s">
        <v>62</v>
      </c>
      <c r="F99" s="131"/>
      <c r="G99" s="131"/>
      <c r="H99" s="132">
        <v>5850</v>
      </c>
    </row>
    <row r="100" spans="2:11" s="14" customFormat="1" ht="189.75" customHeight="1" x14ac:dyDescent="0.25">
      <c r="B100" s="127"/>
      <c r="C100" s="128" t="s">
        <v>282</v>
      </c>
      <c r="D100" s="129">
        <v>46114</v>
      </c>
      <c r="E100" s="130" t="s">
        <v>62</v>
      </c>
      <c r="F100" s="131"/>
      <c r="G100" s="131"/>
      <c r="H100" s="132" t="s">
        <v>144</v>
      </c>
    </row>
    <row r="101" spans="2:11" s="14" customFormat="1" ht="327" customHeight="1" x14ac:dyDescent="0.25">
      <c r="B101" s="127" t="s">
        <v>154</v>
      </c>
      <c r="C101" s="128" t="s">
        <v>287</v>
      </c>
      <c r="D101" s="129">
        <v>46114</v>
      </c>
      <c r="E101" s="130" t="s">
        <v>62</v>
      </c>
      <c r="F101" s="131"/>
      <c r="G101" s="131"/>
      <c r="H101" s="132" t="s">
        <v>155</v>
      </c>
    </row>
    <row r="102" spans="2:11" s="14" customFormat="1" ht="112.5" x14ac:dyDescent="0.25">
      <c r="B102" s="127"/>
      <c r="C102" s="128" t="s">
        <v>288</v>
      </c>
      <c r="D102" s="129" t="s">
        <v>138</v>
      </c>
      <c r="E102" s="130" t="s">
        <v>139</v>
      </c>
      <c r="F102" s="131"/>
      <c r="G102" s="131"/>
      <c r="H102" s="132" t="s">
        <v>73</v>
      </c>
    </row>
    <row r="103" spans="2:11" s="14" customFormat="1" ht="273" customHeight="1" x14ac:dyDescent="0.25">
      <c r="B103" s="182"/>
      <c r="C103" s="128" t="s">
        <v>289</v>
      </c>
      <c r="D103" s="129" t="s">
        <v>138</v>
      </c>
      <c r="E103" s="130" t="s">
        <v>139</v>
      </c>
      <c r="F103" s="184"/>
      <c r="G103" s="184"/>
      <c r="H103" s="132" t="s">
        <v>73</v>
      </c>
    </row>
    <row r="104" spans="2:11" s="14" customFormat="1" ht="118.5" customHeight="1" x14ac:dyDescent="0.25">
      <c r="B104" s="127"/>
      <c r="C104" s="128" t="s">
        <v>210</v>
      </c>
      <c r="D104" s="129">
        <v>46114</v>
      </c>
      <c r="E104" s="130" t="s">
        <v>62</v>
      </c>
      <c r="F104" s="131"/>
      <c r="G104" s="131"/>
      <c r="H104" s="132" t="s">
        <v>137</v>
      </c>
    </row>
    <row r="105" spans="2:11" s="14" customFormat="1" ht="306.75" customHeight="1" x14ac:dyDescent="0.25">
      <c r="B105" s="182"/>
      <c r="C105" s="278" t="s">
        <v>334</v>
      </c>
      <c r="D105" s="183"/>
      <c r="E105" s="24"/>
      <c r="F105" s="184"/>
      <c r="G105" s="184"/>
      <c r="H105" s="25"/>
      <c r="I105" s="277"/>
      <c r="K105" s="99"/>
    </row>
    <row r="106" spans="2:11" s="14" customFormat="1" ht="367.5" customHeight="1" x14ac:dyDescent="0.25">
      <c r="B106" s="127"/>
      <c r="C106" s="128" t="s">
        <v>199</v>
      </c>
      <c r="D106" s="129">
        <v>46114</v>
      </c>
      <c r="E106" s="130" t="s">
        <v>62</v>
      </c>
      <c r="F106" s="131"/>
      <c r="G106" s="131"/>
      <c r="H106" s="132" t="s">
        <v>137</v>
      </c>
    </row>
    <row r="107" spans="2:11" s="14" customFormat="1" ht="225" x14ac:dyDescent="0.25">
      <c r="B107" s="127"/>
      <c r="C107" s="128" t="s">
        <v>290</v>
      </c>
      <c r="D107" s="129">
        <v>46114</v>
      </c>
      <c r="E107" s="130" t="s">
        <v>62</v>
      </c>
      <c r="F107" s="131"/>
      <c r="G107" s="131"/>
      <c r="H107" s="132"/>
    </row>
    <row r="108" spans="2:11" s="14" customFormat="1" ht="258" customHeight="1" x14ac:dyDescent="0.25">
      <c r="B108" s="133" t="s">
        <v>149</v>
      </c>
      <c r="C108" s="164" t="s">
        <v>150</v>
      </c>
      <c r="D108" s="135" t="s">
        <v>142</v>
      </c>
      <c r="E108" s="136" t="s">
        <v>51</v>
      </c>
      <c r="F108" s="137"/>
      <c r="G108" s="137"/>
      <c r="H108" s="140" t="s">
        <v>291</v>
      </c>
    </row>
    <row r="109" spans="2:11" s="14" customFormat="1" ht="261" customHeight="1" x14ac:dyDescent="0.25">
      <c r="B109" s="133" t="s">
        <v>149</v>
      </c>
      <c r="C109" s="164" t="s">
        <v>151</v>
      </c>
      <c r="D109" s="135" t="s">
        <v>142</v>
      </c>
      <c r="E109" s="136" t="s">
        <v>51</v>
      </c>
      <c r="F109" s="137"/>
      <c r="G109" s="137"/>
      <c r="H109" s="140" t="s">
        <v>291</v>
      </c>
      <c r="I109" s="277"/>
    </row>
    <row r="110" spans="2:11" s="14" customFormat="1" ht="143.25" customHeight="1" x14ac:dyDescent="0.25">
      <c r="B110" s="133" t="s">
        <v>149</v>
      </c>
      <c r="C110" s="164" t="s">
        <v>152</v>
      </c>
      <c r="D110" s="135" t="s">
        <v>142</v>
      </c>
      <c r="E110" s="136" t="s">
        <v>51</v>
      </c>
      <c r="F110" s="137"/>
      <c r="G110" s="137"/>
      <c r="H110" s="140" t="s">
        <v>196</v>
      </c>
    </row>
    <row r="111" spans="2:11" s="14" customFormat="1" ht="131.25" x14ac:dyDescent="0.25">
      <c r="B111" s="133" t="s">
        <v>149</v>
      </c>
      <c r="C111" s="164" t="s">
        <v>153</v>
      </c>
      <c r="D111" s="135" t="s">
        <v>142</v>
      </c>
      <c r="E111" s="136" t="s">
        <v>51</v>
      </c>
      <c r="F111" s="137"/>
      <c r="G111" s="137"/>
      <c r="H111" s="140"/>
    </row>
    <row r="112" spans="2:11" s="14" customFormat="1" ht="70.5" customHeight="1" x14ac:dyDescent="0.25">
      <c r="B112" s="133" t="s">
        <v>129</v>
      </c>
      <c r="C112" s="134" t="s">
        <v>130</v>
      </c>
      <c r="D112" s="135" t="s">
        <v>142</v>
      </c>
      <c r="E112" s="136" t="s">
        <v>51</v>
      </c>
      <c r="F112" s="137"/>
      <c r="G112" s="138"/>
      <c r="H112" s="140"/>
    </row>
    <row r="113" spans="2:12" s="14" customFormat="1" ht="157.5" customHeight="1" x14ac:dyDescent="0.25">
      <c r="B113" s="133" t="s">
        <v>129</v>
      </c>
      <c r="C113" s="128" t="s">
        <v>274</v>
      </c>
      <c r="D113" s="135" t="s">
        <v>135</v>
      </c>
      <c r="E113" s="136" t="s">
        <v>136</v>
      </c>
      <c r="F113" s="137"/>
      <c r="G113" s="138"/>
      <c r="H113" s="140">
        <v>525</v>
      </c>
      <c r="L113" s="99"/>
    </row>
    <row r="114" spans="2:12" s="14" customFormat="1" ht="267" customHeight="1" x14ac:dyDescent="0.25">
      <c r="B114" s="133" t="s">
        <v>129</v>
      </c>
      <c r="C114" s="162" t="s">
        <v>148</v>
      </c>
      <c r="D114" s="135" t="s">
        <v>142</v>
      </c>
      <c r="E114" s="136" t="s">
        <v>51</v>
      </c>
      <c r="F114" s="192"/>
      <c r="G114" s="207"/>
      <c r="H114" s="193"/>
    </row>
    <row r="115" spans="2:12" s="14" customFormat="1" ht="29.25" customHeight="1" x14ac:dyDescent="0.25">
      <c r="B115" s="133" t="s">
        <v>160</v>
      </c>
      <c r="C115" s="185" t="s">
        <v>161</v>
      </c>
      <c r="D115" s="135"/>
      <c r="E115" s="136"/>
      <c r="F115" s="137"/>
      <c r="G115" s="138"/>
      <c r="H115" s="140" t="s">
        <v>163</v>
      </c>
    </row>
    <row r="116" spans="2:12" s="14" customFormat="1" ht="29.25" customHeight="1" x14ac:dyDescent="0.25">
      <c r="B116" s="133" t="s">
        <v>160</v>
      </c>
      <c r="C116" s="148" t="s">
        <v>162</v>
      </c>
      <c r="D116" s="135"/>
      <c r="E116" s="136"/>
      <c r="F116" s="137"/>
      <c r="G116" s="138"/>
      <c r="H116" s="140" t="s">
        <v>163</v>
      </c>
    </row>
    <row r="117" spans="2:12" s="14" customFormat="1" ht="18.75" x14ac:dyDescent="0.25">
      <c r="B117" s="204"/>
      <c r="C117" s="205" t="s">
        <v>68</v>
      </c>
      <c r="D117" s="204"/>
      <c r="E117" s="204"/>
      <c r="F117" s="131"/>
      <c r="G117" s="206"/>
      <c r="H117" s="132"/>
    </row>
    <row r="118" spans="2:12" s="14" customFormat="1" ht="37.5" x14ac:dyDescent="0.25">
      <c r="B118" s="130" t="s">
        <v>69</v>
      </c>
      <c r="C118" s="185" t="s">
        <v>261</v>
      </c>
      <c r="D118" s="130" t="s">
        <v>70</v>
      </c>
      <c r="E118" s="204" t="s">
        <v>51</v>
      </c>
      <c r="F118" s="131"/>
      <c r="G118" s="206"/>
      <c r="H118" s="132" t="s">
        <v>71</v>
      </c>
      <c r="I118" s="14" t="s">
        <v>72</v>
      </c>
    </row>
    <row r="119" spans="2:12" s="14" customFormat="1" ht="18.75" x14ac:dyDescent="0.25">
      <c r="B119" s="22"/>
      <c r="C119" s="190"/>
      <c r="D119" s="24"/>
      <c r="E119" s="24"/>
      <c r="F119" s="184"/>
      <c r="G119" s="184"/>
      <c r="H119" s="25"/>
    </row>
    <row r="120" spans="2:12" s="14" customFormat="1" ht="24.75" customHeight="1" x14ac:dyDescent="0.25">
      <c r="B120" s="22"/>
      <c r="C120" s="23"/>
      <c r="D120" s="24"/>
      <c r="E120" s="24"/>
      <c r="F120" s="184"/>
      <c r="G120" s="184"/>
      <c r="H120" s="25"/>
    </row>
    <row r="121" spans="2:12" s="34" customFormat="1" x14ac:dyDescent="0.2">
      <c r="B121" s="29"/>
      <c r="C121" s="30"/>
      <c r="D121" s="31"/>
      <c r="E121" s="31"/>
      <c r="F121" s="67"/>
      <c r="G121" s="67"/>
      <c r="H121" s="33"/>
    </row>
    <row r="122" spans="2:12" s="34" customFormat="1" ht="18.75" x14ac:dyDescent="0.3">
      <c r="B122" s="32"/>
      <c r="D122" s="32"/>
      <c r="E122" s="32"/>
      <c r="F122" s="67"/>
      <c r="G122" s="73" t="s">
        <v>13</v>
      </c>
      <c r="H122" s="36">
        <f>SUM(H16:H120)</f>
        <v>40943.46</v>
      </c>
    </row>
    <row r="123" spans="2:12" s="34" customFormat="1" ht="15.75" x14ac:dyDescent="0.25">
      <c r="B123" s="39" t="s">
        <v>43</v>
      </c>
      <c r="C123" s="39" t="s">
        <v>14</v>
      </c>
      <c r="D123" s="38"/>
      <c r="E123" s="35"/>
      <c r="F123" s="68"/>
      <c r="G123" s="67"/>
      <c r="H123" s="33"/>
    </row>
    <row r="124" spans="2:12" s="34" customFormat="1" ht="15.75" x14ac:dyDescent="0.25">
      <c r="B124" s="39"/>
      <c r="C124" s="39"/>
      <c r="D124" s="35"/>
      <c r="E124" s="35"/>
      <c r="F124" s="69"/>
      <c r="G124" s="73"/>
      <c r="H124" s="33"/>
    </row>
    <row r="125" spans="2:12" s="34" customFormat="1" ht="15.75" x14ac:dyDescent="0.25">
      <c r="B125" s="39" t="s">
        <v>15</v>
      </c>
      <c r="C125" s="39" t="s">
        <v>14</v>
      </c>
      <c r="D125" s="38"/>
      <c r="E125" s="35"/>
      <c r="F125" s="68"/>
      <c r="G125" s="67"/>
      <c r="H125" s="33"/>
    </row>
    <row r="126" spans="2:12" s="34" customFormat="1" ht="15.75" x14ac:dyDescent="0.25">
      <c r="B126" s="39"/>
      <c r="C126" s="37"/>
      <c r="D126" s="35"/>
      <c r="E126" s="35"/>
      <c r="F126" s="67"/>
      <c r="G126" s="67"/>
      <c r="H126" s="39"/>
    </row>
    <row r="127" spans="2:12" s="34" customFormat="1" ht="15.75" x14ac:dyDescent="0.25">
      <c r="B127" s="39" t="s">
        <v>44</v>
      </c>
      <c r="D127" s="35"/>
      <c r="E127" s="35"/>
      <c r="F127" s="67"/>
      <c r="G127" s="67"/>
      <c r="H127" s="33"/>
    </row>
    <row r="128" spans="2:12" ht="15.75" x14ac:dyDescent="0.25">
      <c r="B128" s="32"/>
      <c r="C128" s="34"/>
      <c r="D128" s="32"/>
      <c r="E128" s="32"/>
      <c r="F128" s="67"/>
      <c r="G128" s="67"/>
      <c r="H128" s="33"/>
    </row>
    <row r="129" spans="2:8" ht="15.75" x14ac:dyDescent="0.25">
      <c r="B129" s="32"/>
      <c r="C129" s="34"/>
      <c r="D129" s="32"/>
      <c r="E129" s="32"/>
      <c r="F129" s="67"/>
      <c r="G129" s="67"/>
      <c r="H129" s="33"/>
    </row>
  </sheetData>
  <sortState xmlns:xlrd2="http://schemas.microsoft.com/office/spreadsheetml/2017/richdata2" ref="C16:C79">
    <sortCondition ref="C79"/>
  </sortState>
  <customSheetViews>
    <customSheetView guid="{26FE7078-0398-4426-AF83-8A5AF3F4232D}">
      <selection activeCell="D8" sqref="D8"/>
      <pageMargins left="0.7" right="0.7" top="0.75" bottom="0.75" header="0.3" footer="0.3"/>
    </customSheetView>
    <customSheetView guid="{EF0F83D7-7255-463C-BAD8-00D44B99E347}" topLeftCell="A60">
      <selection activeCell="F75" sqref="F75"/>
      <pageMargins left="0.7" right="0.7" top="0.75" bottom="0.75" header="0.3" footer="0.3"/>
    </customSheetView>
    <customSheetView guid="{1D143CF9-D561-438B-9881-64C8826F55C9}">
      <selection activeCell="K16" sqref="K16"/>
      <pageMargins left="0.7" right="0.7" top="0.75" bottom="0.75" header="0.3" footer="0.3"/>
    </customSheetView>
  </customSheetViews>
  <mergeCells count="10">
    <mergeCell ref="B14:C14"/>
    <mergeCell ref="B8:C8"/>
    <mergeCell ref="B9:C9"/>
    <mergeCell ref="B10:C10"/>
    <mergeCell ref="D2:H5"/>
    <mergeCell ref="F6:G8"/>
    <mergeCell ref="B11:C11"/>
    <mergeCell ref="B12:C12"/>
    <mergeCell ref="B13:C13"/>
    <mergeCell ref="D9:H1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E855-D726-476E-8F86-DA850393F912}">
  <dimension ref="A1:D70"/>
  <sheetViews>
    <sheetView topLeftCell="A12" workbookViewId="0">
      <selection activeCell="D21" sqref="D21"/>
    </sheetView>
  </sheetViews>
  <sheetFormatPr defaultColWidth="9.140625" defaultRowHeight="17.25" x14ac:dyDescent="0.3"/>
  <cols>
    <col min="1" max="1" width="31.42578125" style="42" customWidth="1"/>
    <col min="2" max="2" width="27.28515625" style="42" customWidth="1"/>
    <col min="3" max="3" width="9.140625" style="42"/>
    <col min="4" max="4" width="39" style="42" customWidth="1"/>
    <col min="5" max="16384" width="9.140625" style="42"/>
  </cols>
  <sheetData>
    <row r="1" spans="1:4" ht="21.75" thickBot="1" x14ac:dyDescent="0.4">
      <c r="A1" s="878" t="str">
        <f>'DNU  Customer Option Cover Page'!C6</f>
        <v>Olsen Veranda Bay Model #2</v>
      </c>
      <c r="B1" s="879"/>
      <c r="C1" s="879"/>
      <c r="D1" s="879"/>
    </row>
    <row r="2" spans="1:4" ht="18" thickBot="1" x14ac:dyDescent="0.35">
      <c r="A2" s="886" t="str">
        <f>'DNU  Customer Option Cover Page'!C7</f>
        <v xml:space="preserve">183 Stillwater Drive, Flagler Beach </v>
      </c>
      <c r="B2" s="887"/>
      <c r="C2" s="887"/>
      <c r="D2" s="887"/>
    </row>
    <row r="4" spans="1:4" x14ac:dyDescent="0.3">
      <c r="A4" s="888" t="s">
        <v>18</v>
      </c>
      <c r="B4" s="888"/>
    </row>
    <row r="5" spans="1:4" ht="18" thickBot="1" x14ac:dyDescent="0.35">
      <c r="A5" s="118"/>
      <c r="B5" s="117"/>
    </row>
    <row r="6" spans="1:4" ht="18" thickBot="1" x14ac:dyDescent="0.35">
      <c r="A6" s="889" t="s">
        <v>108</v>
      </c>
      <c r="B6" s="890"/>
    </row>
    <row r="7" spans="1:4" x14ac:dyDescent="0.3">
      <c r="A7" s="115"/>
      <c r="B7" s="116"/>
    </row>
    <row r="8" spans="1:4" x14ac:dyDescent="0.3">
      <c r="A8" s="44" t="s">
        <v>601</v>
      </c>
      <c r="B8" s="45">
        <v>9100</v>
      </c>
    </row>
    <row r="9" spans="1:4" x14ac:dyDescent="0.3">
      <c r="A9" s="44"/>
      <c r="B9" s="45"/>
    </row>
    <row r="10" spans="1:4" x14ac:dyDescent="0.3">
      <c r="A10" s="46" t="s">
        <v>19</v>
      </c>
      <c r="B10" s="47">
        <f>SUM(B5:B9)</f>
        <v>9100</v>
      </c>
    </row>
    <row r="11" spans="1:4" ht="18" thickBot="1" x14ac:dyDescent="0.35"/>
    <row r="12" spans="1:4" ht="219" customHeight="1" thickBot="1" x14ac:dyDescent="0.35">
      <c r="A12" s="892" t="s">
        <v>219</v>
      </c>
      <c r="B12" s="893"/>
      <c r="C12" s="894"/>
    </row>
    <row r="13" spans="1:4" ht="18" thickBot="1" x14ac:dyDescent="0.35"/>
    <row r="14" spans="1:4" ht="18" thickTop="1" x14ac:dyDescent="0.3">
      <c r="A14" s="884" t="s">
        <v>612</v>
      </c>
      <c r="B14" s="885"/>
      <c r="C14" s="504"/>
    </row>
    <row r="15" spans="1:4" x14ac:dyDescent="0.3">
      <c r="A15" s="891" t="s">
        <v>609</v>
      </c>
      <c r="B15" s="883"/>
      <c r="C15" s="505"/>
    </row>
    <row r="16" spans="1:4" x14ac:dyDescent="0.3">
      <c r="A16" s="506" t="s">
        <v>603</v>
      </c>
      <c r="B16" s="111">
        <f>2021*8.58</f>
        <v>17340.18</v>
      </c>
      <c r="C16" s="505"/>
    </row>
    <row r="17" spans="1:4" x14ac:dyDescent="0.3">
      <c r="A17" s="506"/>
      <c r="B17" s="111"/>
      <c r="C17" s="505"/>
    </row>
    <row r="18" spans="1:4" x14ac:dyDescent="0.3">
      <c r="A18" s="507" t="s">
        <v>19</v>
      </c>
      <c r="B18" s="496">
        <f>SUM(B16:B17)</f>
        <v>17340.18</v>
      </c>
      <c r="C18" s="505"/>
    </row>
    <row r="19" spans="1:4" x14ac:dyDescent="0.3">
      <c r="A19" s="508" t="s">
        <v>18</v>
      </c>
      <c r="B19" s="497">
        <v>9100</v>
      </c>
      <c r="C19" s="505"/>
      <c r="D19" s="42" t="s">
        <v>785</v>
      </c>
    </row>
    <row r="20" spans="1:4" x14ac:dyDescent="0.3">
      <c r="A20" s="509" t="s">
        <v>447</v>
      </c>
      <c r="B20" s="500">
        <f>B18-B19</f>
        <v>8240.18</v>
      </c>
      <c r="C20" s="505"/>
    </row>
    <row r="21" spans="1:4" x14ac:dyDescent="0.3">
      <c r="A21" s="506"/>
      <c r="B21" s="111"/>
      <c r="C21" s="505"/>
    </row>
    <row r="22" spans="1:4" x14ac:dyDescent="0.3">
      <c r="A22" s="506" t="s">
        <v>10</v>
      </c>
      <c r="B22" s="42">
        <v>1400</v>
      </c>
      <c r="C22" s="505" t="s">
        <v>350</v>
      </c>
    </row>
    <row r="23" spans="1:4" x14ac:dyDescent="0.3">
      <c r="A23" s="506" t="s">
        <v>577</v>
      </c>
      <c r="B23" s="42">
        <v>2100</v>
      </c>
      <c r="C23" s="505" t="s">
        <v>350</v>
      </c>
    </row>
    <row r="24" spans="1:4" x14ac:dyDescent="0.3">
      <c r="A24" s="506" t="s">
        <v>447</v>
      </c>
      <c r="B24" s="42">
        <f>B23-B22</f>
        <v>700</v>
      </c>
      <c r="C24" s="505" t="s">
        <v>350</v>
      </c>
    </row>
    <row r="25" spans="1:4" x14ac:dyDescent="0.3">
      <c r="A25" s="510" t="s">
        <v>605</v>
      </c>
      <c r="B25" s="121">
        <f>700*10</f>
        <v>7000</v>
      </c>
      <c r="C25" s="505"/>
    </row>
    <row r="26" spans="1:4" x14ac:dyDescent="0.3">
      <c r="A26" s="506"/>
      <c r="C26" s="505"/>
    </row>
    <row r="27" spans="1:4" x14ac:dyDescent="0.3">
      <c r="A27" s="506" t="s">
        <v>607</v>
      </c>
      <c r="B27" s="245">
        <f>8.58-6.5</f>
        <v>2.08</v>
      </c>
      <c r="C27" s="505" t="s">
        <v>350</v>
      </c>
    </row>
    <row r="28" spans="1:4" x14ac:dyDescent="0.3">
      <c r="A28" s="506"/>
      <c r="C28" s="505"/>
    </row>
    <row r="29" spans="1:4" x14ac:dyDescent="0.3">
      <c r="A29" s="506">
        <v>2100</v>
      </c>
      <c r="B29" s="42" t="s">
        <v>604</v>
      </c>
      <c r="C29" s="505"/>
    </row>
    <row r="30" spans="1:4" x14ac:dyDescent="0.3">
      <c r="A30" s="511" t="s">
        <v>608</v>
      </c>
      <c r="B30" s="369">
        <f>2100*B27</f>
        <v>4368</v>
      </c>
      <c r="C30" s="505"/>
    </row>
    <row r="31" spans="1:4" x14ac:dyDescent="0.3">
      <c r="A31" s="506"/>
      <c r="C31" s="505"/>
    </row>
    <row r="32" spans="1:4" x14ac:dyDescent="0.3">
      <c r="A32" s="512" t="s">
        <v>613</v>
      </c>
      <c r="B32" s="262">
        <f>B30+B25-B20</f>
        <v>3127.8199999999997</v>
      </c>
      <c r="C32" s="505"/>
    </row>
    <row r="33" spans="1:3" ht="18" thickBot="1" x14ac:dyDescent="0.35">
      <c r="A33" s="513"/>
      <c r="B33" s="514"/>
      <c r="C33" s="515"/>
    </row>
    <row r="34" spans="1:3" ht="18.75" thickTop="1" thickBot="1" x14ac:dyDescent="0.35"/>
    <row r="35" spans="1:3" x14ac:dyDescent="0.3">
      <c r="A35" s="895" t="s">
        <v>610</v>
      </c>
      <c r="B35" s="896"/>
      <c r="C35" s="290"/>
    </row>
    <row r="36" spans="1:3" x14ac:dyDescent="0.3">
      <c r="A36" s="882" t="s">
        <v>602</v>
      </c>
      <c r="B36" s="883"/>
      <c r="C36" s="297"/>
    </row>
    <row r="37" spans="1:3" x14ac:dyDescent="0.3">
      <c r="A37" s="296" t="s">
        <v>603</v>
      </c>
      <c r="B37" s="111">
        <f>6.5*2021</f>
        <v>13136.5</v>
      </c>
      <c r="C37" s="297"/>
    </row>
    <row r="38" spans="1:3" x14ac:dyDescent="0.3">
      <c r="A38" s="296"/>
      <c r="B38" s="111"/>
      <c r="C38" s="297"/>
    </row>
    <row r="39" spans="1:3" x14ac:dyDescent="0.3">
      <c r="A39" s="495" t="s">
        <v>19</v>
      </c>
      <c r="B39" s="496">
        <f>SUM(B37:B38)</f>
        <v>13136.5</v>
      </c>
      <c r="C39" s="297"/>
    </row>
    <row r="40" spans="1:3" x14ac:dyDescent="0.3">
      <c r="A40" s="379" t="s">
        <v>18</v>
      </c>
      <c r="B40" s="497">
        <v>9100</v>
      </c>
      <c r="C40" s="297"/>
    </row>
    <row r="41" spans="1:3" x14ac:dyDescent="0.3">
      <c r="A41" s="499" t="s">
        <v>447</v>
      </c>
      <c r="B41" s="500">
        <f>B39-B40</f>
        <v>4036.5</v>
      </c>
      <c r="C41" s="297"/>
    </row>
    <row r="42" spans="1:3" x14ac:dyDescent="0.3">
      <c r="A42" s="296"/>
      <c r="B42" s="111"/>
      <c r="C42" s="297"/>
    </row>
    <row r="43" spans="1:3" x14ac:dyDescent="0.3">
      <c r="A43" s="296" t="s">
        <v>10</v>
      </c>
      <c r="B43" s="42">
        <v>1400</v>
      </c>
      <c r="C43" s="297" t="s">
        <v>350</v>
      </c>
    </row>
    <row r="44" spans="1:3" x14ac:dyDescent="0.3">
      <c r="A44" s="296" t="s">
        <v>577</v>
      </c>
      <c r="B44" s="42">
        <v>2100</v>
      </c>
      <c r="C44" s="297" t="s">
        <v>350</v>
      </c>
    </row>
    <row r="45" spans="1:3" x14ac:dyDescent="0.3">
      <c r="A45" s="296" t="s">
        <v>447</v>
      </c>
      <c r="B45" s="42">
        <f>B44-B43</f>
        <v>700</v>
      </c>
      <c r="C45" s="297" t="s">
        <v>350</v>
      </c>
    </row>
    <row r="46" spans="1:3" x14ac:dyDescent="0.3">
      <c r="A46" s="498" t="s">
        <v>605</v>
      </c>
      <c r="B46" s="121">
        <f>700*10</f>
        <v>7000</v>
      </c>
      <c r="C46" s="297"/>
    </row>
    <row r="47" spans="1:3" x14ac:dyDescent="0.3">
      <c r="A47" s="296"/>
      <c r="C47" s="297"/>
    </row>
    <row r="48" spans="1:3" x14ac:dyDescent="0.3">
      <c r="A48" s="395" t="s">
        <v>613</v>
      </c>
      <c r="B48" s="501">
        <f>B46-B41</f>
        <v>2963.5</v>
      </c>
      <c r="C48" s="297"/>
    </row>
    <row r="49" spans="1:3" ht="18" thickBot="1" x14ac:dyDescent="0.35">
      <c r="A49" s="502"/>
      <c r="B49" s="503"/>
      <c r="C49" s="293"/>
    </row>
    <row r="50" spans="1:3" ht="18" thickBot="1" x14ac:dyDescent="0.35"/>
    <row r="51" spans="1:3" x14ac:dyDescent="0.3">
      <c r="A51" s="895" t="s">
        <v>611</v>
      </c>
      <c r="B51" s="896"/>
      <c r="C51" s="290"/>
    </row>
    <row r="52" spans="1:3" x14ac:dyDescent="0.3">
      <c r="A52" s="882" t="s">
        <v>606</v>
      </c>
      <c r="B52" s="883"/>
      <c r="C52" s="297"/>
    </row>
    <row r="53" spans="1:3" x14ac:dyDescent="0.3">
      <c r="A53" s="296" t="s">
        <v>603</v>
      </c>
      <c r="B53" s="111">
        <f>2021*9.14</f>
        <v>18471.940000000002</v>
      </c>
      <c r="C53" s="297"/>
    </row>
    <row r="54" spans="1:3" x14ac:dyDescent="0.3">
      <c r="A54" s="296"/>
      <c r="B54" s="111"/>
      <c r="C54" s="297"/>
    </row>
    <row r="55" spans="1:3" x14ac:dyDescent="0.3">
      <c r="A55" s="495" t="s">
        <v>19</v>
      </c>
      <c r="B55" s="496">
        <f>SUM(B53:B54)</f>
        <v>18471.940000000002</v>
      </c>
      <c r="C55" s="297"/>
    </row>
    <row r="56" spans="1:3" x14ac:dyDescent="0.3">
      <c r="A56" s="379" t="s">
        <v>18</v>
      </c>
      <c r="B56" s="497">
        <v>9100</v>
      </c>
      <c r="C56" s="297"/>
    </row>
    <row r="57" spans="1:3" x14ac:dyDescent="0.3">
      <c r="A57" s="499" t="s">
        <v>447</v>
      </c>
      <c r="B57" s="500">
        <f>B55-B56</f>
        <v>9371.9400000000023</v>
      </c>
      <c r="C57" s="297"/>
    </row>
    <row r="58" spans="1:3" x14ac:dyDescent="0.3">
      <c r="A58" s="296"/>
      <c r="B58" s="111"/>
      <c r="C58" s="297"/>
    </row>
    <row r="59" spans="1:3" x14ac:dyDescent="0.3">
      <c r="A59" s="296" t="s">
        <v>10</v>
      </c>
      <c r="B59" s="42">
        <v>1400</v>
      </c>
      <c r="C59" s="297" t="s">
        <v>350</v>
      </c>
    </row>
    <row r="60" spans="1:3" x14ac:dyDescent="0.3">
      <c r="A60" s="296" t="s">
        <v>577</v>
      </c>
      <c r="B60" s="42">
        <v>2100</v>
      </c>
      <c r="C60" s="297" t="s">
        <v>350</v>
      </c>
    </row>
    <row r="61" spans="1:3" x14ac:dyDescent="0.3">
      <c r="A61" s="296" t="s">
        <v>447</v>
      </c>
      <c r="B61" s="42">
        <f>B60-B59</f>
        <v>700</v>
      </c>
      <c r="C61" s="297" t="s">
        <v>350</v>
      </c>
    </row>
    <row r="62" spans="1:3" x14ac:dyDescent="0.3">
      <c r="A62" s="498" t="s">
        <v>605</v>
      </c>
      <c r="B62" s="121">
        <f>700*10</f>
        <v>7000</v>
      </c>
      <c r="C62" s="297"/>
    </row>
    <row r="63" spans="1:3" x14ac:dyDescent="0.3">
      <c r="A63" s="296"/>
      <c r="C63" s="297"/>
    </row>
    <row r="64" spans="1:3" x14ac:dyDescent="0.3">
      <c r="A64" s="296" t="s">
        <v>607</v>
      </c>
      <c r="B64" s="245">
        <f>9.15-6.5</f>
        <v>2.6500000000000004</v>
      </c>
      <c r="C64" s="297" t="s">
        <v>350</v>
      </c>
    </row>
    <row r="65" spans="1:3" x14ac:dyDescent="0.3">
      <c r="A65" s="296"/>
      <c r="C65" s="297"/>
    </row>
    <row r="66" spans="1:3" x14ac:dyDescent="0.3">
      <c r="A66" s="296">
        <v>2100</v>
      </c>
      <c r="B66" s="42" t="s">
        <v>604</v>
      </c>
      <c r="C66" s="297"/>
    </row>
    <row r="67" spans="1:3" x14ac:dyDescent="0.3">
      <c r="A67" s="410" t="s">
        <v>608</v>
      </c>
      <c r="B67" s="369">
        <f>2100*B64</f>
        <v>5565.0000000000009</v>
      </c>
      <c r="C67" s="297"/>
    </row>
    <row r="68" spans="1:3" x14ac:dyDescent="0.3">
      <c r="A68" s="296"/>
      <c r="C68" s="297"/>
    </row>
    <row r="69" spans="1:3" x14ac:dyDescent="0.3">
      <c r="A69" s="395" t="s">
        <v>613</v>
      </c>
      <c r="B69" s="262">
        <f>B67+B62-B57</f>
        <v>3193.0599999999977</v>
      </c>
      <c r="C69" s="297"/>
    </row>
    <row r="70" spans="1:3" ht="18" thickBot="1" x14ac:dyDescent="0.35">
      <c r="A70" s="389"/>
      <c r="B70" s="292"/>
      <c r="C70" s="293"/>
    </row>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activeCell="A2" sqref="A2:XFD2"/>
      <pageMargins left="0.7" right="0.7" top="0.75" bottom="0.75" header="0.3" footer="0.3"/>
    </customSheetView>
  </customSheetViews>
  <mergeCells count="11">
    <mergeCell ref="A52:B52"/>
    <mergeCell ref="A14:B14"/>
    <mergeCell ref="A1:D1"/>
    <mergeCell ref="A2:D2"/>
    <mergeCell ref="A4:B4"/>
    <mergeCell ref="A6:B6"/>
    <mergeCell ref="A15:B15"/>
    <mergeCell ref="A12:C12"/>
    <mergeCell ref="A35:B35"/>
    <mergeCell ref="A36:B36"/>
    <mergeCell ref="A51:B5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D70A-A988-4CB2-A033-D6825218D3F3}">
  <sheetPr>
    <pageSetUpPr fitToPage="1"/>
  </sheetPr>
  <dimension ref="A1:J34"/>
  <sheetViews>
    <sheetView topLeftCell="A9" workbookViewId="0">
      <selection sqref="A1:J1"/>
    </sheetView>
  </sheetViews>
  <sheetFormatPr defaultColWidth="9.140625" defaultRowHeight="17.25" x14ac:dyDescent="0.3"/>
  <cols>
    <col min="1" max="1" width="27" style="42" customWidth="1"/>
    <col min="2" max="2" width="16.7109375" style="42" customWidth="1"/>
    <col min="3" max="3" width="10.28515625" style="42" customWidth="1"/>
    <col min="4" max="4" width="41.28515625" style="42" customWidth="1"/>
    <col min="5" max="5" width="23" style="42" customWidth="1"/>
    <col min="6" max="6" width="31" style="42" customWidth="1"/>
    <col min="7" max="7" width="5.42578125" style="42" customWidth="1"/>
    <col min="8" max="8" width="29.28515625" style="42" customWidth="1"/>
    <col min="9" max="9" width="16.5703125" style="42" customWidth="1"/>
    <col min="10" max="10" width="6.5703125" style="42" customWidth="1"/>
    <col min="11" max="16384" width="9.140625" style="42"/>
  </cols>
  <sheetData>
    <row r="1" spans="1:10" ht="21.75" thickBot="1" x14ac:dyDescent="0.4">
      <c r="A1" s="878" t="str">
        <f>'DNU  Customer Option Cover Page'!C6</f>
        <v>Olsen Veranda Bay Model #2</v>
      </c>
      <c r="B1" s="879"/>
      <c r="C1" s="879"/>
      <c r="D1" s="879"/>
      <c r="E1" s="879"/>
      <c r="F1" s="879"/>
      <c r="G1" s="879"/>
      <c r="H1" s="879"/>
      <c r="I1" s="879"/>
      <c r="J1" s="881"/>
    </row>
    <row r="2" spans="1:10" ht="18" thickBot="1" x14ac:dyDescent="0.35">
      <c r="A2" s="897" t="str">
        <f>'DNU  Customer Option Cover Page'!C7</f>
        <v xml:space="preserve">183 Stillwater Drive, Flagler Beach </v>
      </c>
      <c r="B2" s="898"/>
      <c r="C2" s="898"/>
      <c r="D2" s="898"/>
      <c r="E2" s="898"/>
      <c r="F2" s="898"/>
      <c r="G2" s="898"/>
      <c r="H2" s="898"/>
      <c r="I2" s="898"/>
      <c r="J2" s="899"/>
    </row>
    <row r="3" spans="1:10" ht="18" thickBot="1" x14ac:dyDescent="0.35">
      <c r="A3" s="108"/>
      <c r="B3" s="108"/>
      <c r="C3" s="108"/>
      <c r="D3" s="108"/>
      <c r="E3" s="108"/>
      <c r="F3" s="108"/>
      <c r="G3" s="108"/>
      <c r="H3" s="108"/>
      <c r="I3" s="108"/>
      <c r="J3" s="108"/>
    </row>
    <row r="4" spans="1:10" ht="18" thickBot="1" x14ac:dyDescent="0.35">
      <c r="A4" s="108"/>
      <c r="B4" s="108"/>
      <c r="C4" s="108"/>
      <c r="D4" s="108"/>
      <c r="E4" s="108"/>
      <c r="G4" s="777"/>
      <c r="H4" s="778"/>
      <c r="I4" s="778"/>
      <c r="J4" s="852"/>
    </row>
    <row r="5" spans="1:10" x14ac:dyDescent="0.3">
      <c r="A5" s="906" t="s">
        <v>170</v>
      </c>
      <c r="B5" s="907"/>
      <c r="C5" s="108"/>
      <c r="D5" s="908" t="s">
        <v>894</v>
      </c>
      <c r="E5" s="909"/>
      <c r="F5" s="108"/>
      <c r="G5" s="850"/>
      <c r="H5" s="910" t="s">
        <v>895</v>
      </c>
      <c r="I5" s="911"/>
      <c r="J5" s="853"/>
    </row>
    <row r="6" spans="1:10" x14ac:dyDescent="0.3">
      <c r="A6" s="914" t="s">
        <v>392</v>
      </c>
      <c r="B6" s="915"/>
      <c r="C6" s="284"/>
      <c r="D6" s="904" t="s">
        <v>118</v>
      </c>
      <c r="E6" s="905"/>
      <c r="G6" s="821"/>
      <c r="H6" s="904" t="s">
        <v>118</v>
      </c>
      <c r="I6" s="905"/>
      <c r="J6" s="853"/>
    </row>
    <row r="7" spans="1:10" x14ac:dyDescent="0.3">
      <c r="A7" s="825" t="s">
        <v>393</v>
      </c>
      <c r="B7" s="826">
        <v>4050</v>
      </c>
      <c r="C7" s="216"/>
      <c r="D7" s="373"/>
      <c r="E7" s="374"/>
      <c r="G7" s="821"/>
      <c r="H7" s="373"/>
      <c r="I7" s="374"/>
      <c r="J7" s="853"/>
    </row>
    <row r="8" spans="1:10" x14ac:dyDescent="0.3">
      <c r="A8" s="827" t="s">
        <v>394</v>
      </c>
      <c r="B8" s="828">
        <v>2376</v>
      </c>
      <c r="C8" s="370"/>
      <c r="D8" s="375" t="s">
        <v>314</v>
      </c>
      <c r="E8" s="376">
        <v>8411</v>
      </c>
      <c r="G8" s="821"/>
      <c r="H8" s="375" t="s">
        <v>314</v>
      </c>
      <c r="I8" s="376">
        <v>8411</v>
      </c>
      <c r="J8" s="853"/>
    </row>
    <row r="9" spans="1:10" x14ac:dyDescent="0.3">
      <c r="A9" s="829" t="s">
        <v>395</v>
      </c>
      <c r="B9" s="830">
        <f>450+450</f>
        <v>900</v>
      </c>
      <c r="C9" s="370"/>
      <c r="D9" s="737" t="s">
        <v>891</v>
      </c>
      <c r="E9" s="378">
        <v>852.5</v>
      </c>
      <c r="G9" s="821"/>
      <c r="H9" s="737" t="s">
        <v>891</v>
      </c>
      <c r="I9" s="378">
        <v>852.5</v>
      </c>
      <c r="J9" s="853"/>
    </row>
    <row r="10" spans="1:10" x14ac:dyDescent="0.3">
      <c r="A10" s="831" t="s">
        <v>19</v>
      </c>
      <c r="B10" s="832">
        <f>SUM(B7:B9)</f>
        <v>7326</v>
      </c>
      <c r="C10" s="371"/>
      <c r="D10" s="377" t="s">
        <v>402</v>
      </c>
      <c r="E10" s="378">
        <v>1350</v>
      </c>
      <c r="G10" s="821"/>
      <c r="H10" s="377" t="s">
        <v>402</v>
      </c>
      <c r="I10" s="378">
        <v>1350</v>
      </c>
      <c r="J10" s="853"/>
    </row>
    <row r="11" spans="1:10" x14ac:dyDescent="0.3">
      <c r="A11" s="833"/>
      <c r="B11" s="834"/>
      <c r="C11" s="371"/>
      <c r="D11" s="44"/>
      <c r="E11" s="735"/>
      <c r="G11" s="821"/>
      <c r="H11" s="44"/>
      <c r="I11" s="735"/>
      <c r="J11" s="853"/>
    </row>
    <row r="12" spans="1:10" x14ac:dyDescent="0.3">
      <c r="A12" s="714"/>
      <c r="B12" s="835"/>
      <c r="D12" s="379" t="s">
        <v>19</v>
      </c>
      <c r="E12" s="380">
        <f>SUM(E7:E11)</f>
        <v>10613.5</v>
      </c>
      <c r="G12" s="821"/>
      <c r="H12" s="379" t="s">
        <v>19</v>
      </c>
      <c r="I12" s="380">
        <f>SUM(I7:I11)</f>
        <v>10613.5</v>
      </c>
      <c r="J12" s="853"/>
    </row>
    <row r="13" spans="1:10" x14ac:dyDescent="0.3">
      <c r="A13" s="916" t="s">
        <v>848</v>
      </c>
      <c r="B13" s="917"/>
      <c r="C13" s="284"/>
      <c r="D13" s="296"/>
      <c r="E13" s="297"/>
      <c r="G13" s="821"/>
      <c r="H13" s="296"/>
      <c r="I13" s="297"/>
      <c r="J13" s="853"/>
    </row>
    <row r="14" spans="1:10" x14ac:dyDescent="0.3">
      <c r="A14" s="836" t="s">
        <v>396</v>
      </c>
      <c r="B14" s="837">
        <v>3757.5</v>
      </c>
      <c r="C14" s="216"/>
      <c r="D14" s="912" t="s">
        <v>848</v>
      </c>
      <c r="E14" s="913"/>
      <c r="G14" s="821"/>
      <c r="H14" s="900" t="s">
        <v>122</v>
      </c>
      <c r="I14" s="901"/>
      <c r="J14" s="853"/>
    </row>
    <row r="15" spans="1:10" x14ac:dyDescent="0.3">
      <c r="A15" s="836" t="s">
        <v>389</v>
      </c>
      <c r="B15" s="837">
        <v>150</v>
      </c>
      <c r="C15" s="216"/>
      <c r="D15" s="298" t="s">
        <v>893</v>
      </c>
      <c r="E15" s="381">
        <v>2125.1999999999998</v>
      </c>
      <c r="G15" s="821"/>
      <c r="H15" s="298" t="s">
        <v>896</v>
      </c>
      <c r="I15" s="381">
        <f>46*66</f>
        <v>3036</v>
      </c>
      <c r="J15" s="853"/>
    </row>
    <row r="16" spans="1:10" x14ac:dyDescent="0.3">
      <c r="A16" s="836" t="s">
        <v>361</v>
      </c>
      <c r="B16" s="838">
        <v>230</v>
      </c>
      <c r="C16" s="216"/>
      <c r="D16" s="819" t="s">
        <v>897</v>
      </c>
      <c r="E16" s="820">
        <v>1228.7</v>
      </c>
      <c r="G16" s="821"/>
      <c r="H16" s="819" t="s">
        <v>897</v>
      </c>
      <c r="I16" s="820">
        <f>26.6*66</f>
        <v>1755.6000000000001</v>
      </c>
      <c r="J16" s="853"/>
    </row>
    <row r="17" spans="1:10" x14ac:dyDescent="0.3">
      <c r="A17" s="839" t="s">
        <v>19</v>
      </c>
      <c r="B17" s="840"/>
      <c r="C17" s="371"/>
      <c r="D17" s="298" t="s">
        <v>361</v>
      </c>
      <c r="E17" s="382">
        <v>176</v>
      </c>
      <c r="G17" s="821"/>
      <c r="H17" s="298" t="s">
        <v>361</v>
      </c>
      <c r="I17" s="382">
        <v>230</v>
      </c>
      <c r="J17" s="853"/>
    </row>
    <row r="18" spans="1:10" x14ac:dyDescent="0.3">
      <c r="A18" s="714"/>
      <c r="B18" s="835"/>
      <c r="D18" s="383" t="s">
        <v>19</v>
      </c>
      <c r="E18" s="384">
        <f>SUM(E15:E17)</f>
        <v>3529.8999999999996</v>
      </c>
      <c r="G18" s="821"/>
      <c r="H18" s="822" t="s">
        <v>19</v>
      </c>
      <c r="I18" s="823">
        <f>SUM(I15:I17)</f>
        <v>5021.6000000000004</v>
      </c>
      <c r="J18" s="853"/>
    </row>
    <row r="19" spans="1:10" x14ac:dyDescent="0.3">
      <c r="A19" s="918" t="s">
        <v>360</v>
      </c>
      <c r="B19" s="919"/>
      <c r="C19" s="284"/>
      <c r="D19" s="296"/>
      <c r="E19" s="297"/>
      <c r="G19" s="821"/>
      <c r="H19" s="296"/>
      <c r="I19" s="297"/>
      <c r="J19" s="853"/>
    </row>
    <row r="20" spans="1:10" x14ac:dyDescent="0.3">
      <c r="A20" s="836" t="s">
        <v>397</v>
      </c>
      <c r="B20" s="841">
        <v>2096</v>
      </c>
      <c r="D20" s="902" t="s">
        <v>360</v>
      </c>
      <c r="E20" s="903"/>
      <c r="G20" s="821"/>
      <c r="H20" s="902" t="s">
        <v>360</v>
      </c>
      <c r="I20" s="903"/>
      <c r="J20" s="853"/>
    </row>
    <row r="21" spans="1:10" x14ac:dyDescent="0.3">
      <c r="A21" s="836" t="s">
        <v>398</v>
      </c>
      <c r="B21" s="841">
        <v>878</v>
      </c>
      <c r="C21" s="111"/>
      <c r="D21" s="298" t="s">
        <v>397</v>
      </c>
      <c r="E21" s="385">
        <v>2096</v>
      </c>
      <c r="G21" s="821"/>
      <c r="H21" s="298" t="s">
        <v>397</v>
      </c>
      <c r="I21" s="385">
        <v>2096</v>
      </c>
      <c r="J21" s="853"/>
    </row>
    <row r="22" spans="1:10" x14ac:dyDescent="0.3">
      <c r="A22" s="836" t="s">
        <v>399</v>
      </c>
      <c r="B22" s="841">
        <v>1440</v>
      </c>
      <c r="C22" s="111"/>
      <c r="D22" s="298"/>
      <c r="E22" s="385"/>
      <c r="G22" s="821"/>
      <c r="H22" s="298"/>
      <c r="I22" s="385"/>
      <c r="J22" s="853"/>
    </row>
    <row r="23" spans="1:10" x14ac:dyDescent="0.3">
      <c r="A23" s="836" t="s">
        <v>400</v>
      </c>
      <c r="B23" s="841">
        <v>580</v>
      </c>
      <c r="C23" s="111"/>
      <c r="D23" s="298"/>
      <c r="E23" s="385"/>
      <c r="G23" s="821"/>
      <c r="H23" s="298"/>
      <c r="I23" s="385"/>
      <c r="J23" s="853"/>
    </row>
    <row r="24" spans="1:10" x14ac:dyDescent="0.3">
      <c r="A24" s="836" t="s">
        <v>401</v>
      </c>
      <c r="B24" s="841">
        <v>300</v>
      </c>
      <c r="C24" s="111"/>
      <c r="D24" s="298"/>
      <c r="E24" s="385"/>
      <c r="G24" s="821"/>
      <c r="H24" s="298"/>
      <c r="I24" s="385"/>
      <c r="J24" s="853"/>
    </row>
    <row r="25" spans="1:10" x14ac:dyDescent="0.3">
      <c r="A25" s="836" t="s">
        <v>390</v>
      </c>
      <c r="B25" s="841">
        <f>SUM(B20:B24)*0.07</f>
        <v>370.58000000000004</v>
      </c>
      <c r="C25" s="111"/>
      <c r="D25" s="298"/>
      <c r="E25" s="385"/>
      <c r="G25" s="821"/>
      <c r="H25" s="298"/>
      <c r="I25" s="385"/>
      <c r="J25" s="853"/>
    </row>
    <row r="26" spans="1:10" x14ac:dyDescent="0.3">
      <c r="A26" s="842" t="s">
        <v>19</v>
      </c>
      <c r="B26" s="843">
        <f>SUM(B21:B25)</f>
        <v>3568.58</v>
      </c>
      <c r="C26" s="372"/>
      <c r="D26" s="298" t="s">
        <v>390</v>
      </c>
      <c r="E26" s="385">
        <f>SUM(E21:E25)*0.07</f>
        <v>146.72000000000003</v>
      </c>
      <c r="G26" s="821"/>
      <c r="H26" s="298" t="s">
        <v>390</v>
      </c>
      <c r="I26" s="385">
        <f>SUM(I21:I25)*0.07</f>
        <v>146.72000000000003</v>
      </c>
      <c r="J26" s="853"/>
    </row>
    <row r="27" spans="1:10" x14ac:dyDescent="0.3">
      <c r="A27" s="714"/>
      <c r="B27" s="835"/>
      <c r="D27" s="386" t="s">
        <v>19</v>
      </c>
      <c r="E27" s="387">
        <f>SUM(E21:E26)</f>
        <v>2242.7200000000003</v>
      </c>
      <c r="G27" s="821"/>
      <c r="H27" s="386" t="s">
        <v>19</v>
      </c>
      <c r="I27" s="387">
        <f>SUM(I21:I26)</f>
        <v>2242.7200000000003</v>
      </c>
      <c r="J27" s="853"/>
    </row>
    <row r="28" spans="1:10" x14ac:dyDescent="0.3">
      <c r="A28" s="714" t="s">
        <v>388</v>
      </c>
      <c r="B28" s="715">
        <f>400.88*1.07</f>
        <v>428.94159999999999</v>
      </c>
      <c r="C28" s="111"/>
      <c r="D28" s="296"/>
      <c r="E28" s="297"/>
      <c r="G28" s="821"/>
      <c r="H28" s="296"/>
      <c r="I28" s="297"/>
      <c r="J28" s="853"/>
    </row>
    <row r="29" spans="1:10" x14ac:dyDescent="0.3">
      <c r="A29" s="714"/>
      <c r="B29" s="835"/>
      <c r="D29" s="392" t="s">
        <v>388</v>
      </c>
      <c r="E29" s="405">
        <v>442</v>
      </c>
      <c r="G29" s="821"/>
      <c r="H29" s="296" t="s">
        <v>388</v>
      </c>
      <c r="I29" s="388">
        <v>442.43</v>
      </c>
      <c r="J29" s="853"/>
    </row>
    <row r="30" spans="1:10" x14ac:dyDescent="0.3">
      <c r="A30" s="714" t="s">
        <v>344</v>
      </c>
      <c r="B30" s="715">
        <f>B28+B26+B17+B10</f>
        <v>11323.5216</v>
      </c>
      <c r="C30" s="111"/>
      <c r="D30" s="296"/>
      <c r="E30" s="388"/>
      <c r="G30" s="821"/>
      <c r="H30" s="296"/>
      <c r="I30" s="388"/>
      <c r="J30" s="853"/>
    </row>
    <row r="31" spans="1:10" ht="35.25" thickBot="1" x14ac:dyDescent="0.35">
      <c r="A31" s="844"/>
      <c r="B31" s="845"/>
      <c r="D31" s="394" t="s">
        <v>344</v>
      </c>
      <c r="E31" s="848">
        <f>SUM(E12+E18+E27+E29)</f>
        <v>16828.12</v>
      </c>
      <c r="F31" s="849" t="s">
        <v>900</v>
      </c>
      <c r="G31" s="847"/>
      <c r="H31" s="394" t="s">
        <v>344</v>
      </c>
      <c r="I31" s="388">
        <f>SUM(I12+I18+I27+I29)</f>
        <v>18320.25</v>
      </c>
      <c r="J31" s="853"/>
    </row>
    <row r="32" spans="1:10" ht="17.25" customHeight="1" thickBot="1" x14ac:dyDescent="0.35">
      <c r="D32" s="824" t="s">
        <v>898</v>
      </c>
      <c r="E32" s="731">
        <f>SUM(E31/0.65)</f>
        <v>25889.415384615382</v>
      </c>
      <c r="F32" s="846"/>
      <c r="G32" s="847"/>
      <c r="H32" s="824" t="s">
        <v>899</v>
      </c>
      <c r="I32" s="731">
        <f>SUM(I31/0.65)</f>
        <v>28185</v>
      </c>
      <c r="J32" s="853"/>
    </row>
    <row r="33" spans="7:10" ht="18" thickBot="1" x14ac:dyDescent="0.35">
      <c r="G33" s="780"/>
      <c r="H33" s="781"/>
      <c r="I33" s="781"/>
      <c r="J33" s="851"/>
    </row>
    <row r="34" spans="7:10" ht="33" customHeight="1" x14ac:dyDescent="0.3"/>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activeCell="A2" sqref="A2:XFD2"/>
      <pageMargins left="0.7" right="0.7" top="0.75" bottom="0.75" header="0.3" footer="0.3"/>
    </customSheetView>
  </customSheetViews>
  <mergeCells count="14">
    <mergeCell ref="A2:J2"/>
    <mergeCell ref="A1:J1"/>
    <mergeCell ref="H14:I14"/>
    <mergeCell ref="H20:I20"/>
    <mergeCell ref="H6:I6"/>
    <mergeCell ref="A5:B5"/>
    <mergeCell ref="D5:E5"/>
    <mergeCell ref="H5:I5"/>
    <mergeCell ref="D6:E6"/>
    <mergeCell ref="D14:E14"/>
    <mergeCell ref="D20:E20"/>
    <mergeCell ref="A6:B6"/>
    <mergeCell ref="A13:B13"/>
    <mergeCell ref="A19:B19"/>
  </mergeCells>
  <pageMargins left="0.7" right="0.7" top="0.75" bottom="0.75" header="0.3" footer="0.3"/>
  <pageSetup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2286-FB46-49DA-BCCC-B6A8C3663AD7}">
  <sheetPr>
    <pageSetUpPr fitToPage="1"/>
  </sheetPr>
  <dimension ref="A1:I53"/>
  <sheetViews>
    <sheetView topLeftCell="A28" workbookViewId="0">
      <selection activeCell="A28" sqref="A28:B28"/>
    </sheetView>
  </sheetViews>
  <sheetFormatPr defaultColWidth="9.140625" defaultRowHeight="17.25" x14ac:dyDescent="0.3"/>
  <cols>
    <col min="1" max="1" width="36.140625" style="42" customWidth="1"/>
    <col min="2" max="2" width="14.140625" style="42" bestFit="1" customWidth="1"/>
    <col min="3" max="3" width="12.5703125" style="42" bestFit="1" customWidth="1"/>
    <col min="4" max="4" width="13" style="42" customWidth="1"/>
    <col min="5" max="16384" width="9.140625" style="42"/>
  </cols>
  <sheetData>
    <row r="1" spans="1:9" ht="21.75" thickBot="1" x14ac:dyDescent="0.4">
      <c r="A1" s="878" t="str">
        <f>'DNU  Customer Option Cover Page'!C6</f>
        <v>Olsen Veranda Bay Model #2</v>
      </c>
      <c r="B1" s="879"/>
      <c r="C1" s="879"/>
      <c r="D1" s="879"/>
      <c r="E1" s="879"/>
      <c r="F1" s="879"/>
      <c r="G1" s="879"/>
      <c r="H1" s="879"/>
      <c r="I1" s="881"/>
    </row>
    <row r="2" spans="1:9" ht="18" thickBot="1" x14ac:dyDescent="0.35">
      <c r="A2" s="886" t="str">
        <f>'DNU  Customer Option Cover Page'!C7</f>
        <v xml:space="preserve">183 Stillwater Drive, Flagler Beach </v>
      </c>
      <c r="B2" s="887"/>
      <c r="C2" s="887"/>
      <c r="D2" s="887"/>
      <c r="E2" s="887"/>
      <c r="F2" s="887"/>
      <c r="G2" s="887"/>
      <c r="H2" s="887"/>
      <c r="I2" s="927"/>
    </row>
    <row r="3" spans="1:9" ht="18" thickBot="1" x14ac:dyDescent="0.35"/>
    <row r="4" spans="1:9" ht="409.5" customHeight="1" x14ac:dyDescent="0.3">
      <c r="A4" s="921" t="s">
        <v>378</v>
      </c>
      <c r="B4" s="922"/>
      <c r="C4" s="922"/>
      <c r="D4" s="922"/>
      <c r="E4" s="922"/>
      <c r="F4" s="922"/>
      <c r="G4" s="922"/>
      <c r="H4" s="923"/>
    </row>
    <row r="5" spans="1:9" x14ac:dyDescent="0.3">
      <c r="A5" s="296"/>
      <c r="H5" s="297"/>
    </row>
    <row r="6" spans="1:9" x14ac:dyDescent="0.3">
      <c r="A6" s="920" t="s">
        <v>352</v>
      </c>
      <c r="B6" s="888"/>
      <c r="H6" s="297"/>
    </row>
    <row r="7" spans="1:9" x14ac:dyDescent="0.3">
      <c r="A7" s="298" t="s">
        <v>53</v>
      </c>
      <c r="B7" s="287">
        <v>64</v>
      </c>
      <c r="C7" s="42" t="s">
        <v>350</v>
      </c>
      <c r="H7" s="297"/>
    </row>
    <row r="8" spans="1:9" x14ac:dyDescent="0.3">
      <c r="A8" s="298" t="s">
        <v>56</v>
      </c>
      <c r="B8" s="287">
        <v>12</v>
      </c>
      <c r="C8" s="42" t="s">
        <v>351</v>
      </c>
      <c r="H8" s="297"/>
    </row>
    <row r="9" spans="1:9" x14ac:dyDescent="0.3">
      <c r="A9" s="298" t="s">
        <v>54</v>
      </c>
      <c r="B9" s="287">
        <v>175</v>
      </c>
      <c r="C9" s="42" t="s">
        <v>350</v>
      </c>
      <c r="H9" s="297"/>
    </row>
    <row r="10" spans="1:9" x14ac:dyDescent="0.3">
      <c r="A10" s="298" t="s">
        <v>58</v>
      </c>
      <c r="B10" s="287">
        <v>124</v>
      </c>
      <c r="C10" s="42" t="s">
        <v>351</v>
      </c>
      <c r="H10" s="297"/>
    </row>
    <row r="11" spans="1:9" x14ac:dyDescent="0.3">
      <c r="A11" s="298" t="s">
        <v>55</v>
      </c>
      <c r="B11" s="287">
        <v>46</v>
      </c>
      <c r="C11" s="42" t="s">
        <v>350</v>
      </c>
      <c r="H11" s="297"/>
    </row>
    <row r="12" spans="1:9" x14ac:dyDescent="0.3">
      <c r="A12" s="298" t="s">
        <v>57</v>
      </c>
      <c r="B12" s="287">
        <v>8</v>
      </c>
      <c r="C12" s="42" t="s">
        <v>351</v>
      </c>
      <c r="H12" s="297"/>
    </row>
    <row r="13" spans="1:9" x14ac:dyDescent="0.3">
      <c r="A13" s="296"/>
      <c r="H13" s="297"/>
    </row>
    <row r="14" spans="1:9" x14ac:dyDescent="0.3">
      <c r="A14" s="920" t="s">
        <v>353</v>
      </c>
      <c r="B14" s="888"/>
      <c r="H14" s="297"/>
    </row>
    <row r="15" spans="1:9" x14ac:dyDescent="0.3">
      <c r="A15" s="298" t="s">
        <v>59</v>
      </c>
      <c r="B15" s="287">
        <v>80</v>
      </c>
      <c r="C15" s="42" t="s">
        <v>350</v>
      </c>
      <c r="H15" s="297"/>
    </row>
    <row r="16" spans="1:9" x14ac:dyDescent="0.3">
      <c r="A16" s="298" t="s">
        <v>60</v>
      </c>
      <c r="B16" s="287">
        <v>54</v>
      </c>
      <c r="C16" s="42" t="s">
        <v>351</v>
      </c>
      <c r="H16" s="297"/>
    </row>
    <row r="17" spans="1:8" x14ac:dyDescent="0.3">
      <c r="A17" s="296"/>
      <c r="H17" s="297"/>
    </row>
    <row r="18" spans="1:8" x14ac:dyDescent="0.3">
      <c r="A18" s="296" t="s">
        <v>354</v>
      </c>
      <c r="B18" s="42">
        <f>B7+B9+B11+B15</f>
        <v>365</v>
      </c>
      <c r="C18" s="42" t="s">
        <v>350</v>
      </c>
      <c r="H18" s="297"/>
    </row>
    <row r="19" spans="1:8" x14ac:dyDescent="0.3">
      <c r="A19" s="296" t="s">
        <v>355</v>
      </c>
      <c r="B19" s="42">
        <f>B8+B10+B12+B16</f>
        <v>198</v>
      </c>
      <c r="C19" s="42" t="s">
        <v>351</v>
      </c>
      <c r="H19" s="297"/>
    </row>
    <row r="20" spans="1:8" ht="18" thickBot="1" x14ac:dyDescent="0.35">
      <c r="A20" s="296"/>
      <c r="H20" s="297"/>
    </row>
    <row r="21" spans="1:8" x14ac:dyDescent="0.3">
      <c r="A21" s="296"/>
      <c r="B21" s="111"/>
      <c r="D21" s="288" t="s">
        <v>340</v>
      </c>
      <c r="E21" s="289"/>
      <c r="F21" s="289" t="s">
        <v>356</v>
      </c>
      <c r="G21" s="290"/>
      <c r="H21" s="297"/>
    </row>
    <row r="22" spans="1:8" ht="18" thickBot="1" x14ac:dyDescent="0.35">
      <c r="A22" s="296" t="s">
        <v>358</v>
      </c>
      <c r="B22" s="111">
        <f>19.5*390</f>
        <v>7605</v>
      </c>
      <c r="D22" s="291">
        <f>11.5*390</f>
        <v>4485</v>
      </c>
      <c r="E22" s="292"/>
      <c r="F22" s="292"/>
      <c r="G22" s="293"/>
      <c r="H22" s="297"/>
    </row>
    <row r="23" spans="1:8" x14ac:dyDescent="0.3">
      <c r="A23" s="296" t="s">
        <v>341</v>
      </c>
      <c r="B23" s="111"/>
      <c r="H23" s="297"/>
    </row>
    <row r="24" spans="1:8" x14ac:dyDescent="0.3">
      <c r="A24" s="296"/>
      <c r="H24" s="297"/>
    </row>
    <row r="25" spans="1:8" ht="18" thickBot="1" x14ac:dyDescent="0.35">
      <c r="A25" s="299" t="s">
        <v>357</v>
      </c>
      <c r="B25" s="300">
        <f>B22/0.65</f>
        <v>11700</v>
      </c>
      <c r="C25" s="292"/>
      <c r="D25" s="292"/>
      <c r="E25" s="292"/>
      <c r="F25" s="292"/>
      <c r="G25" s="292"/>
      <c r="H25" s="293"/>
    </row>
    <row r="26" spans="1:8" ht="18" thickBot="1" x14ac:dyDescent="0.35"/>
    <row r="27" spans="1:8" ht="265.5" customHeight="1" thickBot="1" x14ac:dyDescent="0.35">
      <c r="A27" s="924" t="s">
        <v>371</v>
      </c>
      <c r="B27" s="925"/>
      <c r="C27" s="925"/>
      <c r="D27" s="925"/>
      <c r="E27" s="925"/>
      <c r="F27" s="925"/>
      <c r="G27" s="925"/>
      <c r="H27" s="926"/>
    </row>
    <row r="28" spans="1:8" x14ac:dyDescent="0.3">
      <c r="A28" s="920" t="s">
        <v>372</v>
      </c>
      <c r="B28" s="888"/>
      <c r="H28" s="297"/>
    </row>
    <row r="29" spans="1:8" x14ac:dyDescent="0.3">
      <c r="A29" s="298" t="s">
        <v>374</v>
      </c>
      <c r="B29" s="287">
        <v>40</v>
      </c>
      <c r="C29" s="42" t="s">
        <v>350</v>
      </c>
      <c r="H29" s="297"/>
    </row>
    <row r="30" spans="1:8" x14ac:dyDescent="0.3">
      <c r="A30" s="296"/>
      <c r="H30" s="297"/>
    </row>
    <row r="31" spans="1:8" x14ac:dyDescent="0.3">
      <c r="A31" s="920" t="s">
        <v>373</v>
      </c>
      <c r="B31" s="888"/>
      <c r="H31" s="297"/>
    </row>
    <row r="32" spans="1:8" x14ac:dyDescent="0.3">
      <c r="A32" s="298" t="s">
        <v>375</v>
      </c>
      <c r="B32" s="287">
        <v>54</v>
      </c>
      <c r="C32" s="42" t="s">
        <v>350</v>
      </c>
      <c r="H32" s="297"/>
    </row>
    <row r="33" spans="1:8" x14ac:dyDescent="0.3">
      <c r="A33" s="296"/>
      <c r="B33" s="296"/>
      <c r="C33" s="296"/>
      <c r="H33" s="297"/>
    </row>
    <row r="34" spans="1:8" x14ac:dyDescent="0.3">
      <c r="A34" s="296" t="s">
        <v>354</v>
      </c>
      <c r="B34" s="42">
        <f>B29+B32</f>
        <v>94</v>
      </c>
      <c r="C34" s="42" t="s">
        <v>350</v>
      </c>
      <c r="H34" s="297"/>
    </row>
    <row r="35" spans="1:8" ht="18" thickBot="1" x14ac:dyDescent="0.35">
      <c r="A35" s="296"/>
      <c r="H35" s="297"/>
    </row>
    <row r="36" spans="1:8" x14ac:dyDescent="0.3">
      <c r="A36" s="296"/>
      <c r="B36" s="111"/>
      <c r="D36" s="288" t="s">
        <v>340</v>
      </c>
      <c r="E36" s="289"/>
      <c r="F36" s="289" t="s">
        <v>377</v>
      </c>
      <c r="G36" s="290"/>
      <c r="H36" s="297"/>
    </row>
    <row r="37" spans="1:8" ht="18" thickBot="1" x14ac:dyDescent="0.35">
      <c r="A37" s="296" t="s">
        <v>376</v>
      </c>
      <c r="B37" s="111">
        <f>100*19.5</f>
        <v>1950</v>
      </c>
      <c r="D37" s="291">
        <f>13.5*100</f>
        <v>1350</v>
      </c>
      <c r="E37" s="292"/>
      <c r="F37" s="292"/>
      <c r="G37" s="293"/>
      <c r="H37" s="297"/>
    </row>
    <row r="38" spans="1:8" x14ac:dyDescent="0.3">
      <c r="A38" s="296" t="s">
        <v>341</v>
      </c>
      <c r="B38" s="111"/>
      <c r="H38" s="297"/>
    </row>
    <row r="39" spans="1:8" x14ac:dyDescent="0.3">
      <c r="A39" s="296"/>
      <c r="H39" s="297"/>
    </row>
    <row r="40" spans="1:8" ht="18" thickBot="1" x14ac:dyDescent="0.35">
      <c r="A40" s="299" t="s">
        <v>357</v>
      </c>
      <c r="B40" s="300">
        <f>B37/0.65</f>
        <v>3000</v>
      </c>
      <c r="C40" s="292"/>
      <c r="D40" s="292"/>
      <c r="E40" s="292"/>
      <c r="F40" s="292"/>
      <c r="G40" s="292"/>
      <c r="H40" s="293"/>
    </row>
    <row r="41" spans="1:8" ht="18" thickBot="1" x14ac:dyDescent="0.35"/>
    <row r="42" spans="1:8" ht="219.75" customHeight="1" x14ac:dyDescent="0.3">
      <c r="A42" s="921" t="s">
        <v>209</v>
      </c>
      <c r="B42" s="922"/>
      <c r="C42" s="922"/>
      <c r="D42" s="922"/>
      <c r="E42" s="922"/>
      <c r="F42" s="922"/>
      <c r="G42" s="922"/>
      <c r="H42" s="923"/>
    </row>
    <row r="43" spans="1:8" x14ac:dyDescent="0.3">
      <c r="A43" s="296"/>
      <c r="H43" s="297"/>
    </row>
    <row r="44" spans="1:8" x14ac:dyDescent="0.3">
      <c r="A44" s="920" t="s">
        <v>567</v>
      </c>
      <c r="B44" s="888"/>
      <c r="H44" s="297"/>
    </row>
    <row r="45" spans="1:8" x14ac:dyDescent="0.3">
      <c r="A45" s="298" t="s">
        <v>568</v>
      </c>
      <c r="B45" s="287">
        <v>50</v>
      </c>
      <c r="C45" s="42" t="s">
        <v>350</v>
      </c>
      <c r="H45" s="297"/>
    </row>
    <row r="46" spans="1:8" x14ac:dyDescent="0.3">
      <c r="A46" s="296"/>
      <c r="B46" s="296"/>
      <c r="C46" s="296"/>
      <c r="H46" s="297"/>
    </row>
    <row r="47" spans="1:8" x14ac:dyDescent="0.3">
      <c r="A47" s="296" t="s">
        <v>354</v>
      </c>
      <c r="B47" s="42">
        <f>B42+B45</f>
        <v>50</v>
      </c>
      <c r="C47" s="42" t="s">
        <v>350</v>
      </c>
      <c r="H47" s="297"/>
    </row>
    <row r="48" spans="1:8" ht="18" thickBot="1" x14ac:dyDescent="0.35">
      <c r="A48" s="296"/>
      <c r="H48" s="297"/>
    </row>
    <row r="49" spans="1:8" x14ac:dyDescent="0.3">
      <c r="A49" s="296"/>
      <c r="B49" s="111"/>
      <c r="D49" s="288" t="s">
        <v>340</v>
      </c>
      <c r="E49" s="289"/>
      <c r="F49" s="289" t="s">
        <v>377</v>
      </c>
      <c r="G49" s="290"/>
      <c r="H49" s="297"/>
    </row>
    <row r="50" spans="1:8" ht="18" thickBot="1" x14ac:dyDescent="0.35">
      <c r="A50" s="296" t="s">
        <v>376</v>
      </c>
      <c r="B50" s="111">
        <f>50*19.5</f>
        <v>975</v>
      </c>
      <c r="D50" s="291">
        <f>13.5*50</f>
        <v>675</v>
      </c>
      <c r="E50" s="292"/>
      <c r="F50" s="292"/>
      <c r="G50" s="293"/>
      <c r="H50" s="297"/>
    </row>
    <row r="51" spans="1:8" x14ac:dyDescent="0.3">
      <c r="A51" s="296" t="s">
        <v>341</v>
      </c>
      <c r="B51" s="111"/>
      <c r="H51" s="297"/>
    </row>
    <row r="52" spans="1:8" x14ac:dyDescent="0.3">
      <c r="A52" s="296"/>
      <c r="H52" s="297"/>
    </row>
    <row r="53" spans="1:8" ht="18" thickBot="1" x14ac:dyDescent="0.35">
      <c r="A53" s="299" t="s">
        <v>357</v>
      </c>
      <c r="B53" s="300">
        <f>B50/0.65</f>
        <v>1500</v>
      </c>
      <c r="C53" s="292"/>
      <c r="D53" s="292"/>
      <c r="E53" s="292"/>
      <c r="F53" s="292"/>
      <c r="G53" s="292"/>
      <c r="H53" s="293"/>
    </row>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activeCell="A2" sqref="A2:XFD2"/>
      <pageMargins left="0.7" right="0.7" top="0.75" bottom="0.75" header="0.3" footer="0.3"/>
    </customSheetView>
  </customSheetViews>
  <mergeCells count="10">
    <mergeCell ref="A1:I1"/>
    <mergeCell ref="A2:I2"/>
    <mergeCell ref="A6:B6"/>
    <mergeCell ref="A14:B14"/>
    <mergeCell ref="A42:H42"/>
    <mergeCell ref="A44:B44"/>
    <mergeCell ref="A4:H4"/>
    <mergeCell ref="A27:H27"/>
    <mergeCell ref="A28:B28"/>
    <mergeCell ref="A31:B31"/>
  </mergeCells>
  <pageMargins left="0.7" right="0.7" top="0.75" bottom="0.75" header="0.3" footer="0.3"/>
  <pageSetup scale="3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9E75-C50D-4FCE-8D23-8AB891E52F8F}">
  <sheetPr>
    <pageSetUpPr fitToPage="1"/>
  </sheetPr>
  <dimension ref="A1:H38"/>
  <sheetViews>
    <sheetView topLeftCell="A7" workbookViewId="0">
      <selection activeCell="D16" sqref="D16"/>
    </sheetView>
  </sheetViews>
  <sheetFormatPr defaultColWidth="9.140625" defaultRowHeight="17.25" x14ac:dyDescent="0.3"/>
  <cols>
    <col min="1" max="1" width="31.85546875" style="42" customWidth="1"/>
    <col min="2" max="2" width="13.42578125" style="42" customWidth="1"/>
    <col min="3" max="3" width="9.140625" style="42"/>
    <col min="4" max="4" width="11.42578125" style="42" bestFit="1" customWidth="1"/>
    <col min="5" max="16384" width="9.140625" style="42"/>
  </cols>
  <sheetData>
    <row r="1" spans="1:8" ht="21.75" thickBot="1" x14ac:dyDescent="0.4">
      <c r="A1" s="878" t="str">
        <f>'DNU  Customer Option Cover Page'!C6</f>
        <v>Olsen Veranda Bay Model #2</v>
      </c>
      <c r="B1" s="879"/>
      <c r="C1" s="879"/>
      <c r="D1" s="879"/>
      <c r="E1" s="879"/>
      <c r="F1" s="879"/>
      <c r="G1" s="879"/>
      <c r="H1" s="881"/>
    </row>
    <row r="2" spans="1:8" ht="18" thickBot="1" x14ac:dyDescent="0.35">
      <c r="A2" s="886" t="str">
        <f>'DNU  Customer Option Cover Page'!C7</f>
        <v xml:space="preserve">183 Stillwater Drive, Flagler Beach </v>
      </c>
      <c r="B2" s="887"/>
      <c r="C2" s="887"/>
      <c r="D2" s="887"/>
      <c r="E2" s="887"/>
      <c r="F2" s="887"/>
      <c r="G2" s="887"/>
      <c r="H2" s="927"/>
    </row>
    <row r="3" spans="1:8" ht="18" thickBot="1" x14ac:dyDescent="0.35">
      <c r="A3" s="108"/>
      <c r="B3" s="108"/>
      <c r="C3" s="108"/>
      <c r="D3" s="108"/>
      <c r="E3" s="108"/>
      <c r="F3" s="108"/>
      <c r="G3" s="108"/>
      <c r="H3" s="108"/>
    </row>
    <row r="4" spans="1:8" ht="187.5" customHeight="1" x14ac:dyDescent="0.3">
      <c r="A4" s="921" t="s">
        <v>380</v>
      </c>
      <c r="B4" s="922"/>
      <c r="C4" s="922"/>
      <c r="D4" s="922"/>
      <c r="E4" s="922"/>
      <c r="F4" s="922"/>
      <c r="G4" s="922"/>
      <c r="H4" s="923"/>
    </row>
    <row r="5" spans="1:8" ht="236.25" customHeight="1" x14ac:dyDescent="0.3">
      <c r="A5" s="928" t="s">
        <v>198</v>
      </c>
      <c r="B5" s="929"/>
      <c r="C5" s="929"/>
      <c r="D5" s="929"/>
      <c r="E5" s="929"/>
      <c r="F5" s="929"/>
      <c r="G5" s="929"/>
      <c r="H5" s="930"/>
    </row>
    <row r="6" spans="1:8" ht="144.75" customHeight="1" x14ac:dyDescent="0.3">
      <c r="A6" s="931" t="s">
        <v>197</v>
      </c>
      <c r="B6" s="932"/>
      <c r="C6" s="932"/>
      <c r="D6" s="932"/>
      <c r="E6" s="932"/>
      <c r="F6" s="932"/>
      <c r="G6" s="932"/>
      <c r="H6" s="933"/>
    </row>
    <row r="7" spans="1:8" x14ac:dyDescent="0.3">
      <c r="A7" s="296"/>
      <c r="B7" s="111"/>
      <c r="H7" s="297"/>
    </row>
    <row r="8" spans="1:8" x14ac:dyDescent="0.3">
      <c r="A8" s="392" t="s">
        <v>333</v>
      </c>
      <c r="B8" s="111">
        <v>749.25</v>
      </c>
      <c r="H8" s="297"/>
    </row>
    <row r="9" spans="1:8" x14ac:dyDescent="0.3">
      <c r="A9" s="296">
        <v>80015</v>
      </c>
      <c r="B9" s="111"/>
      <c r="H9" s="297"/>
    </row>
    <row r="10" spans="1:8" x14ac:dyDescent="0.3">
      <c r="A10" s="296"/>
      <c r="B10" s="111">
        <v>300</v>
      </c>
      <c r="H10" s="297"/>
    </row>
    <row r="11" spans="1:8" x14ac:dyDescent="0.3">
      <c r="A11" s="392" t="s">
        <v>342</v>
      </c>
      <c r="B11" s="111"/>
      <c r="H11" s="297"/>
    </row>
    <row r="12" spans="1:8" x14ac:dyDescent="0.3">
      <c r="A12" s="296" t="s">
        <v>338</v>
      </c>
      <c r="B12" s="111">
        <f>1158.75*1.07</f>
        <v>1239.8625000000002</v>
      </c>
      <c r="H12" s="297"/>
    </row>
    <row r="13" spans="1:8" x14ac:dyDescent="0.3">
      <c r="A13" s="296"/>
      <c r="B13" s="111"/>
      <c r="H13" s="297"/>
    </row>
    <row r="14" spans="1:8" x14ac:dyDescent="0.3">
      <c r="A14" s="392" t="s">
        <v>339</v>
      </c>
      <c r="B14" s="121">
        <v>250</v>
      </c>
      <c r="H14" s="297"/>
    </row>
    <row r="15" spans="1:8" x14ac:dyDescent="0.3">
      <c r="A15" s="296"/>
      <c r="B15" s="111"/>
      <c r="D15" s="42" t="s">
        <v>340</v>
      </c>
      <c r="H15" s="297"/>
    </row>
    <row r="16" spans="1:8" x14ac:dyDescent="0.3">
      <c r="A16" s="296" t="s">
        <v>343</v>
      </c>
      <c r="B16" s="111">
        <v>1796.39</v>
      </c>
      <c r="D16" s="111">
        <f>12.5*92</f>
        <v>1150</v>
      </c>
      <c r="H16" s="297"/>
    </row>
    <row r="17" spans="1:8" x14ac:dyDescent="0.3">
      <c r="A17" s="296" t="s">
        <v>341</v>
      </c>
      <c r="B17" s="111"/>
      <c r="H17" s="297"/>
    </row>
    <row r="18" spans="1:8" x14ac:dyDescent="0.3">
      <c r="A18" s="296"/>
      <c r="B18" s="111"/>
      <c r="H18" s="297"/>
    </row>
    <row r="19" spans="1:8" x14ac:dyDescent="0.3">
      <c r="A19" s="395" t="s">
        <v>344</v>
      </c>
      <c r="B19" s="372">
        <f>B8+B12+B14+B16+B10</f>
        <v>4335.5025000000005</v>
      </c>
      <c r="H19" s="297"/>
    </row>
    <row r="20" spans="1:8" ht="18" thickBot="1" x14ac:dyDescent="0.35">
      <c r="A20" s="299" t="s">
        <v>134</v>
      </c>
      <c r="B20" s="724">
        <f>B19/0.65</f>
        <v>6670.003846153847</v>
      </c>
      <c r="C20" s="292"/>
      <c r="D20" s="292"/>
      <c r="E20" s="292"/>
      <c r="F20" s="292"/>
      <c r="G20" s="292"/>
      <c r="H20" s="293"/>
    </row>
    <row r="21" spans="1:8" ht="18" thickBot="1" x14ac:dyDescent="0.35"/>
    <row r="22" spans="1:8" ht="150" customHeight="1" x14ac:dyDescent="0.3">
      <c r="A22" s="934" t="s">
        <v>382</v>
      </c>
      <c r="B22" s="935"/>
      <c r="C22" s="935"/>
      <c r="D22" s="935"/>
      <c r="E22" s="935"/>
      <c r="F22" s="935"/>
      <c r="G22" s="935"/>
      <c r="H22" s="923"/>
    </row>
    <row r="23" spans="1:8" ht="148.5" customHeight="1" x14ac:dyDescent="0.3">
      <c r="A23" s="936" t="s">
        <v>336</v>
      </c>
      <c r="B23" s="937"/>
      <c r="C23" s="937"/>
      <c r="D23" s="937"/>
      <c r="E23" s="937"/>
      <c r="F23" s="937"/>
      <c r="G23" s="937"/>
      <c r="H23" s="933"/>
    </row>
    <row r="24" spans="1:8" ht="253.5" customHeight="1" x14ac:dyDescent="0.3">
      <c r="A24" s="928" t="s">
        <v>406</v>
      </c>
      <c r="B24" s="929"/>
      <c r="C24" s="929"/>
      <c r="D24" s="929"/>
      <c r="E24" s="929"/>
      <c r="F24" s="929"/>
      <c r="G24" s="929"/>
      <c r="H24" s="930"/>
    </row>
    <row r="25" spans="1:8" x14ac:dyDescent="0.3">
      <c r="A25" s="296"/>
      <c r="B25" s="111"/>
      <c r="H25" s="297"/>
    </row>
    <row r="26" spans="1:8" x14ac:dyDescent="0.3">
      <c r="A26" s="392" t="s">
        <v>333</v>
      </c>
      <c r="B26" s="111">
        <v>799.07399999999996</v>
      </c>
      <c r="H26" s="297"/>
    </row>
    <row r="27" spans="1:8" x14ac:dyDescent="0.3">
      <c r="A27" s="296">
        <v>80052</v>
      </c>
      <c r="B27" s="111"/>
      <c r="H27" s="297"/>
    </row>
    <row r="28" spans="1:8" x14ac:dyDescent="0.3">
      <c r="A28" s="296"/>
      <c r="B28" s="111">
        <v>300</v>
      </c>
      <c r="H28" s="297"/>
    </row>
    <row r="29" spans="1:8" x14ac:dyDescent="0.3">
      <c r="A29" s="392" t="s">
        <v>342</v>
      </c>
      <c r="B29" s="111"/>
      <c r="H29" s="297"/>
    </row>
    <row r="30" spans="1:8" x14ac:dyDescent="0.3">
      <c r="A30" s="296" t="s">
        <v>405</v>
      </c>
      <c r="B30" s="111">
        <f>877.5*1.07</f>
        <v>938.92500000000007</v>
      </c>
      <c r="H30" s="297"/>
    </row>
    <row r="31" spans="1:8" x14ac:dyDescent="0.3">
      <c r="A31" s="296"/>
      <c r="B31" s="111"/>
      <c r="H31" s="297"/>
    </row>
    <row r="32" spans="1:8" x14ac:dyDescent="0.3">
      <c r="A32" s="392" t="s">
        <v>339</v>
      </c>
      <c r="B32" s="121">
        <v>250</v>
      </c>
      <c r="H32" s="297"/>
    </row>
    <row r="33" spans="1:8" x14ac:dyDescent="0.3">
      <c r="A33" s="296"/>
      <c r="B33" s="111"/>
      <c r="D33" s="42" t="s">
        <v>340</v>
      </c>
      <c r="H33" s="297"/>
    </row>
    <row r="34" spans="1:8" x14ac:dyDescent="0.3">
      <c r="A34" s="296" t="s">
        <v>407</v>
      </c>
      <c r="B34" s="111">
        <f>19.5*58</f>
        <v>1131</v>
      </c>
      <c r="D34" s="111">
        <f>12.5*58</f>
        <v>725</v>
      </c>
      <c r="H34" s="297"/>
    </row>
    <row r="35" spans="1:8" x14ac:dyDescent="0.3">
      <c r="A35" s="296" t="s">
        <v>341</v>
      </c>
      <c r="B35" s="111"/>
      <c r="H35" s="297"/>
    </row>
    <row r="36" spans="1:8" x14ac:dyDescent="0.3">
      <c r="A36" s="296"/>
      <c r="B36" s="111"/>
      <c r="H36" s="297"/>
    </row>
    <row r="37" spans="1:8" x14ac:dyDescent="0.3">
      <c r="A37" s="395" t="s">
        <v>344</v>
      </c>
      <c r="B37" s="372">
        <f>B26+B30+B32+B34+B28</f>
        <v>3418.9989999999998</v>
      </c>
      <c r="H37" s="297"/>
    </row>
    <row r="38" spans="1:8" ht="18" thickBot="1" x14ac:dyDescent="0.35">
      <c r="A38" s="299" t="s">
        <v>134</v>
      </c>
      <c r="B38" s="724">
        <f>B37/0.65</f>
        <v>5259.998461538461</v>
      </c>
      <c r="C38" s="292"/>
      <c r="D38" s="292"/>
      <c r="E38" s="292"/>
      <c r="F38" s="292"/>
      <c r="G38" s="292"/>
      <c r="H38" s="293"/>
    </row>
  </sheetData>
  <mergeCells count="8">
    <mergeCell ref="A24:H24"/>
    <mergeCell ref="A6:H6"/>
    <mergeCell ref="A5:H5"/>
    <mergeCell ref="A1:H1"/>
    <mergeCell ref="A2:H2"/>
    <mergeCell ref="A4:H4"/>
    <mergeCell ref="A22:H22"/>
    <mergeCell ref="A23:H23"/>
  </mergeCells>
  <pageMargins left="0.7" right="0.7" top="0.75" bottom="0.75" header="0.3" footer="0.3"/>
  <pageSetup scale="4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E6A03-7E27-4630-9662-2862D4862A53}">
  <sheetPr>
    <pageSetUpPr fitToPage="1"/>
  </sheetPr>
  <dimension ref="A1:I50"/>
  <sheetViews>
    <sheetView topLeftCell="A33" workbookViewId="0">
      <selection activeCell="B39" sqref="B39"/>
    </sheetView>
  </sheetViews>
  <sheetFormatPr defaultColWidth="9.140625" defaultRowHeight="17.25" x14ac:dyDescent="0.3"/>
  <cols>
    <col min="1" max="1" width="24.85546875" style="42" customWidth="1"/>
    <col min="2" max="2" width="15.42578125" style="42" customWidth="1"/>
    <col min="3" max="16384" width="9.140625" style="42"/>
  </cols>
  <sheetData>
    <row r="1" spans="1:9" ht="21.75" thickBot="1" x14ac:dyDescent="0.4">
      <c r="A1" s="878" t="str">
        <f>'DNU  Customer Option Cover Page'!C6</f>
        <v>Olsen Veranda Bay Model #2</v>
      </c>
      <c r="B1" s="879"/>
      <c r="C1" s="879"/>
      <c r="D1" s="879"/>
      <c r="E1" s="879"/>
      <c r="F1" s="879"/>
      <c r="G1" s="879"/>
      <c r="H1" s="879"/>
      <c r="I1" s="881"/>
    </row>
    <row r="2" spans="1:9" x14ac:dyDescent="0.3">
      <c r="A2" s="880" t="str">
        <f>'DNU  Customer Option Cover Page'!C7</f>
        <v xml:space="preserve">183 Stillwater Drive, Flagler Beach </v>
      </c>
      <c r="B2" s="880"/>
      <c r="C2" s="880"/>
      <c r="D2" s="880"/>
      <c r="E2" s="880"/>
      <c r="F2" s="880"/>
      <c r="G2" s="880"/>
      <c r="H2" s="880"/>
      <c r="I2" s="880"/>
    </row>
    <row r="3" spans="1:9" ht="18" thickBot="1" x14ac:dyDescent="0.35">
      <c r="A3" s="108"/>
      <c r="B3" s="108"/>
      <c r="C3" s="108"/>
      <c r="D3" s="108"/>
      <c r="E3" s="108"/>
      <c r="F3" s="108"/>
      <c r="G3" s="108"/>
      <c r="H3" s="108"/>
      <c r="I3" s="108"/>
    </row>
    <row r="4" spans="1:9" ht="158.25" customHeight="1" x14ac:dyDescent="0.3">
      <c r="A4" s="938" t="s">
        <v>363</v>
      </c>
      <c r="B4" s="939"/>
      <c r="C4" s="939"/>
      <c r="D4" s="939"/>
      <c r="E4" s="939"/>
      <c r="F4" s="939"/>
      <c r="G4" s="939"/>
      <c r="H4" s="939"/>
      <c r="I4" s="940"/>
    </row>
    <row r="5" spans="1:9" x14ac:dyDescent="0.3">
      <c r="A5" s="296"/>
      <c r="B5" s="42" t="s">
        <v>366</v>
      </c>
      <c r="I5" s="297"/>
    </row>
    <row r="6" spans="1:9" x14ac:dyDescent="0.3">
      <c r="A6" s="296" t="s">
        <v>364</v>
      </c>
      <c r="B6" s="111">
        <v>150</v>
      </c>
      <c r="I6" s="297"/>
    </row>
    <row r="7" spans="1:9" x14ac:dyDescent="0.3">
      <c r="A7" s="407" t="s">
        <v>365</v>
      </c>
      <c r="B7" s="120">
        <f>894.45*1.07</f>
        <v>957.06150000000014</v>
      </c>
      <c r="C7" s="409" t="s">
        <v>367</v>
      </c>
      <c r="I7" s="297"/>
    </row>
    <row r="8" spans="1:9" x14ac:dyDescent="0.3">
      <c r="A8" s="394" t="s">
        <v>368</v>
      </c>
      <c r="B8" s="111">
        <f>SUM(B6:B7)</f>
        <v>1107.0615000000003</v>
      </c>
      <c r="I8" s="297"/>
    </row>
    <row r="9" spans="1:9" x14ac:dyDescent="0.3">
      <c r="A9" s="410" t="s">
        <v>134</v>
      </c>
      <c r="B9" s="727">
        <f>B8/0.65</f>
        <v>1703.1715384615388</v>
      </c>
      <c r="I9" s="297"/>
    </row>
    <row r="10" spans="1:9" ht="18" thickBot="1" x14ac:dyDescent="0.35">
      <c r="A10" s="389"/>
      <c r="B10" s="393"/>
      <c r="C10" s="292"/>
      <c r="D10" s="292"/>
      <c r="E10" s="292"/>
      <c r="F10" s="292"/>
      <c r="G10" s="292"/>
      <c r="H10" s="292"/>
      <c r="I10" s="293"/>
    </row>
    <row r="11" spans="1:9" ht="18" thickBot="1" x14ac:dyDescent="0.35"/>
    <row r="12" spans="1:9" ht="92.25" customHeight="1" x14ac:dyDescent="0.3">
      <c r="A12" s="938" t="s">
        <v>228</v>
      </c>
      <c r="B12" s="939"/>
      <c r="C12" s="939"/>
      <c r="D12" s="939"/>
      <c r="E12" s="939"/>
      <c r="F12" s="939"/>
      <c r="G12" s="939"/>
      <c r="H12" s="939"/>
      <c r="I12" s="940"/>
    </row>
    <row r="13" spans="1:9" x14ac:dyDescent="0.3">
      <c r="A13" s="296"/>
      <c r="B13" s="457" t="s">
        <v>549</v>
      </c>
      <c r="I13" s="297"/>
    </row>
    <row r="14" spans="1:9" x14ac:dyDescent="0.3">
      <c r="A14" s="296" t="s">
        <v>547</v>
      </c>
      <c r="B14" s="111">
        <f>154.23*1.07</f>
        <v>165.02609999999999</v>
      </c>
      <c r="I14" s="297"/>
    </row>
    <row r="15" spans="1:9" x14ac:dyDescent="0.3">
      <c r="A15" s="296"/>
      <c r="B15" s="111"/>
      <c r="I15" s="297"/>
    </row>
    <row r="16" spans="1:9" x14ac:dyDescent="0.3">
      <c r="A16" s="296" t="s">
        <v>548</v>
      </c>
      <c r="B16" s="111">
        <f>265.68*1.07</f>
        <v>284.27760000000001</v>
      </c>
      <c r="I16" s="297"/>
    </row>
    <row r="17" spans="1:9" x14ac:dyDescent="0.3">
      <c r="A17" s="407"/>
      <c r="B17" s="120"/>
      <c r="I17" s="297"/>
    </row>
    <row r="18" spans="1:9" x14ac:dyDescent="0.3">
      <c r="A18" s="394" t="s">
        <v>79</v>
      </c>
      <c r="B18" s="111">
        <f>B16-B14</f>
        <v>119.25150000000002</v>
      </c>
      <c r="I18" s="297"/>
    </row>
    <row r="19" spans="1:9" x14ac:dyDescent="0.3">
      <c r="A19" s="410" t="s">
        <v>134</v>
      </c>
      <c r="B19" s="727">
        <v>0</v>
      </c>
      <c r="C19" s="728" t="s">
        <v>794</v>
      </c>
      <c r="D19" s="728"/>
      <c r="I19" s="297"/>
    </row>
    <row r="20" spans="1:9" ht="18" thickBot="1" x14ac:dyDescent="0.35">
      <c r="A20" s="389"/>
      <c r="B20" s="393"/>
      <c r="C20" s="292"/>
      <c r="D20" s="292"/>
      <c r="E20" s="292"/>
      <c r="F20" s="292"/>
      <c r="G20" s="292"/>
      <c r="H20" s="292"/>
      <c r="I20" s="293"/>
    </row>
    <row r="21" spans="1:9" ht="18" thickBot="1" x14ac:dyDescent="0.35">
      <c r="B21" s="111"/>
    </row>
    <row r="22" spans="1:9" ht="173.25" customHeight="1" x14ac:dyDescent="0.3">
      <c r="A22" s="938" t="s">
        <v>235</v>
      </c>
      <c r="B22" s="939"/>
      <c r="C22" s="939"/>
      <c r="D22" s="939"/>
      <c r="E22" s="939"/>
      <c r="F22" s="939"/>
      <c r="G22" s="939"/>
      <c r="H22" s="939"/>
      <c r="I22" s="940"/>
    </row>
    <row r="23" spans="1:9" x14ac:dyDescent="0.3">
      <c r="A23" s="296" t="s">
        <v>559</v>
      </c>
      <c r="B23" s="457" t="s">
        <v>549</v>
      </c>
      <c r="I23" s="297"/>
    </row>
    <row r="24" spans="1:9" x14ac:dyDescent="0.3">
      <c r="A24" s="296" t="s">
        <v>561</v>
      </c>
      <c r="B24" s="111">
        <f>300*1.07*2</f>
        <v>642</v>
      </c>
      <c r="I24" s="297"/>
    </row>
    <row r="25" spans="1:9" x14ac:dyDescent="0.3">
      <c r="A25" s="296"/>
      <c r="B25" s="111"/>
      <c r="I25" s="297"/>
    </row>
    <row r="26" spans="1:9" x14ac:dyDescent="0.3">
      <c r="A26" s="296" t="s">
        <v>560</v>
      </c>
      <c r="B26" s="111">
        <f>386.76*2*1.07</f>
        <v>827.66640000000007</v>
      </c>
      <c r="I26" s="297"/>
    </row>
    <row r="27" spans="1:9" x14ac:dyDescent="0.3">
      <c r="A27" s="407"/>
      <c r="B27" s="120"/>
      <c r="I27" s="297"/>
    </row>
    <row r="28" spans="1:9" x14ac:dyDescent="0.3">
      <c r="A28" s="394" t="s">
        <v>79</v>
      </c>
      <c r="B28" s="111">
        <f>B26-B24</f>
        <v>185.66640000000007</v>
      </c>
      <c r="I28" s="297"/>
    </row>
    <row r="29" spans="1:9" x14ac:dyDescent="0.3">
      <c r="A29" s="410" t="s">
        <v>134</v>
      </c>
      <c r="B29" s="121">
        <f>B28/0.65</f>
        <v>285.6406153846155</v>
      </c>
      <c r="I29" s="297"/>
    </row>
    <row r="30" spans="1:9" ht="18" thickBot="1" x14ac:dyDescent="0.35">
      <c r="A30" s="389"/>
      <c r="B30" s="393"/>
      <c r="C30" s="292"/>
      <c r="D30" s="292"/>
      <c r="E30" s="292"/>
      <c r="F30" s="292"/>
      <c r="G30" s="292"/>
      <c r="H30" s="292"/>
      <c r="I30" s="293"/>
    </row>
    <row r="31" spans="1:9" ht="18" thickBot="1" x14ac:dyDescent="0.35">
      <c r="B31" s="111"/>
    </row>
    <row r="32" spans="1:9" ht="169.5" customHeight="1" x14ac:dyDescent="0.3">
      <c r="A32" s="938" t="s">
        <v>253</v>
      </c>
      <c r="B32" s="939"/>
      <c r="C32" s="939"/>
      <c r="D32" s="939"/>
      <c r="E32" s="939"/>
      <c r="F32" s="939"/>
      <c r="G32" s="939"/>
      <c r="H32" s="939"/>
      <c r="I32" s="940"/>
    </row>
    <row r="33" spans="1:9" x14ac:dyDescent="0.3">
      <c r="A33" s="296"/>
      <c r="B33" s="457"/>
      <c r="I33" s="297"/>
    </row>
    <row r="34" spans="1:9" x14ac:dyDescent="0.3">
      <c r="A34" s="296" t="s">
        <v>562</v>
      </c>
      <c r="B34" s="111">
        <f>2*25</f>
        <v>50</v>
      </c>
      <c r="I34" s="297"/>
    </row>
    <row r="35" spans="1:9" x14ac:dyDescent="0.3">
      <c r="A35" s="296"/>
      <c r="B35" s="111"/>
      <c r="I35" s="297"/>
    </row>
    <row r="36" spans="1:9" x14ac:dyDescent="0.3">
      <c r="A36" s="296" t="s">
        <v>563</v>
      </c>
      <c r="B36" s="111">
        <f>2*348</f>
        <v>696</v>
      </c>
      <c r="I36" s="297"/>
    </row>
    <row r="37" spans="1:9" x14ac:dyDescent="0.3">
      <c r="A37" s="407"/>
      <c r="B37" s="120"/>
      <c r="I37" s="297"/>
    </row>
    <row r="38" spans="1:9" x14ac:dyDescent="0.3">
      <c r="A38" s="394" t="s">
        <v>79</v>
      </c>
      <c r="B38" s="111">
        <f>B36-B34</f>
        <v>646</v>
      </c>
      <c r="I38" s="297"/>
    </row>
    <row r="39" spans="1:9" x14ac:dyDescent="0.3">
      <c r="A39" s="410" t="s">
        <v>134</v>
      </c>
      <c r="B39" s="121">
        <f>B38/0.65</f>
        <v>993.84615384615381</v>
      </c>
      <c r="I39" s="297"/>
    </row>
    <row r="40" spans="1:9" ht="18" thickBot="1" x14ac:dyDescent="0.35">
      <c r="A40" s="389"/>
      <c r="B40" s="393"/>
      <c r="C40" s="292"/>
      <c r="D40" s="292"/>
      <c r="E40" s="292"/>
      <c r="F40" s="292"/>
      <c r="G40" s="292"/>
      <c r="H40" s="292"/>
      <c r="I40" s="293"/>
    </row>
    <row r="41" spans="1:9" ht="18" thickBot="1" x14ac:dyDescent="0.35">
      <c r="B41" s="111"/>
    </row>
    <row r="42" spans="1:9" ht="166.5" customHeight="1" x14ac:dyDescent="0.3">
      <c r="A42" s="938" t="s">
        <v>254</v>
      </c>
      <c r="B42" s="939"/>
      <c r="C42" s="939"/>
      <c r="D42" s="939"/>
      <c r="E42" s="939"/>
      <c r="F42" s="939"/>
      <c r="G42" s="939"/>
      <c r="H42" s="939"/>
      <c r="I42" s="940"/>
    </row>
    <row r="43" spans="1:9" x14ac:dyDescent="0.3">
      <c r="A43" s="296" t="s">
        <v>559</v>
      </c>
      <c r="B43" s="457" t="s">
        <v>549</v>
      </c>
      <c r="I43" s="297"/>
    </row>
    <row r="44" spans="1:9" x14ac:dyDescent="0.3">
      <c r="A44" s="296" t="s">
        <v>565</v>
      </c>
      <c r="B44" s="111">
        <f>493.89*1.07</f>
        <v>528.46230000000003</v>
      </c>
      <c r="I44" s="297"/>
    </row>
    <row r="45" spans="1:9" x14ac:dyDescent="0.3">
      <c r="A45" s="296"/>
      <c r="B45" s="111"/>
      <c r="I45" s="297"/>
    </row>
    <row r="46" spans="1:9" x14ac:dyDescent="0.3">
      <c r="A46" s="296" t="s">
        <v>564</v>
      </c>
      <c r="B46" s="111">
        <f>512.38*1.07</f>
        <v>548.24660000000006</v>
      </c>
      <c r="I46" s="297"/>
    </row>
    <row r="47" spans="1:9" x14ac:dyDescent="0.3">
      <c r="A47" s="407"/>
      <c r="B47" s="120"/>
      <c r="I47" s="297"/>
    </row>
    <row r="48" spans="1:9" x14ac:dyDescent="0.3">
      <c r="A48" s="394" t="s">
        <v>79</v>
      </c>
      <c r="B48" s="111">
        <f>B46-B44</f>
        <v>19.78430000000003</v>
      </c>
      <c r="I48" s="297"/>
    </row>
    <row r="49" spans="1:9" x14ac:dyDescent="0.3">
      <c r="A49" s="410" t="s">
        <v>134</v>
      </c>
      <c r="B49" s="121">
        <f>B48/0.65</f>
        <v>30.437384615384662</v>
      </c>
      <c r="I49" s="297"/>
    </row>
    <row r="50" spans="1:9" ht="18" thickBot="1" x14ac:dyDescent="0.35">
      <c r="A50" s="389"/>
      <c r="B50" s="393"/>
      <c r="C50" s="292"/>
      <c r="D50" s="292"/>
      <c r="E50" s="292"/>
      <c r="F50" s="292"/>
      <c r="G50" s="292"/>
      <c r="H50" s="292"/>
      <c r="I50" s="293"/>
    </row>
  </sheetData>
  <mergeCells count="7">
    <mergeCell ref="A32:I32"/>
    <mergeCell ref="A42:I42"/>
    <mergeCell ref="A12:I12"/>
    <mergeCell ref="A1:I1"/>
    <mergeCell ref="A2:I2"/>
    <mergeCell ref="A4:I4"/>
    <mergeCell ref="A22:I22"/>
  </mergeCells>
  <hyperlinks>
    <hyperlink ref="C7" r:id="rId1" xr:uid="{4D328D1D-0F7B-4952-BA65-AE4E73ACD402}"/>
  </hyperlinks>
  <pageMargins left="0.7" right="0.7" top="0.75" bottom="0.75" header="0.3" footer="0.3"/>
  <pageSetup scale="45"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D97F-1071-4D1A-B02D-8891DC990F61}">
  <dimension ref="A1:I24"/>
  <sheetViews>
    <sheetView workbookViewId="0">
      <selection activeCell="A19" sqref="A19:E19"/>
    </sheetView>
  </sheetViews>
  <sheetFormatPr defaultColWidth="9.140625" defaultRowHeight="17.25" x14ac:dyDescent="0.3"/>
  <cols>
    <col min="1" max="1" width="24.85546875" style="42" customWidth="1"/>
    <col min="2" max="2" width="11.42578125" style="42" bestFit="1" customWidth="1"/>
    <col min="3" max="16384" width="9.140625" style="42"/>
  </cols>
  <sheetData>
    <row r="1" spans="1:9" ht="21.75" thickBot="1" x14ac:dyDescent="0.4">
      <c r="A1" s="878" t="str">
        <f>'DNU  Customer Option Cover Page'!C6</f>
        <v>Olsen Veranda Bay Model #2</v>
      </c>
      <c r="B1" s="879"/>
      <c r="C1" s="879"/>
      <c r="D1" s="879"/>
      <c r="E1" s="879"/>
      <c r="F1" s="879"/>
      <c r="G1" s="879"/>
      <c r="H1" s="879"/>
      <c r="I1" s="881"/>
    </row>
    <row r="2" spans="1:9" x14ac:dyDescent="0.3">
      <c r="A2" s="880" t="str">
        <f>'DNU  Customer Option Cover Page'!C7</f>
        <v xml:space="preserve">183 Stillwater Drive, Flagler Beach </v>
      </c>
      <c r="B2" s="880"/>
      <c r="C2" s="880"/>
      <c r="D2" s="880"/>
      <c r="E2" s="880"/>
      <c r="F2" s="880"/>
      <c r="G2" s="880"/>
      <c r="H2" s="880"/>
      <c r="I2" s="880"/>
    </row>
    <row r="3" spans="1:9" ht="18" thickBot="1" x14ac:dyDescent="0.35">
      <c r="A3" s="108"/>
      <c r="B3" s="108"/>
      <c r="C3" s="108"/>
      <c r="D3" s="108"/>
      <c r="E3" s="108"/>
      <c r="F3" s="108"/>
      <c r="G3" s="108"/>
      <c r="H3" s="108"/>
      <c r="I3" s="108"/>
    </row>
    <row r="4" spans="1:9" ht="93" customHeight="1" x14ac:dyDescent="0.3">
      <c r="A4" s="921" t="s">
        <v>807</v>
      </c>
      <c r="B4" s="922"/>
      <c r="C4" s="922"/>
      <c r="D4" s="922"/>
      <c r="E4" s="923"/>
    </row>
    <row r="5" spans="1:9" x14ac:dyDescent="0.3">
      <c r="A5" s="296"/>
      <c r="E5" s="297"/>
    </row>
    <row r="6" spans="1:9" x14ac:dyDescent="0.3">
      <c r="A6" s="464" t="s">
        <v>79</v>
      </c>
      <c r="E6" s="297"/>
    </row>
    <row r="7" spans="1:9" x14ac:dyDescent="0.3">
      <c r="A7" s="296" t="s">
        <v>808</v>
      </c>
      <c r="B7" s="111">
        <v>1100</v>
      </c>
      <c r="E7" s="297"/>
    </row>
    <row r="8" spans="1:9" x14ac:dyDescent="0.3">
      <c r="A8" s="119" t="s">
        <v>809</v>
      </c>
      <c r="B8" s="120">
        <v>1300</v>
      </c>
      <c r="E8" s="297"/>
    </row>
    <row r="9" spans="1:9" x14ac:dyDescent="0.3">
      <c r="A9" s="394" t="s">
        <v>19</v>
      </c>
      <c r="B9" s="111">
        <f>SUM(B7:B8)</f>
        <v>2400</v>
      </c>
      <c r="E9" s="297"/>
    </row>
    <row r="10" spans="1:9" ht="18" thickBot="1" x14ac:dyDescent="0.35">
      <c r="A10" s="299" t="s">
        <v>545</v>
      </c>
      <c r="B10" s="300">
        <f>B9/0.65</f>
        <v>3692.3076923076924</v>
      </c>
      <c r="C10" s="292"/>
      <c r="D10" s="292"/>
      <c r="E10" s="293"/>
    </row>
    <row r="11" spans="1:9" ht="18" thickBot="1" x14ac:dyDescent="0.35"/>
    <row r="12" spans="1:9" ht="37.5" customHeight="1" x14ac:dyDescent="0.3">
      <c r="A12" s="921" t="s">
        <v>806</v>
      </c>
      <c r="B12" s="922"/>
      <c r="C12" s="922"/>
      <c r="D12" s="922"/>
      <c r="E12" s="923"/>
    </row>
    <row r="13" spans="1:9" x14ac:dyDescent="0.3">
      <c r="A13" s="296"/>
      <c r="E13" s="297"/>
    </row>
    <row r="14" spans="1:9" x14ac:dyDescent="0.3">
      <c r="A14" s="464" t="s">
        <v>79</v>
      </c>
      <c r="E14" s="297"/>
    </row>
    <row r="15" spans="1:9" x14ac:dyDescent="0.3">
      <c r="A15" s="407" t="s">
        <v>810</v>
      </c>
      <c r="B15" s="120">
        <f>500*2</f>
        <v>1000</v>
      </c>
      <c r="E15" s="297"/>
    </row>
    <row r="16" spans="1:9" x14ac:dyDescent="0.3">
      <c r="A16" s="394" t="s">
        <v>19</v>
      </c>
      <c r="B16" s="111">
        <f>SUM(B15:B15)</f>
        <v>1000</v>
      </c>
      <c r="E16" s="297"/>
    </row>
    <row r="17" spans="1:5" ht="18" thickBot="1" x14ac:dyDescent="0.35">
      <c r="A17" s="299" t="s">
        <v>545</v>
      </c>
      <c r="B17" s="300">
        <f>B16/0.65</f>
        <v>1538.4615384615383</v>
      </c>
      <c r="C17" s="292"/>
      <c r="D17" s="292"/>
      <c r="E17" s="293"/>
    </row>
    <row r="18" spans="1:5" ht="18" thickBot="1" x14ac:dyDescent="0.35"/>
    <row r="19" spans="1:5" ht="31.5" customHeight="1" x14ac:dyDescent="0.3">
      <c r="A19" s="921" t="s">
        <v>805</v>
      </c>
      <c r="B19" s="922"/>
      <c r="C19" s="922"/>
      <c r="D19" s="922"/>
      <c r="E19" s="923"/>
    </row>
    <row r="20" spans="1:5" x14ac:dyDescent="0.3">
      <c r="A20" s="296"/>
      <c r="E20" s="297"/>
    </row>
    <row r="21" spans="1:5" x14ac:dyDescent="0.3">
      <c r="A21" s="464" t="s">
        <v>79</v>
      </c>
      <c r="E21" s="297"/>
    </row>
    <row r="22" spans="1:5" x14ac:dyDescent="0.3">
      <c r="A22" s="407" t="s">
        <v>811</v>
      </c>
      <c r="B22" s="120">
        <f>350*2</f>
        <v>700</v>
      </c>
      <c r="E22" s="297"/>
    </row>
    <row r="23" spans="1:5" x14ac:dyDescent="0.3">
      <c r="A23" s="394" t="s">
        <v>19</v>
      </c>
      <c r="B23" s="111">
        <f>SUM(B22:B22)</f>
        <v>700</v>
      </c>
      <c r="E23" s="297"/>
    </row>
    <row r="24" spans="1:5" ht="18" thickBot="1" x14ac:dyDescent="0.35">
      <c r="A24" s="299" t="s">
        <v>545</v>
      </c>
      <c r="B24" s="300">
        <f>B23/0.65</f>
        <v>1076.9230769230769</v>
      </c>
      <c r="C24" s="292"/>
      <c r="D24" s="292"/>
      <c r="E24" s="293"/>
    </row>
  </sheetData>
  <mergeCells count="5">
    <mergeCell ref="A19:E19"/>
    <mergeCell ref="A1:I1"/>
    <mergeCell ref="A2:I2"/>
    <mergeCell ref="A4:E4"/>
    <mergeCell ref="A12:E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B9AF-45AA-4335-B7AE-AF47383D6F43}">
  <dimension ref="A1:H23"/>
  <sheetViews>
    <sheetView workbookViewId="0">
      <selection activeCell="A18" sqref="A18"/>
    </sheetView>
  </sheetViews>
  <sheetFormatPr defaultColWidth="9.140625" defaultRowHeight="18.75" x14ac:dyDescent="0.3"/>
  <cols>
    <col min="1" max="1" width="75" style="792" customWidth="1"/>
    <col min="2" max="2" width="20.7109375" style="792" customWidth="1"/>
    <col min="3" max="3" width="16.140625" style="792" customWidth="1"/>
    <col min="4" max="4" width="15" style="792" customWidth="1"/>
    <col min="5" max="6" width="9.140625" style="792"/>
    <col min="7" max="7" width="20" style="793" customWidth="1"/>
    <col min="8" max="8" width="26.7109375" style="793" customWidth="1"/>
    <col min="9" max="16384" width="9.140625" style="792"/>
  </cols>
  <sheetData>
    <row r="1" spans="1:8" x14ac:dyDescent="0.3">
      <c r="A1" s="811" t="s">
        <v>118</v>
      </c>
      <c r="B1" s="803"/>
      <c r="C1" s="804"/>
    </row>
    <row r="2" spans="1:8" x14ac:dyDescent="0.3">
      <c r="A2" s="805"/>
      <c r="C2" s="806" t="s">
        <v>880</v>
      </c>
    </row>
    <row r="3" spans="1:8" x14ac:dyDescent="0.3">
      <c r="A3" s="805" t="s">
        <v>879</v>
      </c>
      <c r="B3" s="793">
        <v>1145</v>
      </c>
      <c r="C3" s="807">
        <f>SUM(B3/0.65)</f>
        <v>1761.5384615384614</v>
      </c>
      <c r="G3" s="792"/>
      <c r="H3" s="792"/>
    </row>
    <row r="4" spans="1:8" x14ac:dyDescent="0.3">
      <c r="A4" s="805" t="s">
        <v>793</v>
      </c>
      <c r="B4" s="808">
        <v>1734.66</v>
      </c>
      <c r="C4" s="807">
        <f>SUM(B4/0.65)</f>
        <v>2668.7076923076925</v>
      </c>
      <c r="G4" s="792"/>
      <c r="H4" s="792"/>
    </row>
    <row r="5" spans="1:8" x14ac:dyDescent="0.3">
      <c r="A5" s="805" t="s">
        <v>870</v>
      </c>
      <c r="B5" s="793"/>
      <c r="C5" s="807"/>
      <c r="G5" s="792"/>
      <c r="H5" s="792"/>
    </row>
    <row r="6" spans="1:8" x14ac:dyDescent="0.3">
      <c r="A6" s="805" t="s">
        <v>792</v>
      </c>
      <c r="B6" s="793">
        <v>259.83999999999997</v>
      </c>
      <c r="C6" s="807">
        <f>SUM(B6/0.65)</f>
        <v>399.7538461538461</v>
      </c>
      <c r="G6" s="792"/>
      <c r="H6" s="792"/>
    </row>
    <row r="7" spans="1:8" x14ac:dyDescent="0.3">
      <c r="A7" s="805"/>
      <c r="B7" s="793"/>
      <c r="C7" s="809"/>
    </row>
    <row r="8" spans="1:8" ht="19.5" thickBot="1" x14ac:dyDescent="0.35">
      <c r="A8" s="797"/>
      <c r="B8" s="810"/>
      <c r="C8" s="812">
        <f>SUM(C3:C6)</f>
        <v>4830</v>
      </c>
    </row>
    <row r="9" spans="1:8" ht="19.5" thickBot="1" x14ac:dyDescent="0.35">
      <c r="B9" s="793"/>
      <c r="G9" s="792"/>
      <c r="H9" s="792"/>
    </row>
    <row r="10" spans="1:8" x14ac:dyDescent="0.3">
      <c r="A10" s="815" t="s">
        <v>599</v>
      </c>
      <c r="B10" s="803"/>
      <c r="C10" s="804"/>
    </row>
    <row r="11" spans="1:8" x14ac:dyDescent="0.3">
      <c r="A11" s="805"/>
      <c r="C11" s="806" t="s">
        <v>880</v>
      </c>
    </row>
    <row r="12" spans="1:8" x14ac:dyDescent="0.3">
      <c r="A12" s="805" t="s">
        <v>879</v>
      </c>
      <c r="B12" s="793">
        <v>975</v>
      </c>
      <c r="C12" s="807">
        <f>SUM(B12/0.65)</f>
        <v>1500</v>
      </c>
      <c r="G12" s="792"/>
      <c r="H12" s="792"/>
    </row>
    <row r="13" spans="1:8" x14ac:dyDescent="0.3">
      <c r="A13" s="805" t="s">
        <v>793</v>
      </c>
      <c r="B13" s="808">
        <v>1734.66</v>
      </c>
      <c r="C13" s="807">
        <f>SUM(B13/0.65)</f>
        <v>2668.7076923076925</v>
      </c>
      <c r="G13" s="792"/>
      <c r="H13" s="792"/>
    </row>
    <row r="14" spans="1:8" x14ac:dyDescent="0.3">
      <c r="A14" s="805" t="s">
        <v>870</v>
      </c>
      <c r="B14" s="793"/>
      <c r="C14" s="807"/>
      <c r="G14" s="792"/>
      <c r="H14" s="792"/>
    </row>
    <row r="15" spans="1:8" x14ac:dyDescent="0.3">
      <c r="A15" s="805" t="s">
        <v>792</v>
      </c>
      <c r="B15" s="793">
        <v>259.83999999999997</v>
      </c>
      <c r="C15" s="807">
        <f>SUM(B15/0.65)</f>
        <v>399.7538461538461</v>
      </c>
      <c r="G15" s="792"/>
      <c r="H15" s="792"/>
    </row>
    <row r="16" spans="1:8" x14ac:dyDescent="0.3">
      <c r="A16" s="805"/>
      <c r="B16" s="793"/>
      <c r="C16" s="809"/>
    </row>
    <row r="17" spans="1:3" ht="19.5" thickBot="1" x14ac:dyDescent="0.35">
      <c r="A17" s="797"/>
      <c r="B17" s="810"/>
      <c r="C17" s="816">
        <f>SUM(C12:C15)</f>
        <v>4568.461538461539</v>
      </c>
    </row>
    <row r="19" spans="1:3" x14ac:dyDescent="0.3">
      <c r="A19" s="813" t="s">
        <v>871</v>
      </c>
      <c r="B19" s="814"/>
    </row>
    <row r="20" spans="1:3" x14ac:dyDescent="0.3">
      <c r="A20" s="794" t="s">
        <v>876</v>
      </c>
      <c r="B20" s="795">
        <f>24.68*62.7</f>
        <v>1547.4360000000001</v>
      </c>
    </row>
    <row r="21" spans="1:3" x14ac:dyDescent="0.3">
      <c r="A21" s="794" t="s">
        <v>877</v>
      </c>
      <c r="B21" s="795">
        <f>1.1*62.7</f>
        <v>68.970000000000013</v>
      </c>
    </row>
    <row r="22" spans="1:3" x14ac:dyDescent="0.3">
      <c r="A22" s="794" t="s">
        <v>878</v>
      </c>
      <c r="B22" s="796">
        <f>4.3*27.5</f>
        <v>118.25</v>
      </c>
    </row>
    <row r="23" spans="1:3" ht="19.5" thickBot="1" x14ac:dyDescent="0.35">
      <c r="A23" s="797"/>
      <c r="B23" s="786">
        <f>SUM(B20:B22)</f>
        <v>1734.6560000000002</v>
      </c>
      <c r="C23" s="798" t="s">
        <v>872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6AE9-72F9-4FE1-82BA-BBA9A06912E8}">
  <dimension ref="A1:Q87"/>
  <sheetViews>
    <sheetView topLeftCell="A28" workbookViewId="0">
      <selection activeCell="B36" sqref="B36"/>
    </sheetView>
  </sheetViews>
  <sheetFormatPr defaultColWidth="9.140625" defaultRowHeight="15.75" x14ac:dyDescent="0.25"/>
  <cols>
    <col min="1" max="1" width="38.5703125" style="539" customWidth="1"/>
    <col min="2" max="2" width="13.140625" style="665" customWidth="1"/>
    <col min="3" max="3" width="12.85546875" style="666" customWidth="1"/>
    <col min="4" max="4" width="13.140625" style="665" customWidth="1"/>
    <col min="5" max="5" width="16.140625" style="665" customWidth="1"/>
    <col min="6" max="6" width="17.140625" style="666" customWidth="1"/>
    <col min="7" max="7" width="20" style="666" customWidth="1"/>
    <col min="8" max="8" width="9.140625" style="539"/>
    <col min="9" max="9" width="26.7109375" style="539" customWidth="1"/>
    <col min="10" max="10" width="15" style="539" customWidth="1"/>
    <col min="11" max="11" width="14.42578125" style="539" customWidth="1"/>
    <col min="12" max="12" width="17.140625" style="539" customWidth="1"/>
    <col min="13" max="13" width="22.7109375" style="539" customWidth="1"/>
    <col min="14" max="15" width="20.42578125" style="539" customWidth="1"/>
    <col min="16" max="16" width="22.28515625" style="539" customWidth="1"/>
    <col min="17" max="16384" width="9.140625" style="539"/>
  </cols>
  <sheetData>
    <row r="1" spans="1:17" ht="21.95" customHeight="1" thickBot="1" x14ac:dyDescent="0.3">
      <c r="A1" s="536"/>
      <c r="B1" s="537"/>
      <c r="C1" s="538"/>
      <c r="D1" s="537"/>
      <c r="E1" s="537"/>
      <c r="F1" s="538"/>
      <c r="G1" s="538"/>
      <c r="H1" s="678"/>
      <c r="I1" s="962" t="s">
        <v>752</v>
      </c>
      <c r="J1" s="962"/>
      <c r="K1" s="962"/>
      <c r="L1" s="962"/>
      <c r="M1" s="962"/>
      <c r="N1" s="962"/>
      <c r="O1" s="962"/>
      <c r="P1" s="962"/>
      <c r="Q1" s="678"/>
    </row>
    <row r="2" spans="1:17" ht="21.95" customHeight="1" x14ac:dyDescent="0.3">
      <c r="A2" s="540">
        <v>46154</v>
      </c>
      <c r="B2" s="949" t="s">
        <v>694</v>
      </c>
      <c r="C2" s="949"/>
      <c r="D2" s="949"/>
      <c r="E2" s="950"/>
      <c r="F2" s="541"/>
      <c r="G2" s="542"/>
      <c r="H2" s="667"/>
      <c r="I2" s="540"/>
      <c r="J2" s="949" t="s">
        <v>694</v>
      </c>
      <c r="K2" s="949"/>
      <c r="L2" s="949"/>
      <c r="M2" s="949"/>
      <c r="N2" s="949"/>
      <c r="O2" s="949"/>
      <c r="P2" s="950"/>
      <c r="Q2" s="667"/>
    </row>
    <row r="3" spans="1:17" ht="44.25" customHeight="1" thickBot="1" x14ac:dyDescent="0.3">
      <c r="A3" s="543" t="s">
        <v>695</v>
      </c>
      <c r="B3" s="951" t="s">
        <v>696</v>
      </c>
      <c r="C3" s="951"/>
      <c r="D3" s="951" t="s">
        <v>697</v>
      </c>
      <c r="E3" s="952"/>
      <c r="F3" s="544"/>
      <c r="G3" s="545"/>
      <c r="H3" s="667"/>
      <c r="I3" s="543" t="s">
        <v>751</v>
      </c>
      <c r="J3" s="951" t="s">
        <v>696</v>
      </c>
      <c r="K3" s="951"/>
      <c r="L3" s="951" t="s">
        <v>697</v>
      </c>
      <c r="M3" s="951"/>
      <c r="N3" s="951"/>
      <c r="O3" s="951"/>
      <c r="P3" s="952"/>
      <c r="Q3" s="667"/>
    </row>
    <row r="4" spans="1:17" ht="25.5" customHeight="1" x14ac:dyDescent="0.25">
      <c r="A4" s="953" t="s">
        <v>698</v>
      </c>
      <c r="B4" s="954"/>
      <c r="C4" s="954"/>
      <c r="D4" s="954"/>
      <c r="E4" s="955"/>
      <c r="F4" s="546"/>
      <c r="G4" s="545"/>
      <c r="H4" s="667"/>
      <c r="I4" s="953" t="s">
        <v>698</v>
      </c>
      <c r="J4" s="954"/>
      <c r="K4" s="954"/>
      <c r="L4" s="954"/>
      <c r="M4" s="954"/>
      <c r="N4" s="954"/>
      <c r="O4" s="954"/>
      <c r="P4" s="955"/>
      <c r="Q4" s="667"/>
    </row>
    <row r="5" spans="1:17" ht="45" customHeight="1" thickBot="1" x14ac:dyDescent="0.3">
      <c r="A5" s="956" t="s">
        <v>699</v>
      </c>
      <c r="B5" s="957"/>
      <c r="C5" s="957"/>
      <c r="D5" s="957"/>
      <c r="E5" s="958"/>
      <c r="F5" s="546"/>
      <c r="G5" s="545"/>
      <c r="H5" s="667"/>
      <c r="I5" s="956" t="s">
        <v>699</v>
      </c>
      <c r="J5" s="957"/>
      <c r="K5" s="957"/>
      <c r="L5" s="957"/>
      <c r="M5" s="957"/>
      <c r="N5" s="957"/>
      <c r="O5" s="957"/>
      <c r="P5" s="958"/>
      <c r="Q5" s="667"/>
    </row>
    <row r="6" spans="1:17" ht="67.5" customHeight="1" x14ac:dyDescent="0.25">
      <c r="A6" s="547" t="s">
        <v>700</v>
      </c>
      <c r="B6" s="548" t="s">
        <v>701</v>
      </c>
      <c r="C6" s="549" t="s">
        <v>702</v>
      </c>
      <c r="D6" s="548" t="s">
        <v>703</v>
      </c>
      <c r="E6" s="550" t="s">
        <v>704</v>
      </c>
      <c r="F6" s="538"/>
      <c r="G6" s="545"/>
      <c r="H6" s="667"/>
      <c r="I6" s="547" t="s">
        <v>700</v>
      </c>
      <c r="J6" s="548" t="s">
        <v>701</v>
      </c>
      <c r="K6" s="549" t="s">
        <v>702</v>
      </c>
      <c r="L6" s="548" t="s">
        <v>703</v>
      </c>
      <c r="M6" s="669" t="s">
        <v>753</v>
      </c>
      <c r="N6" s="550" t="s">
        <v>704</v>
      </c>
      <c r="O6" s="550" t="s">
        <v>754</v>
      </c>
      <c r="P6" s="550" t="s">
        <v>755</v>
      </c>
      <c r="Q6" s="667"/>
    </row>
    <row r="7" spans="1:17" ht="21.95" customHeight="1" x14ac:dyDescent="0.25">
      <c r="A7" s="551" t="s">
        <v>705</v>
      </c>
      <c r="B7" s="552">
        <v>14436</v>
      </c>
      <c r="C7" s="553"/>
      <c r="D7" s="552"/>
      <c r="E7" s="554"/>
      <c r="F7" s="538"/>
      <c r="G7" s="545"/>
      <c r="H7" s="667"/>
      <c r="I7" s="551" t="s">
        <v>705</v>
      </c>
      <c r="J7" s="552">
        <v>14436</v>
      </c>
      <c r="K7" s="553"/>
      <c r="L7" s="552">
        <v>2165</v>
      </c>
      <c r="M7" s="594">
        <v>2743</v>
      </c>
      <c r="N7" s="554">
        <v>3609</v>
      </c>
      <c r="O7" s="554">
        <v>3609</v>
      </c>
      <c r="P7" s="554">
        <v>4331</v>
      </c>
      <c r="Q7" s="667"/>
    </row>
    <row r="8" spans="1:17" ht="21.95" customHeight="1" x14ac:dyDescent="0.25">
      <c r="A8" s="551" t="s">
        <v>120</v>
      </c>
      <c r="B8" s="552">
        <v>3035</v>
      </c>
      <c r="C8" s="553"/>
      <c r="D8" s="552"/>
      <c r="E8" s="554">
        <v>759</v>
      </c>
      <c r="F8" s="538"/>
      <c r="G8" s="545"/>
      <c r="H8" s="667"/>
      <c r="I8" s="551" t="s">
        <v>120</v>
      </c>
      <c r="J8" s="552">
        <v>3035</v>
      </c>
      <c r="K8" s="553"/>
      <c r="L8" s="552">
        <v>455</v>
      </c>
      <c r="M8" s="594">
        <v>577</v>
      </c>
      <c r="N8" s="554">
        <v>759</v>
      </c>
      <c r="O8" s="554">
        <v>759</v>
      </c>
      <c r="P8" s="554">
        <v>911</v>
      </c>
      <c r="Q8" s="667"/>
    </row>
    <row r="9" spans="1:17" ht="21.95" customHeight="1" x14ac:dyDescent="0.25">
      <c r="A9" s="551" t="s">
        <v>721</v>
      </c>
      <c r="B9" s="552">
        <v>702</v>
      </c>
      <c r="C9" s="553"/>
      <c r="D9" s="552"/>
      <c r="E9" s="554">
        <v>176</v>
      </c>
      <c r="F9" s="538"/>
      <c r="G9" s="545"/>
      <c r="H9" s="667"/>
      <c r="I9" s="551" t="s">
        <v>721</v>
      </c>
      <c r="J9" s="552">
        <v>702</v>
      </c>
      <c r="K9" s="553"/>
      <c r="L9" s="552">
        <v>176</v>
      </c>
      <c r="M9" s="594"/>
      <c r="N9" s="554"/>
      <c r="O9" s="554"/>
      <c r="P9" s="554"/>
      <c r="Q9" s="667"/>
    </row>
    <row r="10" spans="1:17" ht="21.95" customHeight="1" x14ac:dyDescent="0.25">
      <c r="A10" s="551" t="s">
        <v>706</v>
      </c>
      <c r="B10" s="552">
        <v>850</v>
      </c>
      <c r="C10" s="553"/>
      <c r="D10" s="552"/>
      <c r="E10" s="554"/>
      <c r="F10" s="538"/>
      <c r="G10" s="545"/>
      <c r="H10" s="667"/>
      <c r="I10" s="551" t="s">
        <v>706</v>
      </c>
      <c r="J10" s="552">
        <v>850</v>
      </c>
      <c r="K10" s="553"/>
      <c r="L10" s="552">
        <v>128</v>
      </c>
      <c r="M10" s="594">
        <v>162</v>
      </c>
      <c r="N10" s="554">
        <v>213</v>
      </c>
      <c r="O10" s="554">
        <v>213</v>
      </c>
      <c r="P10" s="554">
        <v>255</v>
      </c>
      <c r="Q10" s="667"/>
    </row>
    <row r="11" spans="1:17" ht="45" customHeight="1" x14ac:dyDescent="0.25">
      <c r="A11" s="551" t="s">
        <v>707</v>
      </c>
      <c r="B11" s="552">
        <v>751</v>
      </c>
      <c r="C11" s="553"/>
      <c r="D11" s="552"/>
      <c r="E11" s="554"/>
      <c r="F11" s="538"/>
      <c r="G11" s="545"/>
      <c r="H11" s="667"/>
      <c r="I11" s="551" t="s">
        <v>707</v>
      </c>
      <c r="J11" s="552">
        <v>751</v>
      </c>
      <c r="K11" s="553"/>
      <c r="L11" s="552">
        <v>113</v>
      </c>
      <c r="M11" s="594">
        <v>143</v>
      </c>
      <c r="N11" s="554">
        <v>188</v>
      </c>
      <c r="O11" s="554">
        <v>188</v>
      </c>
      <c r="P11" s="554">
        <v>225</v>
      </c>
      <c r="Q11" s="667"/>
    </row>
    <row r="12" spans="1:17" ht="21.95" customHeight="1" x14ac:dyDescent="0.25">
      <c r="A12" s="551" t="s">
        <v>708</v>
      </c>
      <c r="B12" s="552"/>
      <c r="C12" s="553">
        <f>SUM(96+162)</f>
        <v>258</v>
      </c>
      <c r="D12" s="552"/>
      <c r="E12" s="554"/>
      <c r="F12" s="538"/>
      <c r="G12" s="545"/>
      <c r="H12" s="667"/>
      <c r="I12" s="551" t="s">
        <v>708</v>
      </c>
      <c r="J12" s="552"/>
      <c r="K12" s="553">
        <f>SUM(96+162)</f>
        <v>258</v>
      </c>
      <c r="L12" s="552">
        <v>0</v>
      </c>
      <c r="M12" s="594">
        <v>339</v>
      </c>
      <c r="N12" s="554"/>
      <c r="O12" s="554"/>
      <c r="P12" s="554"/>
      <c r="Q12" s="667"/>
    </row>
    <row r="13" spans="1:17" ht="21.95" customHeight="1" x14ac:dyDescent="0.25">
      <c r="A13" s="555" t="s">
        <v>709</v>
      </c>
      <c r="B13" s="556">
        <v>4763</v>
      </c>
      <c r="C13" s="557"/>
      <c r="D13" s="556"/>
      <c r="E13" s="558"/>
      <c r="F13" s="538"/>
      <c r="G13" s="545"/>
      <c r="H13" s="667"/>
      <c r="I13" s="555" t="s">
        <v>709</v>
      </c>
      <c r="J13" s="556">
        <v>4763</v>
      </c>
      <c r="K13" s="557"/>
      <c r="L13" s="556">
        <v>714</v>
      </c>
      <c r="M13" s="670">
        <v>905</v>
      </c>
      <c r="N13" s="558">
        <v>1191</v>
      </c>
      <c r="O13" s="558">
        <v>1191</v>
      </c>
      <c r="P13" s="558">
        <v>1429</v>
      </c>
      <c r="Q13" s="667"/>
    </row>
    <row r="14" spans="1:17" ht="21.95" customHeight="1" x14ac:dyDescent="0.25">
      <c r="A14" s="555" t="s">
        <v>710</v>
      </c>
      <c r="B14" s="556"/>
      <c r="C14" s="557">
        <v>80</v>
      </c>
      <c r="D14" s="556"/>
      <c r="E14" s="558"/>
      <c r="F14" s="538"/>
      <c r="G14" s="545"/>
      <c r="H14" s="667"/>
      <c r="I14" s="555" t="s">
        <v>710</v>
      </c>
      <c r="J14" s="556"/>
      <c r="K14" s="557">
        <v>80</v>
      </c>
      <c r="L14" s="556">
        <v>0</v>
      </c>
      <c r="M14" s="670"/>
      <c r="N14" s="558"/>
      <c r="O14" s="558"/>
      <c r="P14" s="558"/>
      <c r="Q14" s="667"/>
    </row>
    <row r="15" spans="1:17" ht="21.95" customHeight="1" x14ac:dyDescent="0.25">
      <c r="A15" s="559" t="s">
        <v>531</v>
      </c>
      <c r="B15" s="560">
        <v>1785</v>
      </c>
      <c r="C15" s="561"/>
      <c r="D15" s="560"/>
      <c r="E15" s="562">
        <v>446</v>
      </c>
      <c r="F15" s="538"/>
      <c r="G15" s="545"/>
      <c r="H15" s="667"/>
      <c r="I15" s="559" t="s">
        <v>531</v>
      </c>
      <c r="J15" s="560">
        <v>1785</v>
      </c>
      <c r="K15" s="561"/>
      <c r="L15" s="560">
        <v>268</v>
      </c>
      <c r="M15" s="671">
        <v>339</v>
      </c>
      <c r="N15" s="562">
        <v>446</v>
      </c>
      <c r="O15" s="562">
        <v>446</v>
      </c>
      <c r="P15" s="562">
        <v>536</v>
      </c>
      <c r="Q15" s="667"/>
    </row>
    <row r="16" spans="1:17" ht="21.95" customHeight="1" x14ac:dyDescent="0.25">
      <c r="A16" s="559" t="s">
        <v>711</v>
      </c>
      <c r="B16" s="560"/>
      <c r="C16" s="561" t="s">
        <v>712</v>
      </c>
      <c r="D16" s="560"/>
      <c r="E16" s="562"/>
      <c r="F16" s="538"/>
      <c r="G16" s="545"/>
      <c r="H16" s="667"/>
      <c r="I16" s="559" t="s">
        <v>711</v>
      </c>
      <c r="J16" s="560"/>
      <c r="K16" s="561" t="s">
        <v>712</v>
      </c>
      <c r="L16" s="560">
        <v>0</v>
      </c>
      <c r="M16" s="671"/>
      <c r="N16" s="562"/>
      <c r="O16" s="562"/>
      <c r="P16" s="562"/>
      <c r="Q16" s="667"/>
    </row>
    <row r="17" spans="1:17" ht="21.95" customHeight="1" x14ac:dyDescent="0.25">
      <c r="A17" s="563" t="s">
        <v>535</v>
      </c>
      <c r="B17" s="564">
        <v>1017</v>
      </c>
      <c r="C17" s="565"/>
      <c r="D17" s="564"/>
      <c r="E17" s="566">
        <v>254</v>
      </c>
      <c r="F17" s="538"/>
      <c r="G17" s="545"/>
      <c r="H17" s="668"/>
      <c r="I17" s="563" t="s">
        <v>535</v>
      </c>
      <c r="J17" s="564">
        <v>1017</v>
      </c>
      <c r="K17" s="565"/>
      <c r="L17" s="564">
        <v>153</v>
      </c>
      <c r="M17" s="609">
        <v>193</v>
      </c>
      <c r="N17" s="566">
        <v>254</v>
      </c>
      <c r="O17" s="566">
        <v>254</v>
      </c>
      <c r="P17" s="566">
        <v>305</v>
      </c>
      <c r="Q17" s="667"/>
    </row>
    <row r="18" spans="1:17" ht="21.95" customHeight="1" x14ac:dyDescent="0.25">
      <c r="A18" s="563" t="s">
        <v>713</v>
      </c>
      <c r="B18" s="564"/>
      <c r="C18" s="565" t="s">
        <v>712</v>
      </c>
      <c r="D18" s="564"/>
      <c r="E18" s="566"/>
      <c r="F18" s="538"/>
      <c r="G18" s="545"/>
      <c r="H18" s="667"/>
      <c r="I18" s="563" t="s">
        <v>713</v>
      </c>
      <c r="J18" s="564"/>
      <c r="K18" s="565" t="s">
        <v>712</v>
      </c>
      <c r="L18" s="564">
        <v>0</v>
      </c>
      <c r="M18" s="609"/>
      <c r="N18" s="566"/>
      <c r="O18" s="566"/>
      <c r="P18" s="566"/>
      <c r="Q18" s="667"/>
    </row>
    <row r="19" spans="1:17" ht="21.95" customHeight="1" x14ac:dyDescent="0.25">
      <c r="A19" s="567" t="s">
        <v>121</v>
      </c>
      <c r="B19" s="568">
        <v>983</v>
      </c>
      <c r="C19" s="569"/>
      <c r="D19" s="568"/>
      <c r="E19" s="570"/>
      <c r="F19" s="538"/>
      <c r="G19" s="545"/>
      <c r="H19" s="667"/>
      <c r="I19" s="567" t="s">
        <v>121</v>
      </c>
      <c r="J19" s="568">
        <v>983</v>
      </c>
      <c r="K19" s="569"/>
      <c r="L19" s="568">
        <v>147</v>
      </c>
      <c r="M19" s="672">
        <v>187</v>
      </c>
      <c r="N19" s="570">
        <v>246</v>
      </c>
      <c r="O19" s="570">
        <v>246</v>
      </c>
      <c r="P19" s="570">
        <v>295</v>
      </c>
      <c r="Q19" s="667"/>
    </row>
    <row r="20" spans="1:17" ht="21.95" customHeight="1" x14ac:dyDescent="0.25">
      <c r="A20" s="571" t="s">
        <v>714</v>
      </c>
      <c r="B20" s="572">
        <v>1516</v>
      </c>
      <c r="C20" s="573"/>
      <c r="D20" s="572">
        <v>227</v>
      </c>
      <c r="E20" s="574"/>
      <c r="F20" s="538"/>
      <c r="G20" s="545"/>
      <c r="H20" s="667"/>
      <c r="I20" s="571" t="s">
        <v>714</v>
      </c>
      <c r="J20" s="572">
        <v>1516</v>
      </c>
      <c r="K20" s="573"/>
      <c r="L20" s="572">
        <v>227</v>
      </c>
      <c r="M20" s="673">
        <v>288</v>
      </c>
      <c r="N20" s="574">
        <v>379</v>
      </c>
      <c r="O20" s="574">
        <v>379</v>
      </c>
      <c r="P20" s="574">
        <v>455</v>
      </c>
      <c r="Q20" s="667"/>
    </row>
    <row r="21" spans="1:17" ht="21.95" customHeight="1" x14ac:dyDescent="0.25">
      <c r="A21" s="571" t="s">
        <v>715</v>
      </c>
      <c r="B21" s="572"/>
      <c r="C21" s="573" t="s">
        <v>712</v>
      </c>
      <c r="D21" s="572"/>
      <c r="E21" s="574"/>
      <c r="F21" s="538"/>
      <c r="G21" s="545"/>
      <c r="H21" s="667"/>
      <c r="I21" s="571" t="s">
        <v>715</v>
      </c>
      <c r="J21" s="572"/>
      <c r="K21" s="573" t="s">
        <v>712</v>
      </c>
      <c r="L21" s="572"/>
      <c r="M21" s="673"/>
      <c r="N21" s="574"/>
      <c r="O21" s="574"/>
      <c r="P21" s="574"/>
      <c r="Q21" s="667"/>
    </row>
    <row r="22" spans="1:17" ht="21.95" customHeight="1" x14ac:dyDescent="0.25">
      <c r="A22" s="575" t="s">
        <v>716</v>
      </c>
      <c r="B22" s="576">
        <f>SUM(B7:B20)</f>
        <v>29838</v>
      </c>
      <c r="C22" s="577">
        <f>SUM(C7:C21)</f>
        <v>338</v>
      </c>
      <c r="D22" s="578">
        <f>SUM(D7:D20)</f>
        <v>227</v>
      </c>
      <c r="E22" s="579">
        <f>SUM(E7:E20)</f>
        <v>1635</v>
      </c>
      <c r="F22" s="538"/>
      <c r="G22" s="545"/>
      <c r="H22" s="667"/>
      <c r="I22" s="575" t="s">
        <v>716</v>
      </c>
      <c r="J22" s="576">
        <f>SUM(J7:J20)</f>
        <v>29838</v>
      </c>
      <c r="K22" s="577"/>
      <c r="L22" s="578"/>
      <c r="M22" s="674"/>
      <c r="N22" s="579"/>
      <c r="O22" s="579"/>
      <c r="P22" s="579"/>
      <c r="Q22" s="667"/>
    </row>
    <row r="23" spans="1:17" ht="21.95" customHeight="1" thickBot="1" x14ac:dyDescent="0.35">
      <c r="A23" s="580" t="s">
        <v>717</v>
      </c>
      <c r="B23" s="581">
        <f>SUM(B22:E22)</f>
        <v>32038</v>
      </c>
      <c r="C23" s="582"/>
      <c r="D23" s="583"/>
      <c r="E23" s="584"/>
      <c r="F23" s="585"/>
      <c r="G23" s="545"/>
      <c r="H23" s="667"/>
      <c r="I23" s="580" t="s">
        <v>717</v>
      </c>
      <c r="J23" s="581"/>
      <c r="K23" s="582"/>
      <c r="L23" s="583"/>
      <c r="M23" s="583"/>
      <c r="N23" s="584"/>
      <c r="O23" s="584"/>
      <c r="P23" s="584"/>
      <c r="Q23" s="667"/>
    </row>
    <row r="24" spans="1:17" ht="21.95" customHeight="1" thickBot="1" x14ac:dyDescent="0.35">
      <c r="A24" s="586" t="s">
        <v>718</v>
      </c>
      <c r="B24" s="587">
        <f>SUM(B23/0.65)</f>
        <v>49289.230769230766</v>
      </c>
      <c r="C24" s="588"/>
      <c r="D24" s="588"/>
      <c r="E24" s="589"/>
      <c r="F24" s="585"/>
      <c r="G24" s="545"/>
      <c r="H24" s="667"/>
      <c r="I24" s="586"/>
      <c r="J24" s="587"/>
      <c r="K24" s="588"/>
      <c r="L24" s="588"/>
      <c r="M24" s="588"/>
      <c r="N24" s="589"/>
      <c r="O24" s="589"/>
      <c r="P24" s="589"/>
      <c r="Q24" s="667"/>
    </row>
    <row r="25" spans="1:17" ht="21.95" customHeight="1" thickBot="1" x14ac:dyDescent="0.35">
      <c r="A25" s="590"/>
      <c r="B25" s="591"/>
      <c r="C25" s="583"/>
      <c r="D25" s="583"/>
      <c r="E25" s="583"/>
      <c r="F25" s="585"/>
      <c r="G25" s="545"/>
      <c r="H25" s="667"/>
      <c r="I25" s="590"/>
      <c r="J25" s="591"/>
      <c r="K25" s="583"/>
      <c r="L25" s="583"/>
      <c r="M25" s="583"/>
      <c r="N25" s="583"/>
      <c r="O25" s="583"/>
      <c r="P25" s="583"/>
      <c r="Q25" s="667"/>
    </row>
    <row r="26" spans="1:17" ht="21.95" customHeight="1" thickBot="1" x14ac:dyDescent="0.3">
      <c r="A26" s="959" t="s">
        <v>719</v>
      </c>
      <c r="B26" s="960"/>
      <c r="C26" s="960"/>
      <c r="D26" s="960"/>
      <c r="E26" s="961"/>
      <c r="F26" s="592" t="s">
        <v>19</v>
      </c>
      <c r="G26" s="593" t="s">
        <v>720</v>
      </c>
      <c r="H26" s="667"/>
      <c r="I26" s="959" t="s">
        <v>719</v>
      </c>
      <c r="J26" s="960"/>
      <c r="K26" s="960"/>
      <c r="L26" s="960"/>
      <c r="M26" s="960"/>
      <c r="N26" s="960"/>
      <c r="O26" s="960"/>
      <c r="P26" s="961"/>
      <c r="Q26" s="667"/>
    </row>
    <row r="27" spans="1:17" ht="21.95" customHeight="1" x14ac:dyDescent="0.25">
      <c r="A27" s="551" t="s">
        <v>722</v>
      </c>
      <c r="B27" s="552">
        <v>3376</v>
      </c>
      <c r="C27" s="553"/>
      <c r="D27" s="552"/>
      <c r="E27" s="594"/>
      <c r="F27" s="596">
        <f>SUM(B27:E27)</f>
        <v>3376</v>
      </c>
      <c r="G27" s="595">
        <f>SUM(F27/0.65)</f>
        <v>5193.8461538461534</v>
      </c>
      <c r="H27" s="667"/>
      <c r="I27" s="551" t="s">
        <v>722</v>
      </c>
      <c r="J27" s="552">
        <v>3376</v>
      </c>
      <c r="K27" s="553"/>
      <c r="L27" s="552">
        <v>506</v>
      </c>
      <c r="M27" s="594">
        <v>641</v>
      </c>
      <c r="N27" s="594">
        <v>844</v>
      </c>
      <c r="O27" s="594">
        <v>844</v>
      </c>
      <c r="P27" s="594">
        <v>1013</v>
      </c>
      <c r="Q27" s="667"/>
    </row>
    <row r="28" spans="1:17" ht="21.95" customHeight="1" x14ac:dyDescent="0.25">
      <c r="A28" s="597" t="s">
        <v>595</v>
      </c>
      <c r="B28" s="598">
        <v>2034</v>
      </c>
      <c r="C28" s="599"/>
      <c r="D28" s="598"/>
      <c r="E28" s="600">
        <v>509</v>
      </c>
      <c r="F28" s="596">
        <f>SUM(B28:E28)</f>
        <v>2543</v>
      </c>
      <c r="G28" s="595">
        <f t="shared" ref="G28:G30" si="0">SUM(F28/0.65)</f>
        <v>3912.3076923076924</v>
      </c>
      <c r="H28" s="668"/>
      <c r="I28" s="597" t="s">
        <v>595</v>
      </c>
      <c r="J28" s="598">
        <v>2034</v>
      </c>
      <c r="K28" s="599"/>
      <c r="L28" s="598">
        <v>305</v>
      </c>
      <c r="M28" s="600">
        <v>386</v>
      </c>
      <c r="N28" s="600">
        <v>509</v>
      </c>
      <c r="O28" s="600">
        <v>509</v>
      </c>
      <c r="P28" s="600">
        <v>310</v>
      </c>
      <c r="Q28" s="667"/>
    </row>
    <row r="29" spans="1:17" ht="21.95" customHeight="1" x14ac:dyDescent="0.25">
      <c r="A29" s="597" t="s">
        <v>723</v>
      </c>
      <c r="B29" s="598">
        <v>2561</v>
      </c>
      <c r="C29" s="599"/>
      <c r="D29" s="598"/>
      <c r="E29" s="600">
        <v>640</v>
      </c>
      <c r="F29" s="596">
        <f>SUM(B29:E29)</f>
        <v>3201</v>
      </c>
      <c r="G29" s="595">
        <f t="shared" si="0"/>
        <v>4924.6153846153848</v>
      </c>
      <c r="H29" s="667"/>
      <c r="I29" s="597" t="s">
        <v>723</v>
      </c>
      <c r="J29" s="598">
        <v>2561</v>
      </c>
      <c r="K29" s="599"/>
      <c r="L29" s="598">
        <v>384</v>
      </c>
      <c r="M29" s="600">
        <v>487</v>
      </c>
      <c r="N29" s="600">
        <v>640</v>
      </c>
      <c r="O29" s="600">
        <v>640</v>
      </c>
      <c r="P29" s="600">
        <v>768</v>
      </c>
      <c r="Q29" s="667"/>
    </row>
    <row r="30" spans="1:17" ht="21.95" customHeight="1" x14ac:dyDescent="0.25">
      <c r="A30" s="601" t="s">
        <v>183</v>
      </c>
      <c r="B30" s="602">
        <v>2004</v>
      </c>
      <c r="C30" s="603"/>
      <c r="D30" s="602"/>
      <c r="E30" s="604"/>
      <c r="F30" s="596">
        <f>SUM(B30:E31)</f>
        <v>2020</v>
      </c>
      <c r="G30" s="595">
        <f t="shared" si="0"/>
        <v>3107.6923076923076</v>
      </c>
      <c r="H30" s="667"/>
      <c r="I30" s="601" t="s">
        <v>183</v>
      </c>
      <c r="J30" s="602">
        <v>2004</v>
      </c>
      <c r="K30" s="603"/>
      <c r="L30" s="602">
        <v>301</v>
      </c>
      <c r="M30" s="604">
        <v>381</v>
      </c>
      <c r="N30" s="604">
        <v>501</v>
      </c>
      <c r="O30" s="604">
        <v>501</v>
      </c>
      <c r="P30" s="604">
        <v>601</v>
      </c>
      <c r="Q30" s="667"/>
    </row>
    <row r="31" spans="1:17" ht="64.5" customHeight="1" x14ac:dyDescent="0.25">
      <c r="A31" s="601" t="s">
        <v>724</v>
      </c>
      <c r="B31" s="602"/>
      <c r="C31" s="603">
        <v>16</v>
      </c>
      <c r="D31" s="602"/>
      <c r="E31" s="604"/>
      <c r="F31" s="596"/>
      <c r="G31" s="595"/>
      <c r="H31" s="667"/>
      <c r="I31" s="601" t="s">
        <v>724</v>
      </c>
      <c r="J31" s="602"/>
      <c r="K31" s="603">
        <v>16</v>
      </c>
      <c r="L31" s="602"/>
      <c r="M31" s="604"/>
      <c r="N31" s="604"/>
      <c r="O31" s="604"/>
      <c r="P31" s="604"/>
      <c r="Q31" s="667"/>
    </row>
    <row r="32" spans="1:17" ht="21.95" customHeight="1" x14ac:dyDescent="0.25">
      <c r="A32" s="605" t="s">
        <v>304</v>
      </c>
      <c r="B32" s="606">
        <v>3986</v>
      </c>
      <c r="C32" s="607"/>
      <c r="D32" s="606">
        <v>598</v>
      </c>
      <c r="E32" s="608"/>
      <c r="F32" s="596">
        <f>SUM(B32:E33)</f>
        <v>4584</v>
      </c>
      <c r="G32" s="595">
        <f>SUM(F32/0.65)</f>
        <v>7052.3076923076924</v>
      </c>
      <c r="H32" s="667"/>
      <c r="I32" s="605" t="s">
        <v>304</v>
      </c>
      <c r="J32" s="606">
        <v>3986</v>
      </c>
      <c r="K32" s="607"/>
      <c r="L32" s="606">
        <v>598</v>
      </c>
      <c r="M32" s="608">
        <v>757</v>
      </c>
      <c r="N32" s="608">
        <v>997</v>
      </c>
      <c r="O32" s="608">
        <v>997</v>
      </c>
      <c r="P32" s="608">
        <v>1196</v>
      </c>
      <c r="Q32" s="667"/>
    </row>
    <row r="33" spans="1:17" ht="21.95" customHeight="1" x14ac:dyDescent="0.25">
      <c r="A33" s="605" t="s">
        <v>725</v>
      </c>
      <c r="B33" s="606"/>
      <c r="C33" s="607" t="s">
        <v>712</v>
      </c>
      <c r="D33" s="606"/>
      <c r="E33" s="608"/>
      <c r="F33" s="596"/>
      <c r="G33" s="595"/>
      <c r="H33" s="667"/>
      <c r="I33" s="605" t="s">
        <v>725</v>
      </c>
      <c r="J33" s="606"/>
      <c r="K33" s="607" t="s">
        <v>712</v>
      </c>
      <c r="L33" s="606"/>
      <c r="M33" s="608"/>
      <c r="N33" s="608"/>
      <c r="O33" s="608"/>
      <c r="P33" s="608"/>
      <c r="Q33" s="667"/>
    </row>
    <row r="34" spans="1:17" ht="21.95" customHeight="1" x14ac:dyDescent="0.25">
      <c r="A34" s="563" t="s">
        <v>726</v>
      </c>
      <c r="B34" s="564">
        <v>1538</v>
      </c>
      <c r="C34" s="565"/>
      <c r="D34" s="564">
        <v>231</v>
      </c>
      <c r="E34" s="609"/>
      <c r="F34" s="596">
        <f>SUM(B34:E35)</f>
        <v>1777</v>
      </c>
      <c r="G34" s="595">
        <f>SUM(F34/0.65)</f>
        <v>2733.8461538461538</v>
      </c>
      <c r="H34" s="667"/>
      <c r="I34" s="563" t="s">
        <v>726</v>
      </c>
      <c r="J34" s="564">
        <v>1538</v>
      </c>
      <c r="K34" s="565"/>
      <c r="L34" s="564">
        <v>231</v>
      </c>
      <c r="M34" s="609">
        <v>292</v>
      </c>
      <c r="N34" s="609">
        <v>385</v>
      </c>
      <c r="O34" s="609">
        <v>385</v>
      </c>
      <c r="P34" s="609">
        <v>461</v>
      </c>
      <c r="Q34" s="667"/>
    </row>
    <row r="35" spans="1:17" ht="21.95" customHeight="1" x14ac:dyDescent="0.25">
      <c r="A35" s="563" t="s">
        <v>727</v>
      </c>
      <c r="B35" s="564"/>
      <c r="C35" s="565">
        <v>8</v>
      </c>
      <c r="D35" s="564"/>
      <c r="E35" s="609"/>
      <c r="F35" s="596"/>
      <c r="G35" s="595"/>
      <c r="H35" s="667"/>
      <c r="I35" s="563" t="s">
        <v>727</v>
      </c>
      <c r="J35" s="564"/>
      <c r="K35" s="565">
        <v>8</v>
      </c>
      <c r="L35" s="564"/>
      <c r="M35" s="609"/>
      <c r="N35" s="609"/>
      <c r="O35" s="609"/>
      <c r="P35" s="609"/>
      <c r="Q35" s="667"/>
    </row>
    <row r="36" spans="1:17" ht="21.95" customHeight="1" x14ac:dyDescent="0.25">
      <c r="A36" s="610" t="s">
        <v>728</v>
      </c>
      <c r="B36" s="611">
        <v>996</v>
      </c>
      <c r="C36" s="612"/>
      <c r="D36" s="611">
        <v>149</v>
      </c>
      <c r="E36" s="613"/>
      <c r="F36" s="596">
        <f>SUM(B36:E36)</f>
        <v>1145</v>
      </c>
      <c r="G36" s="595">
        <f>SUM(F36/0.65)</f>
        <v>1761.5384615384614</v>
      </c>
      <c r="H36" s="667"/>
      <c r="I36" s="610" t="s">
        <v>728</v>
      </c>
      <c r="J36" s="611">
        <v>996</v>
      </c>
      <c r="K36" s="612"/>
      <c r="L36" s="611">
        <v>149</v>
      </c>
      <c r="M36" s="613">
        <v>189</v>
      </c>
      <c r="N36" s="613">
        <v>249</v>
      </c>
      <c r="O36" s="613">
        <v>249</v>
      </c>
      <c r="P36" s="613">
        <v>299</v>
      </c>
      <c r="Q36" s="667"/>
    </row>
    <row r="37" spans="1:17" ht="21.95" customHeight="1" thickBot="1" x14ac:dyDescent="0.3">
      <c r="A37" s="614" t="s">
        <v>729</v>
      </c>
      <c r="B37" s="615">
        <f>SUM(B27:B36)</f>
        <v>16495</v>
      </c>
      <c r="C37" s="616">
        <f>SUM(C27:C36)</f>
        <v>24</v>
      </c>
      <c r="D37" s="617">
        <f>SUM(D27:D36)</f>
        <v>978</v>
      </c>
      <c r="E37" s="615">
        <f>SUM(E27:E36)</f>
        <v>1149</v>
      </c>
      <c r="F37" s="618"/>
      <c r="G37" s="619"/>
      <c r="H37" s="667"/>
      <c r="I37" s="614" t="s">
        <v>729</v>
      </c>
      <c r="J37" s="615">
        <f>SUM(J27:J36)</f>
        <v>16495</v>
      </c>
      <c r="K37" s="675"/>
      <c r="L37" s="676"/>
      <c r="M37" s="677"/>
      <c r="N37" s="674"/>
      <c r="O37" s="674"/>
      <c r="P37" s="674"/>
      <c r="Q37" s="667"/>
    </row>
    <row r="38" spans="1:17" ht="42" customHeight="1" thickBot="1" x14ac:dyDescent="0.35">
      <c r="A38" s="620" t="s">
        <v>730</v>
      </c>
      <c r="B38" s="621">
        <f>SUM(B37:E37)</f>
        <v>18646</v>
      </c>
      <c r="C38" s="622"/>
      <c r="D38" s="623"/>
      <c r="E38" s="623"/>
      <c r="F38" s="624" t="s">
        <v>731</v>
      </c>
      <c r="G38" s="625">
        <f>SUM(G27:G36)</f>
        <v>28686.153846153844</v>
      </c>
      <c r="H38" s="667"/>
      <c r="I38" s="620" t="s">
        <v>730</v>
      </c>
      <c r="J38" s="621"/>
      <c r="K38" s="622"/>
      <c r="L38" s="623"/>
      <c r="M38" s="623"/>
      <c r="N38" s="623"/>
      <c r="O38" s="623"/>
      <c r="P38" s="623"/>
      <c r="Q38" s="667"/>
    </row>
    <row r="39" spans="1:17" ht="21.95" customHeight="1" thickBot="1" x14ac:dyDescent="0.35">
      <c r="A39" s="626"/>
      <c r="B39" s="627"/>
      <c r="C39" s="583"/>
      <c r="D39" s="583"/>
      <c r="E39" s="583"/>
      <c r="F39" s="585"/>
      <c r="G39" s="545"/>
      <c r="H39" s="667"/>
      <c r="Q39" s="667"/>
    </row>
    <row r="40" spans="1:17" ht="47.25" customHeight="1" x14ac:dyDescent="0.3">
      <c r="A40" s="941" t="s">
        <v>732</v>
      </c>
      <c r="B40" s="942"/>
      <c r="C40" s="943"/>
      <c r="D40" s="628">
        <f>SUM(B38+B23)</f>
        <v>50684</v>
      </c>
      <c r="E40" s="629"/>
      <c r="F40" s="630"/>
      <c r="G40" s="631"/>
      <c r="H40" s="667"/>
      <c r="Q40" s="667"/>
    </row>
    <row r="41" spans="1:17" ht="45.75" customHeight="1" x14ac:dyDescent="0.3">
      <c r="A41" s="944" t="s">
        <v>733</v>
      </c>
      <c r="B41" s="945"/>
      <c r="C41" s="946"/>
      <c r="D41" s="632">
        <v>32092</v>
      </c>
      <c r="E41" s="583"/>
      <c r="F41" s="585"/>
      <c r="G41" s="633"/>
      <c r="H41" s="667"/>
      <c r="Q41" s="667"/>
    </row>
    <row r="42" spans="1:17" ht="21.95" customHeight="1" thickBot="1" x14ac:dyDescent="0.35">
      <c r="A42" s="634"/>
      <c r="B42" s="635" t="s">
        <v>734</v>
      </c>
      <c r="C42" s="636"/>
      <c r="D42" s="637">
        <f>SUM(D40-D41)</f>
        <v>18592</v>
      </c>
      <c r="E42" s="588"/>
      <c r="F42" s="623"/>
      <c r="G42" s="638"/>
      <c r="H42" s="667"/>
      <c r="Q42" s="667"/>
    </row>
    <row r="43" spans="1:17" ht="21.95" customHeight="1" x14ac:dyDescent="0.3">
      <c r="A43" s="626"/>
      <c r="B43" s="627"/>
      <c r="C43" s="583"/>
      <c r="D43" s="583"/>
      <c r="E43" s="583"/>
      <c r="F43" s="585"/>
      <c r="G43" s="545"/>
      <c r="H43" s="667"/>
      <c r="Q43" s="667"/>
    </row>
    <row r="44" spans="1:17" ht="21.95" customHeight="1" x14ac:dyDescent="0.3">
      <c r="A44" s="947" t="s">
        <v>735</v>
      </c>
      <c r="B44" s="948"/>
      <c r="C44" s="948"/>
      <c r="D44" s="644"/>
      <c r="E44" s="644"/>
      <c r="F44" s="645"/>
      <c r="G44" s="640"/>
    </row>
    <row r="45" spans="1:17" ht="40.5" customHeight="1" x14ac:dyDescent="0.25">
      <c r="A45" s="646" t="s">
        <v>736</v>
      </c>
      <c r="B45" s="647">
        <v>1874</v>
      </c>
      <c r="C45" s="648"/>
      <c r="D45" s="649"/>
      <c r="E45" s="649"/>
      <c r="F45" s="640"/>
      <c r="G45" s="640"/>
    </row>
    <row r="46" spans="1:17" ht="21.95" customHeight="1" x14ac:dyDescent="0.25">
      <c r="A46" s="650" t="s">
        <v>737</v>
      </c>
      <c r="B46" s="651"/>
      <c r="C46" s="648">
        <v>173</v>
      </c>
      <c r="D46" s="649"/>
      <c r="E46" s="649"/>
      <c r="F46" s="640"/>
      <c r="G46" s="640"/>
    </row>
    <row r="47" spans="1:17" ht="48.75" customHeight="1" x14ac:dyDescent="0.25">
      <c r="A47" s="652" t="s">
        <v>738</v>
      </c>
      <c r="B47" s="653">
        <v>1874</v>
      </c>
      <c r="C47" s="654"/>
      <c r="D47" s="643"/>
      <c r="E47" s="643"/>
      <c r="F47" s="655"/>
      <c r="G47" s="640"/>
    </row>
    <row r="48" spans="1:17" ht="24" customHeight="1" x14ac:dyDescent="0.25">
      <c r="A48" s="650" t="s">
        <v>737</v>
      </c>
      <c r="B48" s="651"/>
      <c r="C48" s="654">
        <v>173</v>
      </c>
      <c r="D48" s="643"/>
      <c r="E48" s="643"/>
      <c r="F48" s="655"/>
      <c r="G48" s="640"/>
    </row>
    <row r="49" spans="1:9" ht="21.95" customHeight="1" x14ac:dyDescent="0.25">
      <c r="A49" s="646" t="s">
        <v>739</v>
      </c>
      <c r="B49" s="647">
        <v>2507</v>
      </c>
      <c r="C49" s="656"/>
      <c r="D49" s="657"/>
      <c r="E49" s="657"/>
      <c r="F49" s="658"/>
      <c r="G49" s="640"/>
    </row>
    <row r="50" spans="1:9" ht="21.95" customHeight="1" x14ac:dyDescent="0.25">
      <c r="A50" s="650" t="s">
        <v>740</v>
      </c>
      <c r="B50" s="651">
        <v>450</v>
      </c>
      <c r="C50" s="656">
        <v>450</v>
      </c>
      <c r="D50" s="657"/>
      <c r="E50" s="657"/>
      <c r="F50" s="658"/>
      <c r="G50" s="640"/>
    </row>
    <row r="51" spans="1:9" ht="21.95" customHeight="1" x14ac:dyDescent="0.25">
      <c r="A51" s="646" t="s">
        <v>741</v>
      </c>
      <c r="B51" s="647">
        <v>2507</v>
      </c>
      <c r="C51" s="656"/>
      <c r="D51" s="657"/>
      <c r="E51" s="657"/>
      <c r="F51" s="658"/>
      <c r="G51" s="640"/>
    </row>
    <row r="52" spans="1:9" ht="21.95" customHeight="1" x14ac:dyDescent="0.25">
      <c r="A52" s="650" t="s">
        <v>740</v>
      </c>
      <c r="B52" s="651"/>
      <c r="C52" s="656">
        <v>450</v>
      </c>
      <c r="D52" s="657"/>
      <c r="E52" s="657"/>
      <c r="F52" s="658"/>
      <c r="G52" s="640"/>
    </row>
    <row r="53" spans="1:9" ht="21.95" customHeight="1" x14ac:dyDescent="0.25">
      <c r="A53" s="639"/>
      <c r="B53" s="659">
        <f>SUM(B45:B52)</f>
        <v>9212</v>
      </c>
      <c r="C53" s="660">
        <f>SUM(C45:C52)</f>
        <v>1246</v>
      </c>
      <c r="D53" s="657"/>
      <c r="E53" s="657"/>
      <c r="F53" s="658"/>
      <c r="G53" s="640"/>
    </row>
    <row r="54" spans="1:9" ht="21.95" customHeight="1" x14ac:dyDescent="0.25">
      <c r="A54" s="661"/>
      <c r="B54" s="662" t="s">
        <v>742</v>
      </c>
      <c r="C54" s="663">
        <f>SUM(B53:C53)</f>
        <v>10458</v>
      </c>
      <c r="D54" s="657"/>
      <c r="E54" s="657"/>
      <c r="F54" s="658"/>
      <c r="G54" s="640"/>
    </row>
    <row r="55" spans="1:9" ht="21.95" customHeight="1" x14ac:dyDescent="0.25">
      <c r="A55" s="661"/>
      <c r="B55" s="664"/>
      <c r="C55" s="658"/>
      <c r="D55" s="657"/>
      <c r="E55" s="657"/>
      <c r="F55" s="658"/>
      <c r="G55" s="640"/>
    </row>
    <row r="56" spans="1:9" ht="21.95" customHeight="1" x14ac:dyDescent="0.25">
      <c r="A56" s="641"/>
      <c r="B56" s="642"/>
      <c r="C56" s="640"/>
      <c r="D56" s="642"/>
      <c r="E56" s="642"/>
      <c r="F56" s="640"/>
      <c r="G56" s="640"/>
    </row>
    <row r="58" spans="1:9" ht="18.75" x14ac:dyDescent="0.25">
      <c r="A58" s="799"/>
      <c r="B58" s="800"/>
      <c r="C58" s="538"/>
      <c r="D58" s="800"/>
      <c r="E58" s="800"/>
      <c r="F58" s="538"/>
      <c r="G58" s="538"/>
      <c r="H58" s="799"/>
      <c r="I58" s="799"/>
    </row>
    <row r="59" spans="1:9" ht="18.75" x14ac:dyDescent="0.25">
      <c r="A59" s="799"/>
      <c r="B59" s="800"/>
      <c r="C59" s="538"/>
      <c r="D59" s="800"/>
      <c r="E59" s="800"/>
      <c r="F59" s="538"/>
      <c r="G59" s="538"/>
      <c r="H59" s="799"/>
      <c r="I59" s="799"/>
    </row>
    <row r="60" spans="1:9" ht="18.75" x14ac:dyDescent="0.25">
      <c r="A60" s="799"/>
      <c r="B60" s="800"/>
      <c r="C60" s="538"/>
      <c r="D60" s="800"/>
      <c r="E60" s="800"/>
      <c r="F60" s="538"/>
      <c r="G60" s="538"/>
      <c r="H60" s="799"/>
      <c r="I60" s="799"/>
    </row>
    <row r="61" spans="1:9" ht="18.75" x14ac:dyDescent="0.25">
      <c r="A61" s="799"/>
      <c r="B61" s="800"/>
      <c r="C61" s="538"/>
      <c r="D61" s="800"/>
      <c r="E61" s="800"/>
      <c r="F61" s="538"/>
      <c r="G61" s="538"/>
      <c r="H61" s="799"/>
      <c r="I61" s="799"/>
    </row>
    <row r="62" spans="1:9" ht="18.75" x14ac:dyDescent="0.25">
      <c r="A62" s="799"/>
      <c r="B62" s="800"/>
      <c r="C62" s="538"/>
      <c r="D62" s="800"/>
      <c r="E62" s="800"/>
      <c r="F62" s="538"/>
      <c r="G62" s="538"/>
      <c r="H62" s="799"/>
      <c r="I62" s="799"/>
    </row>
    <row r="63" spans="1:9" ht="18.75" x14ac:dyDescent="0.25">
      <c r="A63" s="799"/>
      <c r="B63" s="800"/>
      <c r="C63" s="538"/>
      <c r="D63" s="800"/>
      <c r="E63" s="800"/>
      <c r="F63" s="538"/>
      <c r="G63" s="538"/>
      <c r="H63" s="799"/>
      <c r="I63" s="799"/>
    </row>
    <row r="64" spans="1:9" ht="18.75" x14ac:dyDescent="0.25">
      <c r="A64" s="799"/>
      <c r="B64" s="800"/>
      <c r="C64" s="538"/>
      <c r="D64" s="800"/>
      <c r="E64" s="800"/>
      <c r="F64" s="538"/>
      <c r="G64" s="538"/>
      <c r="H64" s="799"/>
      <c r="I64" s="799"/>
    </row>
    <row r="65" spans="1:9" ht="18.75" x14ac:dyDescent="0.25">
      <c r="A65" s="799"/>
      <c r="B65" s="800"/>
      <c r="C65" s="538"/>
      <c r="D65" s="800"/>
      <c r="E65" s="800"/>
      <c r="F65" s="538"/>
      <c r="G65" s="538"/>
      <c r="H65" s="799"/>
      <c r="I65" s="799"/>
    </row>
    <row r="66" spans="1:9" ht="18.75" x14ac:dyDescent="0.25">
      <c r="A66" s="799"/>
      <c r="B66" s="800"/>
      <c r="C66" s="538"/>
      <c r="D66" s="800"/>
      <c r="E66" s="800"/>
      <c r="F66" s="538"/>
      <c r="G66" s="538"/>
      <c r="H66" s="799"/>
      <c r="I66" s="799"/>
    </row>
    <row r="67" spans="1:9" ht="18.75" x14ac:dyDescent="0.25">
      <c r="A67" s="799"/>
      <c r="B67" s="800"/>
      <c r="C67" s="538"/>
      <c r="D67" s="800"/>
      <c r="E67" s="800"/>
      <c r="F67" s="538"/>
      <c r="G67" s="538"/>
      <c r="H67" s="799"/>
      <c r="I67" s="799"/>
    </row>
    <row r="68" spans="1:9" ht="18.75" x14ac:dyDescent="0.25">
      <c r="A68" s="799"/>
      <c r="B68" s="800"/>
      <c r="C68" s="538"/>
      <c r="D68" s="800"/>
      <c r="E68" s="800"/>
      <c r="F68" s="538"/>
      <c r="G68" s="538"/>
      <c r="H68" s="799"/>
      <c r="I68" s="799"/>
    </row>
    <row r="69" spans="1:9" ht="18.75" x14ac:dyDescent="0.25">
      <c r="A69" s="799"/>
      <c r="B69" s="800"/>
      <c r="C69" s="538"/>
      <c r="D69" s="800"/>
      <c r="E69" s="800"/>
      <c r="F69" s="538"/>
      <c r="G69" s="538"/>
      <c r="H69" s="799"/>
      <c r="I69" s="799"/>
    </row>
    <row r="70" spans="1:9" ht="18.75" x14ac:dyDescent="0.25">
      <c r="A70" s="799"/>
      <c r="B70" s="800"/>
      <c r="C70" s="538"/>
      <c r="D70" s="800"/>
      <c r="E70" s="800"/>
      <c r="F70" s="538"/>
      <c r="G70" s="538"/>
      <c r="H70" s="799"/>
      <c r="I70" s="799"/>
    </row>
    <row r="71" spans="1:9" ht="18.75" x14ac:dyDescent="0.25">
      <c r="A71" s="799"/>
      <c r="B71" s="800"/>
      <c r="C71" s="538"/>
      <c r="D71" s="800"/>
      <c r="E71" s="800"/>
      <c r="F71" s="538"/>
      <c r="G71" s="538"/>
      <c r="H71" s="799"/>
      <c r="I71" s="799"/>
    </row>
    <row r="72" spans="1:9" ht="18.75" x14ac:dyDescent="0.25">
      <c r="A72" s="799"/>
      <c r="B72" s="800"/>
      <c r="C72" s="538"/>
      <c r="D72" s="800"/>
      <c r="E72" s="800"/>
      <c r="F72" s="538"/>
      <c r="G72" s="538"/>
      <c r="H72" s="799"/>
      <c r="I72" s="799"/>
    </row>
    <row r="73" spans="1:9" ht="18.75" x14ac:dyDescent="0.25">
      <c r="A73" s="799"/>
      <c r="B73" s="800"/>
      <c r="C73" s="538"/>
      <c r="D73" s="800"/>
      <c r="E73" s="800"/>
      <c r="F73" s="538"/>
      <c r="G73" s="538"/>
      <c r="H73" s="799"/>
      <c r="I73" s="799"/>
    </row>
    <row r="74" spans="1:9" ht="18.75" x14ac:dyDescent="0.25">
      <c r="A74" s="799"/>
      <c r="B74" s="800"/>
      <c r="C74" s="538"/>
      <c r="D74" s="800"/>
      <c r="E74" s="800"/>
      <c r="F74" s="538"/>
      <c r="G74" s="538"/>
      <c r="H74" s="799"/>
      <c r="I74" s="799"/>
    </row>
    <row r="75" spans="1:9" ht="18.75" x14ac:dyDescent="0.25">
      <c r="A75" s="799"/>
      <c r="B75" s="800"/>
      <c r="C75" s="538"/>
      <c r="D75" s="800"/>
      <c r="E75" s="800"/>
      <c r="F75" s="538"/>
      <c r="G75" s="538"/>
      <c r="H75" s="799"/>
      <c r="I75" s="799"/>
    </row>
    <row r="76" spans="1:9" ht="18.75" x14ac:dyDescent="0.25">
      <c r="A76" s="799"/>
      <c r="B76" s="800"/>
      <c r="C76" s="538"/>
      <c r="D76" s="800"/>
      <c r="E76" s="800"/>
      <c r="F76" s="538"/>
      <c r="G76" s="538"/>
      <c r="H76" s="799"/>
      <c r="I76" s="799"/>
    </row>
    <row r="77" spans="1:9" ht="18.75" x14ac:dyDescent="0.25">
      <c r="A77" s="799"/>
      <c r="B77" s="800"/>
      <c r="C77" s="538"/>
      <c r="D77" s="800"/>
      <c r="E77" s="800"/>
      <c r="F77" s="538"/>
      <c r="G77" s="538"/>
      <c r="H77" s="799"/>
      <c r="I77" s="799"/>
    </row>
    <row r="78" spans="1:9" ht="18.75" x14ac:dyDescent="0.25">
      <c r="A78" s="799"/>
      <c r="B78" s="800"/>
      <c r="C78" s="538"/>
      <c r="D78" s="800"/>
      <c r="E78" s="800"/>
      <c r="F78" s="538"/>
      <c r="G78" s="538"/>
      <c r="H78" s="799"/>
      <c r="I78" s="799"/>
    </row>
    <row r="79" spans="1:9" ht="18.75" x14ac:dyDescent="0.25">
      <c r="A79" s="799"/>
      <c r="B79" s="800"/>
      <c r="C79" s="538"/>
      <c r="D79" s="800"/>
      <c r="E79" s="800"/>
      <c r="F79" s="538"/>
      <c r="G79" s="538"/>
      <c r="H79" s="799"/>
      <c r="I79" s="799"/>
    </row>
    <row r="80" spans="1:9" ht="18.75" x14ac:dyDescent="0.25">
      <c r="A80" s="799"/>
      <c r="B80" s="800"/>
      <c r="C80" s="538"/>
      <c r="D80" s="800"/>
      <c r="E80" s="800"/>
      <c r="F80" s="538"/>
      <c r="G80" s="538"/>
      <c r="H80" s="799"/>
      <c r="I80" s="799"/>
    </row>
    <row r="81" spans="1:9" ht="18.75" x14ac:dyDescent="0.25">
      <c r="A81" s="799"/>
      <c r="B81" s="800"/>
      <c r="C81" s="538"/>
      <c r="D81" s="800"/>
      <c r="E81" s="800"/>
      <c r="F81" s="538"/>
      <c r="G81" s="538"/>
      <c r="H81" s="799"/>
      <c r="I81" s="799"/>
    </row>
    <row r="82" spans="1:9" ht="18.75" x14ac:dyDescent="0.25">
      <c r="A82" s="799"/>
      <c r="B82" s="800"/>
      <c r="C82" s="538"/>
      <c r="D82" s="800"/>
      <c r="E82" s="800"/>
      <c r="F82" s="538"/>
      <c r="G82" s="538"/>
      <c r="H82" s="799"/>
      <c r="I82" s="799"/>
    </row>
    <row r="83" spans="1:9" ht="18.75" x14ac:dyDescent="0.25">
      <c r="A83" s="799"/>
      <c r="B83" s="800"/>
      <c r="C83" s="538"/>
      <c r="D83" s="800"/>
      <c r="E83" s="800"/>
      <c r="F83" s="538"/>
      <c r="G83" s="538"/>
      <c r="H83" s="799"/>
      <c r="I83" s="799"/>
    </row>
    <row r="84" spans="1:9" ht="18.75" x14ac:dyDescent="0.25">
      <c r="A84" s="799"/>
      <c r="B84" s="800"/>
      <c r="C84" s="538"/>
      <c r="D84" s="800"/>
      <c r="E84" s="800"/>
      <c r="F84" s="538"/>
      <c r="G84" s="538"/>
      <c r="H84" s="799"/>
      <c r="I84" s="799"/>
    </row>
    <row r="85" spans="1:9" ht="18.75" x14ac:dyDescent="0.25">
      <c r="A85" s="799"/>
      <c r="B85" s="800"/>
      <c r="C85" s="538"/>
      <c r="D85" s="800"/>
      <c r="E85" s="800"/>
      <c r="F85" s="538"/>
      <c r="G85" s="538"/>
      <c r="H85" s="799"/>
      <c r="I85" s="799"/>
    </row>
    <row r="86" spans="1:9" ht="18.75" x14ac:dyDescent="0.25">
      <c r="A86" s="799"/>
      <c r="B86" s="800"/>
      <c r="C86" s="538"/>
      <c r="D86" s="800"/>
      <c r="E86" s="800"/>
      <c r="F86" s="538"/>
      <c r="G86" s="538"/>
      <c r="H86" s="799"/>
      <c r="I86" s="799"/>
    </row>
    <row r="87" spans="1:9" ht="18.75" x14ac:dyDescent="0.25">
      <c r="A87" s="799"/>
      <c r="B87" s="800"/>
      <c r="C87" s="538"/>
      <c r="D87" s="800"/>
      <c r="E87" s="800"/>
      <c r="F87" s="538"/>
      <c r="G87" s="538"/>
      <c r="H87" s="799"/>
      <c r="I87" s="799"/>
    </row>
  </sheetData>
  <mergeCells count="16">
    <mergeCell ref="I26:P26"/>
    <mergeCell ref="I1:P1"/>
    <mergeCell ref="J2:P2"/>
    <mergeCell ref="J3:K3"/>
    <mergeCell ref="L3:P3"/>
    <mergeCell ref="I4:P4"/>
    <mergeCell ref="I5:P5"/>
    <mergeCell ref="A40:C40"/>
    <mergeCell ref="A41:C41"/>
    <mergeCell ref="A44:C44"/>
    <mergeCell ref="B2:E2"/>
    <mergeCell ref="B3:C3"/>
    <mergeCell ref="D3:E3"/>
    <mergeCell ref="A4:E4"/>
    <mergeCell ref="A5:E5"/>
    <mergeCell ref="A26:E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F5A1B-5D60-4D71-A7A4-2598A9605392}">
  <dimension ref="A1:F87"/>
  <sheetViews>
    <sheetView topLeftCell="A27" workbookViewId="0">
      <selection activeCell="A37" sqref="A37"/>
    </sheetView>
  </sheetViews>
  <sheetFormatPr defaultColWidth="9.140625" defaultRowHeight="15.75" x14ac:dyDescent="0.25"/>
  <cols>
    <col min="1" max="1" width="38.5703125" style="539" customWidth="1"/>
    <col min="2" max="2" width="13.140625" style="665" customWidth="1"/>
    <col min="3" max="3" width="12.85546875" style="666" customWidth="1"/>
    <col min="4" max="4" width="17.140625" style="666" customWidth="1"/>
    <col min="5" max="5" width="20" style="666" customWidth="1"/>
    <col min="6" max="6" width="9.5703125" style="539" bestFit="1" customWidth="1"/>
    <col min="7" max="16384" width="9.140625" style="539"/>
  </cols>
  <sheetData>
    <row r="1" spans="1:5" ht="21.95" customHeight="1" thickBot="1" x14ac:dyDescent="0.3">
      <c r="A1" s="536"/>
      <c r="B1" s="537"/>
      <c r="C1" s="538"/>
      <c r="D1" s="538"/>
      <c r="E1" s="538"/>
    </row>
    <row r="2" spans="1:5" ht="21.95" customHeight="1" x14ac:dyDescent="0.3">
      <c r="A2" s="540">
        <v>46227</v>
      </c>
      <c r="B2" s="949" t="s">
        <v>881</v>
      </c>
      <c r="C2" s="949"/>
      <c r="D2" s="541"/>
      <c r="E2" s="542"/>
    </row>
    <row r="3" spans="1:5" ht="44.25" customHeight="1" thickBot="1" x14ac:dyDescent="0.3">
      <c r="A3" s="543" t="s">
        <v>695</v>
      </c>
      <c r="B3" s="951" t="s">
        <v>882</v>
      </c>
      <c r="C3" s="951"/>
      <c r="D3" s="544"/>
      <c r="E3" s="545"/>
    </row>
    <row r="4" spans="1:5" ht="25.5" customHeight="1" x14ac:dyDescent="0.25">
      <c r="A4" s="953" t="s">
        <v>698</v>
      </c>
      <c r="B4" s="954"/>
      <c r="C4" s="954"/>
      <c r="D4" s="546"/>
      <c r="E4" s="545"/>
    </row>
    <row r="5" spans="1:5" ht="45" customHeight="1" thickBot="1" x14ac:dyDescent="0.3">
      <c r="A5" s="956"/>
      <c r="B5" s="957"/>
      <c r="C5" s="957"/>
      <c r="D5" s="546"/>
      <c r="E5" s="545"/>
    </row>
    <row r="6" spans="1:5" ht="67.5" customHeight="1" x14ac:dyDescent="0.25">
      <c r="A6" s="547" t="s">
        <v>700</v>
      </c>
      <c r="B6" s="548" t="s">
        <v>701</v>
      </c>
      <c r="C6" s="549" t="s">
        <v>702</v>
      </c>
      <c r="D6" s="538"/>
      <c r="E6" s="545"/>
    </row>
    <row r="7" spans="1:5" ht="21.95" customHeight="1" x14ac:dyDescent="0.25">
      <c r="A7" s="551" t="s">
        <v>705</v>
      </c>
      <c r="B7" s="552">
        <f>16242-B27</f>
        <v>12942</v>
      </c>
      <c r="C7" s="553"/>
      <c r="D7" s="538"/>
      <c r="E7" s="545"/>
    </row>
    <row r="8" spans="1:5" ht="21.95" customHeight="1" x14ac:dyDescent="0.25">
      <c r="A8" s="551" t="s">
        <v>120</v>
      </c>
      <c r="B8" s="552"/>
      <c r="C8" s="553">
        <f>12*7</f>
        <v>84</v>
      </c>
      <c r="D8" s="538"/>
      <c r="E8" s="545"/>
    </row>
    <row r="9" spans="1:5" ht="21.95" customHeight="1" x14ac:dyDescent="0.25">
      <c r="A9" s="551" t="s">
        <v>721</v>
      </c>
      <c r="B9" s="552"/>
      <c r="C9" s="553"/>
      <c r="D9" s="538"/>
      <c r="E9" s="545"/>
    </row>
    <row r="10" spans="1:5" ht="21.95" customHeight="1" x14ac:dyDescent="0.25">
      <c r="A10" s="551" t="s">
        <v>706</v>
      </c>
      <c r="B10" s="552"/>
      <c r="C10" s="553"/>
      <c r="D10" s="538"/>
      <c r="E10" s="545"/>
    </row>
    <row r="11" spans="1:5" ht="45" customHeight="1" x14ac:dyDescent="0.25">
      <c r="A11" s="551" t="s">
        <v>707</v>
      </c>
      <c r="B11" s="552"/>
      <c r="C11" s="553"/>
      <c r="D11" s="538"/>
      <c r="E11" s="545"/>
    </row>
    <row r="12" spans="1:5" ht="21.95" customHeight="1" x14ac:dyDescent="0.25">
      <c r="A12" s="551" t="s">
        <v>708</v>
      </c>
      <c r="B12" s="552"/>
      <c r="C12" s="553">
        <f>364-C27-C8</f>
        <v>196</v>
      </c>
      <c r="D12" s="538"/>
      <c r="E12" s="545"/>
    </row>
    <row r="13" spans="1:5" ht="21.95" customHeight="1" x14ac:dyDescent="0.25">
      <c r="A13" s="555" t="s">
        <v>709</v>
      </c>
      <c r="B13" s="556">
        <v>4523</v>
      </c>
      <c r="C13" s="557"/>
      <c r="D13" s="538"/>
      <c r="E13" s="545"/>
    </row>
    <row r="14" spans="1:5" ht="21.95" customHeight="1" x14ac:dyDescent="0.25">
      <c r="A14" s="555" t="s">
        <v>710</v>
      </c>
      <c r="B14" s="556"/>
      <c r="C14" s="557">
        <v>140</v>
      </c>
      <c r="D14" s="538"/>
      <c r="E14" s="545"/>
    </row>
    <row r="15" spans="1:5" ht="21.95" customHeight="1" x14ac:dyDescent="0.25">
      <c r="A15" s="559" t="s">
        <v>531</v>
      </c>
      <c r="B15" s="560">
        <v>1402</v>
      </c>
      <c r="C15" s="561"/>
      <c r="D15" s="538"/>
      <c r="E15" s="545"/>
    </row>
    <row r="16" spans="1:5" ht="21.95" customHeight="1" x14ac:dyDescent="0.25">
      <c r="A16" s="559" t="s">
        <v>711</v>
      </c>
      <c r="B16" s="560"/>
      <c r="C16" s="561">
        <v>42</v>
      </c>
      <c r="D16" s="538"/>
      <c r="E16" s="545"/>
    </row>
    <row r="17" spans="1:6" ht="21.95" customHeight="1" x14ac:dyDescent="0.25">
      <c r="A17" s="563" t="s">
        <v>535</v>
      </c>
      <c r="B17" s="564">
        <v>887</v>
      </c>
      <c r="C17" s="565"/>
      <c r="D17" s="538"/>
      <c r="E17" s="545"/>
    </row>
    <row r="18" spans="1:6" ht="21.95" customHeight="1" x14ac:dyDescent="0.25">
      <c r="A18" s="563" t="s">
        <v>713</v>
      </c>
      <c r="B18" s="564"/>
      <c r="C18" s="565">
        <v>28</v>
      </c>
      <c r="D18" s="538"/>
      <c r="E18" s="545"/>
    </row>
    <row r="19" spans="1:6" ht="21.95" customHeight="1" x14ac:dyDescent="0.25">
      <c r="A19" s="567" t="s">
        <v>121</v>
      </c>
      <c r="B19" s="568">
        <v>300</v>
      </c>
      <c r="C19" s="569"/>
      <c r="D19" s="538"/>
      <c r="E19" s="545"/>
    </row>
    <row r="20" spans="1:6" ht="21.95" customHeight="1" x14ac:dyDescent="0.25">
      <c r="A20" s="571" t="s">
        <v>714</v>
      </c>
      <c r="B20" s="572">
        <v>1525</v>
      </c>
      <c r="C20" s="573"/>
      <c r="D20" s="538">
        <v>4174</v>
      </c>
      <c r="E20" s="545">
        <f>D20-B20</f>
        <v>2649</v>
      </c>
      <c r="F20" s="802"/>
    </row>
    <row r="21" spans="1:6" ht="21.95" customHeight="1" x14ac:dyDescent="0.25">
      <c r="A21" s="571" t="s">
        <v>715</v>
      </c>
      <c r="B21" s="572"/>
      <c r="C21" s="573">
        <f>8*7</f>
        <v>56</v>
      </c>
      <c r="D21" s="538">
        <v>70</v>
      </c>
      <c r="E21" s="545"/>
    </row>
    <row r="22" spans="1:6" ht="21.95" customHeight="1" x14ac:dyDescent="0.25">
      <c r="A22" s="575" t="s">
        <v>716</v>
      </c>
      <c r="B22" s="576">
        <f>SUM(B7:B20)</f>
        <v>21579</v>
      </c>
      <c r="C22" s="577">
        <f>SUM(C7:C21)</f>
        <v>546</v>
      </c>
      <c r="D22" s="538"/>
      <c r="E22" s="545"/>
    </row>
    <row r="23" spans="1:6" ht="21.95" customHeight="1" thickBot="1" x14ac:dyDescent="0.35">
      <c r="A23" s="580" t="s">
        <v>883</v>
      </c>
      <c r="B23" s="581">
        <f>SUM(B22:C22)</f>
        <v>22125</v>
      </c>
      <c r="C23" s="582"/>
      <c r="D23" s="585"/>
      <c r="E23" s="545"/>
    </row>
    <row r="24" spans="1:6" ht="21.95" customHeight="1" thickBot="1" x14ac:dyDescent="0.35">
      <c r="A24" s="586" t="s">
        <v>718</v>
      </c>
      <c r="B24" s="587">
        <f>SUM(B23/0.65)</f>
        <v>34038.461538461539</v>
      </c>
      <c r="C24" s="588"/>
      <c r="D24" s="585"/>
      <c r="E24" s="545"/>
    </row>
    <row r="25" spans="1:6" ht="21.95" customHeight="1" thickBot="1" x14ac:dyDescent="0.35">
      <c r="A25" s="590"/>
      <c r="B25" s="591"/>
      <c r="C25" s="583"/>
      <c r="D25" s="585"/>
      <c r="E25" s="545"/>
    </row>
    <row r="26" spans="1:6" ht="21.95" customHeight="1" thickBot="1" x14ac:dyDescent="0.3">
      <c r="A26" s="959" t="s">
        <v>719</v>
      </c>
      <c r="B26" s="960"/>
      <c r="C26" s="960"/>
      <c r="D26" s="592" t="s">
        <v>19</v>
      </c>
      <c r="E26" s="593" t="s">
        <v>720</v>
      </c>
    </row>
    <row r="27" spans="1:6" ht="21.95" customHeight="1" x14ac:dyDescent="0.25">
      <c r="A27" s="551" t="s">
        <v>722</v>
      </c>
      <c r="B27" s="801">
        <v>3300</v>
      </c>
      <c r="C27" s="553">
        <f>12*7</f>
        <v>84</v>
      </c>
      <c r="D27" s="596">
        <f>SUM(B27:C27)</f>
        <v>3384</v>
      </c>
      <c r="E27" s="595">
        <f>SUM(D27/0.65)</f>
        <v>5206.1538461538457</v>
      </c>
    </row>
    <row r="28" spans="1:6" ht="21.95" customHeight="1" x14ac:dyDescent="0.25">
      <c r="A28" s="597" t="s">
        <v>595</v>
      </c>
      <c r="B28" s="598">
        <v>2190</v>
      </c>
      <c r="C28" s="599"/>
      <c r="D28" s="596">
        <f>B28+C29</f>
        <v>2246</v>
      </c>
      <c r="E28" s="595">
        <f t="shared" ref="E28:E30" si="0">SUM(D28/0.65)</f>
        <v>3455.3846153846152</v>
      </c>
    </row>
    <row r="29" spans="1:6" ht="21.95" customHeight="1" x14ac:dyDescent="0.25">
      <c r="A29" s="597" t="s">
        <v>884</v>
      </c>
      <c r="B29" s="598"/>
      <c r="C29" s="599">
        <v>56</v>
      </c>
      <c r="D29" s="596"/>
      <c r="E29" s="595"/>
    </row>
    <row r="30" spans="1:6" ht="21.95" customHeight="1" x14ac:dyDescent="0.25">
      <c r="A30" s="601" t="s">
        <v>885</v>
      </c>
      <c r="B30" s="602">
        <v>1622</v>
      </c>
      <c r="C30" s="603"/>
      <c r="D30" s="596">
        <f>SUM(B30:C31)</f>
        <v>1650</v>
      </c>
      <c r="E30" s="595">
        <f t="shared" si="0"/>
        <v>2538.4615384615386</v>
      </c>
    </row>
    <row r="31" spans="1:6" ht="34.5" customHeight="1" x14ac:dyDescent="0.25">
      <c r="A31" s="601" t="s">
        <v>886</v>
      </c>
      <c r="B31" s="602"/>
      <c r="C31" s="603">
        <v>28</v>
      </c>
      <c r="D31" s="596"/>
      <c r="E31" s="595"/>
    </row>
    <row r="32" spans="1:6" ht="21.95" customHeight="1" x14ac:dyDescent="0.25">
      <c r="A32" s="605" t="s">
        <v>304</v>
      </c>
      <c r="B32" s="606">
        <v>3605</v>
      </c>
      <c r="C32" s="607"/>
      <c r="D32" s="596">
        <f>SUM(B32:C33)</f>
        <v>3675</v>
      </c>
      <c r="E32" s="595">
        <f>SUM(D32/0.65)</f>
        <v>5653.8461538461534</v>
      </c>
    </row>
    <row r="33" spans="1:5" ht="21.95" customHeight="1" x14ac:dyDescent="0.25">
      <c r="A33" s="605" t="s">
        <v>725</v>
      </c>
      <c r="B33" s="606"/>
      <c r="C33" s="607">
        <v>70</v>
      </c>
      <c r="D33" s="596"/>
      <c r="E33" s="595"/>
    </row>
    <row r="34" spans="1:5" ht="21.95" customHeight="1" x14ac:dyDescent="0.25">
      <c r="A34" s="563" t="s">
        <v>726</v>
      </c>
      <c r="B34" s="801">
        <f>E20-B36</f>
        <v>1674</v>
      </c>
      <c r="C34" s="565"/>
      <c r="D34" s="596"/>
      <c r="E34" s="595"/>
    </row>
    <row r="35" spans="1:5" ht="21.95" customHeight="1" x14ac:dyDescent="0.25">
      <c r="A35" s="563" t="s">
        <v>727</v>
      </c>
      <c r="B35" s="564"/>
      <c r="C35" s="564">
        <v>14</v>
      </c>
      <c r="D35" s="596"/>
      <c r="E35" s="595"/>
    </row>
    <row r="36" spans="1:5" ht="21.95" customHeight="1" x14ac:dyDescent="0.25">
      <c r="A36" s="610" t="s">
        <v>728</v>
      </c>
      <c r="B36" s="801">
        <v>975</v>
      </c>
      <c r="C36" s="612"/>
      <c r="D36" s="596">
        <f>SUM(B36:C36)</f>
        <v>975</v>
      </c>
      <c r="E36" s="595">
        <f>SUM(D36/0.65)</f>
        <v>1500</v>
      </c>
    </row>
    <row r="37" spans="1:5" ht="21.95" customHeight="1" thickBot="1" x14ac:dyDescent="0.3">
      <c r="A37" s="614" t="s">
        <v>729</v>
      </c>
      <c r="B37" s="615">
        <f>SUM(B27:B36)</f>
        <v>13366</v>
      </c>
      <c r="C37" s="616">
        <f>SUM(C27:C36)</f>
        <v>252</v>
      </c>
      <c r="D37" s="618"/>
      <c r="E37" s="619"/>
    </row>
    <row r="38" spans="1:5" ht="42" customHeight="1" thickBot="1" x14ac:dyDescent="0.35">
      <c r="A38" s="620" t="s">
        <v>730</v>
      </c>
      <c r="B38" s="621">
        <f>SUM(B37:C37)</f>
        <v>13618</v>
      </c>
      <c r="C38" s="622"/>
      <c r="D38" s="624" t="s">
        <v>731</v>
      </c>
      <c r="E38" s="625">
        <f>SUM(E27:E36)</f>
        <v>18353.846153846152</v>
      </c>
    </row>
    <row r="39" spans="1:5" ht="21.95" customHeight="1" thickBot="1" x14ac:dyDescent="0.35">
      <c r="A39" s="626"/>
      <c r="B39" s="627"/>
      <c r="C39" s="583"/>
      <c r="D39" s="585"/>
      <c r="E39" s="545"/>
    </row>
    <row r="40" spans="1:5" ht="47.25" customHeight="1" x14ac:dyDescent="0.3">
      <c r="A40" s="941" t="s">
        <v>732</v>
      </c>
      <c r="B40" s="942"/>
      <c r="C40" s="943"/>
      <c r="D40" s="630"/>
      <c r="E40" s="631"/>
    </row>
    <row r="41" spans="1:5" ht="45.75" customHeight="1" x14ac:dyDescent="0.3">
      <c r="A41" s="944" t="s">
        <v>733</v>
      </c>
      <c r="B41" s="945"/>
      <c r="C41" s="946"/>
      <c r="D41" s="585"/>
      <c r="E41" s="633"/>
    </row>
    <row r="42" spans="1:5" ht="21.95" customHeight="1" thickBot="1" x14ac:dyDescent="0.35">
      <c r="A42" s="634"/>
      <c r="B42" s="635" t="s">
        <v>734</v>
      </c>
      <c r="C42" s="636"/>
      <c r="D42" s="623"/>
      <c r="E42" s="638"/>
    </row>
    <row r="43" spans="1:5" ht="21.95" customHeight="1" x14ac:dyDescent="0.3">
      <c r="A43" s="626"/>
      <c r="B43" s="627"/>
      <c r="C43" s="583"/>
      <c r="D43" s="585"/>
      <c r="E43" s="545"/>
    </row>
    <row r="44" spans="1:5" ht="21.95" customHeight="1" x14ac:dyDescent="0.3">
      <c r="A44" s="947" t="s">
        <v>735</v>
      </c>
      <c r="B44" s="948"/>
      <c r="C44" s="948"/>
      <c r="D44" s="645"/>
      <c r="E44" s="640"/>
    </row>
    <row r="45" spans="1:5" ht="40.5" customHeight="1" x14ac:dyDescent="0.25">
      <c r="A45" s="646" t="s">
        <v>736</v>
      </c>
      <c r="B45" s="647">
        <v>1874</v>
      </c>
      <c r="C45" s="648"/>
      <c r="D45" s="640"/>
      <c r="E45" s="640"/>
    </row>
    <row r="46" spans="1:5" ht="21.95" customHeight="1" x14ac:dyDescent="0.25">
      <c r="A46" s="650" t="s">
        <v>737</v>
      </c>
      <c r="B46" s="651"/>
      <c r="C46" s="648">
        <v>173</v>
      </c>
      <c r="D46" s="640"/>
      <c r="E46" s="640"/>
    </row>
    <row r="47" spans="1:5" ht="48.75" customHeight="1" x14ac:dyDescent="0.25">
      <c r="A47" s="652" t="s">
        <v>738</v>
      </c>
      <c r="B47" s="653">
        <v>1874</v>
      </c>
      <c r="C47" s="654"/>
      <c r="D47" s="655"/>
      <c r="E47" s="640"/>
    </row>
    <row r="48" spans="1:5" ht="24" customHeight="1" x14ac:dyDescent="0.25">
      <c r="A48" s="650" t="s">
        <v>737</v>
      </c>
      <c r="B48" s="651"/>
      <c r="C48" s="654">
        <v>173</v>
      </c>
      <c r="D48" s="655"/>
      <c r="E48" s="640"/>
    </row>
    <row r="49" spans="1:5" ht="21.95" customHeight="1" x14ac:dyDescent="0.25">
      <c r="A49" s="646" t="s">
        <v>739</v>
      </c>
      <c r="B49" s="647">
        <v>2507</v>
      </c>
      <c r="C49" s="656"/>
      <c r="D49" s="658"/>
      <c r="E49" s="640"/>
    </row>
    <row r="50" spans="1:5" ht="21.95" customHeight="1" x14ac:dyDescent="0.25">
      <c r="A50" s="650" t="s">
        <v>740</v>
      </c>
      <c r="B50" s="651">
        <v>450</v>
      </c>
      <c r="C50" s="656">
        <v>450</v>
      </c>
      <c r="D50" s="658"/>
      <c r="E50" s="640"/>
    </row>
    <row r="51" spans="1:5" ht="21.95" customHeight="1" x14ac:dyDescent="0.25">
      <c r="A51" s="646" t="s">
        <v>741</v>
      </c>
      <c r="B51" s="647">
        <v>2507</v>
      </c>
      <c r="C51" s="656"/>
      <c r="D51" s="658"/>
      <c r="E51" s="640"/>
    </row>
    <row r="52" spans="1:5" ht="21.95" customHeight="1" x14ac:dyDescent="0.25">
      <c r="A52" s="650" t="s">
        <v>740</v>
      </c>
      <c r="B52" s="651"/>
      <c r="C52" s="656">
        <v>450</v>
      </c>
      <c r="D52" s="658"/>
      <c r="E52" s="640"/>
    </row>
    <row r="53" spans="1:5" ht="21.95" customHeight="1" x14ac:dyDescent="0.25">
      <c r="A53" s="639"/>
      <c r="B53" s="659">
        <f>SUM(B45:B52)</f>
        <v>9212</v>
      </c>
      <c r="C53" s="660">
        <f>SUM(C45:C52)</f>
        <v>1246</v>
      </c>
      <c r="D53" s="658"/>
      <c r="E53" s="640"/>
    </row>
    <row r="54" spans="1:5" ht="21.95" customHeight="1" x14ac:dyDescent="0.25">
      <c r="A54" s="661"/>
      <c r="B54" s="662" t="s">
        <v>742</v>
      </c>
      <c r="C54" s="663">
        <f>SUM(B53:C53)</f>
        <v>10458</v>
      </c>
      <c r="D54" s="658"/>
      <c r="E54" s="640"/>
    </row>
    <row r="55" spans="1:5" ht="21.95" customHeight="1" x14ac:dyDescent="0.25">
      <c r="A55" s="661"/>
      <c r="B55" s="664"/>
      <c r="C55" s="658"/>
      <c r="D55" s="658"/>
      <c r="E55" s="640"/>
    </row>
    <row r="56" spans="1:5" ht="21.95" customHeight="1" x14ac:dyDescent="0.25">
      <c r="A56" s="641"/>
      <c r="B56" s="642"/>
      <c r="C56" s="640"/>
      <c r="D56" s="640"/>
      <c r="E56" s="640"/>
    </row>
    <row r="58" spans="1:5" ht="18.75" x14ac:dyDescent="0.25">
      <c r="A58" s="799"/>
      <c r="B58" s="800"/>
      <c r="C58" s="538"/>
      <c r="D58" s="538"/>
      <c r="E58" s="538"/>
    </row>
    <row r="59" spans="1:5" ht="18.75" x14ac:dyDescent="0.25">
      <c r="A59" s="799"/>
      <c r="B59" s="800"/>
      <c r="C59" s="538"/>
      <c r="D59" s="538"/>
      <c r="E59" s="538"/>
    </row>
    <row r="60" spans="1:5" ht="18.75" x14ac:dyDescent="0.25">
      <c r="A60" s="799"/>
      <c r="B60" s="800"/>
      <c r="C60" s="538"/>
      <c r="D60" s="538"/>
      <c r="E60" s="538"/>
    </row>
    <row r="61" spans="1:5" ht="18.75" x14ac:dyDescent="0.25">
      <c r="A61" s="799"/>
      <c r="B61" s="800"/>
      <c r="C61" s="538"/>
      <c r="D61" s="538"/>
      <c r="E61" s="538"/>
    </row>
    <row r="62" spans="1:5" ht="18.75" x14ac:dyDescent="0.25">
      <c r="A62" s="799"/>
      <c r="B62" s="800"/>
      <c r="C62" s="538"/>
      <c r="D62" s="538"/>
      <c r="E62" s="538"/>
    </row>
    <row r="63" spans="1:5" ht="18.75" x14ac:dyDescent="0.25">
      <c r="A63" s="799"/>
      <c r="B63" s="800"/>
      <c r="C63" s="538"/>
      <c r="D63" s="538"/>
      <c r="E63" s="538"/>
    </row>
    <row r="64" spans="1:5" ht="18.75" x14ac:dyDescent="0.25">
      <c r="A64" s="799"/>
      <c r="B64" s="800"/>
      <c r="C64" s="538"/>
      <c r="D64" s="538"/>
      <c r="E64" s="538"/>
    </row>
    <row r="65" spans="1:5" ht="18.75" x14ac:dyDescent="0.25">
      <c r="A65" s="799"/>
      <c r="B65" s="800"/>
      <c r="C65" s="538"/>
      <c r="D65" s="538"/>
      <c r="E65" s="538"/>
    </row>
    <row r="66" spans="1:5" ht="18.75" x14ac:dyDescent="0.25">
      <c r="A66" s="799"/>
      <c r="B66" s="800"/>
      <c r="C66" s="538"/>
      <c r="D66" s="538"/>
      <c r="E66" s="538"/>
    </row>
    <row r="67" spans="1:5" ht="18.75" x14ac:dyDescent="0.25">
      <c r="A67" s="799"/>
      <c r="B67" s="800"/>
      <c r="C67" s="538"/>
      <c r="D67" s="538"/>
      <c r="E67" s="538"/>
    </row>
    <row r="68" spans="1:5" ht="18.75" x14ac:dyDescent="0.25">
      <c r="A68" s="799"/>
      <c r="B68" s="800"/>
      <c r="C68" s="538"/>
      <c r="D68" s="538"/>
      <c r="E68" s="538"/>
    </row>
    <row r="69" spans="1:5" ht="18.75" x14ac:dyDescent="0.25">
      <c r="A69" s="799"/>
      <c r="B69" s="800"/>
      <c r="C69" s="538"/>
      <c r="D69" s="538"/>
      <c r="E69" s="538"/>
    </row>
    <row r="70" spans="1:5" ht="18.75" x14ac:dyDescent="0.25">
      <c r="A70" s="799"/>
      <c r="B70" s="800"/>
      <c r="C70" s="538"/>
      <c r="D70" s="538"/>
      <c r="E70" s="538"/>
    </row>
    <row r="71" spans="1:5" ht="18.75" x14ac:dyDescent="0.25">
      <c r="A71" s="799"/>
      <c r="B71" s="800"/>
      <c r="C71" s="538"/>
      <c r="D71" s="538"/>
      <c r="E71" s="538"/>
    </row>
    <row r="72" spans="1:5" ht="18.75" x14ac:dyDescent="0.25">
      <c r="A72" s="799"/>
      <c r="B72" s="800"/>
      <c r="C72" s="538"/>
      <c r="D72" s="538"/>
      <c r="E72" s="538"/>
    </row>
    <row r="73" spans="1:5" ht="18.75" x14ac:dyDescent="0.25">
      <c r="A73" s="799"/>
      <c r="B73" s="800"/>
      <c r="C73" s="538"/>
      <c r="D73" s="538"/>
      <c r="E73" s="538"/>
    </row>
    <row r="74" spans="1:5" ht="18.75" x14ac:dyDescent="0.25">
      <c r="A74" s="799"/>
      <c r="B74" s="800"/>
      <c r="C74" s="538"/>
      <c r="D74" s="538"/>
      <c r="E74" s="538"/>
    </row>
    <row r="75" spans="1:5" ht="18.75" x14ac:dyDescent="0.25">
      <c r="A75" s="799"/>
      <c r="B75" s="800"/>
      <c r="C75" s="538"/>
      <c r="D75" s="538"/>
      <c r="E75" s="538"/>
    </row>
    <row r="76" spans="1:5" ht="18.75" x14ac:dyDescent="0.25">
      <c r="A76" s="799"/>
      <c r="B76" s="800"/>
      <c r="C76" s="538"/>
      <c r="D76" s="538"/>
      <c r="E76" s="538"/>
    </row>
    <row r="77" spans="1:5" ht="18.75" x14ac:dyDescent="0.25">
      <c r="A77" s="799"/>
      <c r="B77" s="800"/>
      <c r="C77" s="538"/>
      <c r="D77" s="538"/>
      <c r="E77" s="538"/>
    </row>
    <row r="78" spans="1:5" ht="18.75" x14ac:dyDescent="0.25">
      <c r="A78" s="799"/>
      <c r="B78" s="800"/>
      <c r="C78" s="538"/>
      <c r="D78" s="538"/>
      <c r="E78" s="538"/>
    </row>
    <row r="79" spans="1:5" ht="18.75" x14ac:dyDescent="0.25">
      <c r="A79" s="799"/>
      <c r="B79" s="800"/>
      <c r="C79" s="538"/>
      <c r="D79" s="538"/>
      <c r="E79" s="538"/>
    </row>
    <row r="80" spans="1:5" ht="18.75" x14ac:dyDescent="0.25">
      <c r="A80" s="799"/>
      <c r="B80" s="800"/>
      <c r="C80" s="538"/>
      <c r="D80" s="538"/>
      <c r="E80" s="538"/>
    </row>
    <row r="81" spans="1:5" ht="18.75" x14ac:dyDescent="0.25">
      <c r="A81" s="799"/>
      <c r="B81" s="800"/>
      <c r="C81" s="538"/>
      <c r="D81" s="538"/>
      <c r="E81" s="538"/>
    </row>
    <row r="82" spans="1:5" ht="18.75" x14ac:dyDescent="0.25">
      <c r="A82" s="799"/>
      <c r="B82" s="800"/>
      <c r="C82" s="538"/>
      <c r="D82" s="538"/>
      <c r="E82" s="538"/>
    </row>
    <row r="83" spans="1:5" ht="18.75" x14ac:dyDescent="0.25">
      <c r="A83" s="799"/>
      <c r="B83" s="800"/>
      <c r="C83" s="538"/>
      <c r="D83" s="538"/>
      <c r="E83" s="538"/>
    </row>
    <row r="84" spans="1:5" ht="18.75" x14ac:dyDescent="0.25">
      <c r="A84" s="799"/>
      <c r="B84" s="800"/>
      <c r="C84" s="538"/>
      <c r="D84" s="538"/>
      <c r="E84" s="538"/>
    </row>
    <row r="85" spans="1:5" ht="18.75" x14ac:dyDescent="0.25">
      <c r="A85" s="799"/>
      <c r="B85" s="800"/>
      <c r="C85" s="538"/>
      <c r="D85" s="538"/>
      <c r="E85" s="538"/>
    </row>
    <row r="86" spans="1:5" ht="18.75" x14ac:dyDescent="0.25">
      <c r="A86" s="799"/>
      <c r="B86" s="800"/>
      <c r="C86" s="538"/>
      <c r="D86" s="538"/>
      <c r="E86" s="538"/>
    </row>
    <row r="87" spans="1:5" ht="18.75" x14ac:dyDescent="0.25">
      <c r="A87" s="799"/>
      <c r="B87" s="800"/>
      <c r="C87" s="538"/>
      <c r="D87" s="538"/>
      <c r="E87" s="538"/>
    </row>
  </sheetData>
  <mergeCells count="8">
    <mergeCell ref="B2:C2"/>
    <mergeCell ref="B3:C3"/>
    <mergeCell ref="A40:C40"/>
    <mergeCell ref="A41:C41"/>
    <mergeCell ref="A44:C44"/>
    <mergeCell ref="A4:C4"/>
    <mergeCell ref="A5:C5"/>
    <mergeCell ref="A26:C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B5EF-95BF-408A-921E-6F6E4B586C45}">
  <dimension ref="A1:E19"/>
  <sheetViews>
    <sheetView topLeftCell="A5" workbookViewId="0">
      <selection activeCell="E9" sqref="E9"/>
    </sheetView>
  </sheetViews>
  <sheetFormatPr defaultColWidth="9.140625" defaultRowHeight="17.25" x14ac:dyDescent="0.3"/>
  <cols>
    <col min="1" max="1" width="24.85546875" style="42" customWidth="1"/>
    <col min="2" max="2" width="14.7109375" style="42" customWidth="1"/>
    <col min="3" max="3" width="9.140625" style="42"/>
    <col min="4" max="4" width="23" style="42" customWidth="1"/>
    <col min="5" max="5" width="17" style="42" customWidth="1"/>
    <col min="6" max="12" width="9.140625" style="42"/>
    <col min="13" max="13" width="17.42578125" style="42" customWidth="1"/>
    <col min="14" max="16384" width="9.140625" style="42"/>
  </cols>
  <sheetData>
    <row r="1" spans="1:5" ht="21" x14ac:dyDescent="0.35">
      <c r="A1" s="963" t="str">
        <f>'DNU  Customer Option Cover Page'!C6</f>
        <v>Olsen Veranda Bay Model #2</v>
      </c>
      <c r="B1" s="964"/>
      <c r="C1" s="964"/>
      <c r="D1" s="964"/>
      <c r="E1" s="965"/>
    </row>
    <row r="2" spans="1:5" ht="18" thickBot="1" x14ac:dyDescent="0.35">
      <c r="A2" s="897" t="str">
        <f>'DNU  Customer Option Cover Page'!C7</f>
        <v xml:space="preserve">183 Stillwater Drive, Flagler Beach </v>
      </c>
      <c r="B2" s="898"/>
      <c r="C2" s="898"/>
      <c r="D2" s="898"/>
      <c r="E2" s="899"/>
    </row>
    <row r="3" spans="1:5" x14ac:dyDescent="0.3">
      <c r="A3" s="108"/>
      <c r="B3" s="108"/>
      <c r="C3" s="108"/>
    </row>
    <row r="4" spans="1:5" ht="195.75" customHeight="1" x14ac:dyDescent="0.3">
      <c r="A4" s="969" t="s">
        <v>316</v>
      </c>
      <c r="B4" s="929"/>
      <c r="C4" s="929"/>
      <c r="D4" s="929"/>
      <c r="E4" s="929"/>
    </row>
    <row r="6" spans="1:5" ht="18" thickBot="1" x14ac:dyDescent="0.35">
      <c r="A6" s="966" t="s">
        <v>118</v>
      </c>
      <c r="B6" s="966"/>
      <c r="D6" s="883" t="s">
        <v>600</v>
      </c>
      <c r="E6" s="883"/>
    </row>
    <row r="7" spans="1:5" x14ac:dyDescent="0.3">
      <c r="A7" s="481"/>
      <c r="B7" s="482"/>
      <c r="D7" s="487"/>
      <c r="E7" s="488"/>
    </row>
    <row r="8" spans="1:5" x14ac:dyDescent="0.3">
      <c r="A8" s="483" t="s">
        <v>121</v>
      </c>
      <c r="B8" s="484">
        <v>983</v>
      </c>
      <c r="D8" s="483" t="s">
        <v>121</v>
      </c>
      <c r="E8" s="484">
        <v>300</v>
      </c>
    </row>
    <row r="9" spans="1:5" x14ac:dyDescent="0.3">
      <c r="A9" s="485"/>
      <c r="B9" s="486"/>
      <c r="D9" s="298"/>
      <c r="E9" s="382"/>
    </row>
    <row r="10" spans="1:5" x14ac:dyDescent="0.3">
      <c r="A10" s="379" t="s">
        <v>19</v>
      </c>
      <c r="B10" s="380">
        <f>SUM(B7:B9)</f>
        <v>983</v>
      </c>
      <c r="D10" s="489" t="s">
        <v>19</v>
      </c>
      <c r="E10" s="490">
        <f>SUM(E7:E9)</f>
        <v>300</v>
      </c>
    </row>
    <row r="11" spans="1:5" x14ac:dyDescent="0.3">
      <c r="A11" s="296"/>
      <c r="B11" s="297"/>
      <c r="D11" s="296"/>
      <c r="E11" s="297"/>
    </row>
    <row r="12" spans="1:5" x14ac:dyDescent="0.3">
      <c r="A12" s="912" t="s">
        <v>848</v>
      </c>
      <c r="B12" s="913"/>
      <c r="D12" s="912" t="s">
        <v>848</v>
      </c>
      <c r="E12" s="913"/>
    </row>
    <row r="13" spans="1:5" x14ac:dyDescent="0.3">
      <c r="A13" s="296" t="s">
        <v>426</v>
      </c>
      <c r="B13" s="388">
        <v>1003.2</v>
      </c>
      <c r="D13" s="296" t="s">
        <v>426</v>
      </c>
      <c r="E13" s="388">
        <v>1003.2</v>
      </c>
    </row>
    <row r="14" spans="1:5" x14ac:dyDescent="0.3">
      <c r="A14" s="296" t="s">
        <v>427</v>
      </c>
      <c r="B14" s="388"/>
      <c r="D14" s="296" t="s">
        <v>427</v>
      </c>
      <c r="E14" s="388"/>
    </row>
    <row r="15" spans="1:5" x14ac:dyDescent="0.3">
      <c r="A15" s="407"/>
      <c r="B15" s="411"/>
      <c r="D15" s="407"/>
      <c r="E15" s="411"/>
    </row>
    <row r="16" spans="1:5" x14ac:dyDescent="0.3">
      <c r="A16" s="296"/>
      <c r="B16" s="388"/>
      <c r="D16" s="296"/>
      <c r="E16" s="388"/>
    </row>
    <row r="17" spans="1:5" x14ac:dyDescent="0.3">
      <c r="A17" s="395" t="s">
        <v>344</v>
      </c>
      <c r="B17" s="405">
        <f>B10+B13</f>
        <v>1986.2</v>
      </c>
      <c r="D17" s="395" t="s">
        <v>344</v>
      </c>
      <c r="E17" s="405">
        <f>E10+E13</f>
        <v>1303.2</v>
      </c>
    </row>
    <row r="18" spans="1:5" ht="18" thickBot="1" x14ac:dyDescent="0.35">
      <c r="A18" s="967" t="s">
        <v>855</v>
      </c>
      <c r="B18" s="968"/>
      <c r="D18" s="967" t="s">
        <v>855</v>
      </c>
      <c r="E18" s="968"/>
    </row>
    <row r="19" spans="1:5" x14ac:dyDescent="0.3">
      <c r="B19" s="111"/>
    </row>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sqref="A1:XFD1048576"/>
      <pageMargins left="0.7" right="0.7" top="0.75" bottom="0.75" header="0.3" footer="0.3"/>
    </customSheetView>
  </customSheetViews>
  <mergeCells count="9">
    <mergeCell ref="A1:E1"/>
    <mergeCell ref="A2:E2"/>
    <mergeCell ref="A6:B6"/>
    <mergeCell ref="A12:B12"/>
    <mergeCell ref="D18:E18"/>
    <mergeCell ref="A18:B18"/>
    <mergeCell ref="D6:E6"/>
    <mergeCell ref="D12:E12"/>
    <mergeCell ref="A4:E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6F1B-3855-4A70-8B1D-31D4B8A72F98}">
  <dimension ref="A1:E40"/>
  <sheetViews>
    <sheetView topLeftCell="A24" workbookViewId="0">
      <selection activeCell="D36" sqref="D36"/>
    </sheetView>
  </sheetViews>
  <sheetFormatPr defaultColWidth="9.140625" defaultRowHeight="17.25" x14ac:dyDescent="0.3"/>
  <cols>
    <col min="1" max="1" width="24.85546875" style="42" customWidth="1"/>
    <col min="2" max="2" width="17" style="42" customWidth="1"/>
    <col min="3" max="3" width="9.140625" style="42"/>
    <col min="4" max="4" width="25.42578125" style="42" customWidth="1"/>
    <col min="5" max="5" width="14.5703125" style="42" customWidth="1"/>
    <col min="6" max="11" width="9.140625" style="42"/>
    <col min="12" max="12" width="14.7109375" style="42" customWidth="1"/>
    <col min="13" max="16384" width="9.140625" style="42"/>
  </cols>
  <sheetData>
    <row r="1" spans="1:5" ht="21" x14ac:dyDescent="0.35">
      <c r="A1" s="972" t="str">
        <f>'DNU  Customer Option Cover Page'!C6</f>
        <v>Olsen Veranda Bay Model #2</v>
      </c>
      <c r="B1" s="973"/>
      <c r="C1" s="973"/>
      <c r="D1" s="973"/>
      <c r="E1" s="973"/>
    </row>
    <row r="2" spans="1:5" x14ac:dyDescent="0.3">
      <c r="A2" s="974" t="str">
        <f>'DNU  Customer Option Cover Page'!C7</f>
        <v xml:space="preserve">183 Stillwater Drive, Flagler Beach </v>
      </c>
      <c r="B2" s="975"/>
      <c r="C2" s="975"/>
      <c r="D2" s="975"/>
      <c r="E2" s="975"/>
    </row>
    <row r="3" spans="1:5" ht="18" thickBot="1" x14ac:dyDescent="0.35">
      <c r="A3" s="454"/>
      <c r="B3" s="108"/>
      <c r="C3" s="108"/>
      <c r="D3" s="108"/>
    </row>
    <row r="4" spans="1:5" ht="213.6" customHeight="1" thickBot="1" x14ac:dyDescent="0.35">
      <c r="A4" s="892" t="s">
        <v>315</v>
      </c>
      <c r="B4" s="893"/>
      <c r="C4" s="893"/>
      <c r="D4" s="893"/>
      <c r="E4" s="894"/>
    </row>
    <row r="6" spans="1:5" ht="18" thickBot="1" x14ac:dyDescent="0.35">
      <c r="A6" s="966" t="s">
        <v>118</v>
      </c>
      <c r="B6" s="966"/>
      <c r="D6" s="971"/>
      <c r="E6" s="971"/>
    </row>
    <row r="7" spans="1:5" x14ac:dyDescent="0.3">
      <c r="A7" s="481"/>
      <c r="B7" s="482"/>
    </row>
    <row r="8" spans="1:5" x14ac:dyDescent="0.3">
      <c r="A8" s="483" t="s">
        <v>304</v>
      </c>
      <c r="B8" s="484">
        <v>4584</v>
      </c>
      <c r="E8" s="216"/>
    </row>
    <row r="9" spans="1:5" x14ac:dyDescent="0.3">
      <c r="A9" s="485"/>
      <c r="B9" s="486"/>
    </row>
    <row r="10" spans="1:5" x14ac:dyDescent="0.3">
      <c r="A10" s="379" t="s">
        <v>19</v>
      </c>
      <c r="B10" s="380">
        <f>SUM(B7:B9)</f>
        <v>4584</v>
      </c>
      <c r="D10" s="261"/>
      <c r="E10" s="371"/>
    </row>
    <row r="11" spans="1:5" x14ac:dyDescent="0.3">
      <c r="A11" s="296"/>
      <c r="B11" s="297"/>
    </row>
    <row r="12" spans="1:5" x14ac:dyDescent="0.3">
      <c r="A12" s="912" t="s">
        <v>848</v>
      </c>
      <c r="B12" s="913"/>
      <c r="D12" s="971"/>
      <c r="E12" s="971"/>
    </row>
    <row r="13" spans="1:5" x14ac:dyDescent="0.3">
      <c r="A13" s="296" t="s">
        <v>424</v>
      </c>
      <c r="B13" s="388">
        <v>762.43</v>
      </c>
      <c r="E13" s="111"/>
    </row>
    <row r="14" spans="1:5" x14ac:dyDescent="0.3">
      <c r="A14" s="296" t="s">
        <v>425</v>
      </c>
      <c r="B14" s="388"/>
      <c r="E14" s="111"/>
    </row>
    <row r="15" spans="1:5" x14ac:dyDescent="0.3">
      <c r="A15" s="491" t="s">
        <v>361</v>
      </c>
      <c r="B15" s="411">
        <v>176</v>
      </c>
      <c r="E15" s="111"/>
    </row>
    <row r="16" spans="1:5" x14ac:dyDescent="0.3">
      <c r="A16" s="296"/>
      <c r="B16" s="388"/>
      <c r="E16" s="111"/>
    </row>
    <row r="17" spans="1:5" x14ac:dyDescent="0.3">
      <c r="A17" s="42" t="s">
        <v>875</v>
      </c>
      <c r="B17" s="388">
        <v>449.77</v>
      </c>
      <c r="D17" s="114"/>
      <c r="E17" s="111"/>
    </row>
    <row r="18" spans="1:5" x14ac:dyDescent="0.3">
      <c r="A18" s="296"/>
      <c r="B18" s="388"/>
      <c r="E18" s="111"/>
    </row>
    <row r="19" spans="1:5" x14ac:dyDescent="0.3">
      <c r="A19" s="296"/>
      <c r="B19" s="297"/>
    </row>
    <row r="20" spans="1:5" x14ac:dyDescent="0.3">
      <c r="A20" s="395" t="s">
        <v>344</v>
      </c>
      <c r="B20" s="492">
        <f>B10+B13+B15+B17</f>
        <v>5972.2000000000007</v>
      </c>
      <c r="D20" s="261"/>
      <c r="E20" s="262"/>
    </row>
    <row r="21" spans="1:5" ht="18" thickBot="1" x14ac:dyDescent="0.35">
      <c r="A21" s="299" t="s">
        <v>134</v>
      </c>
      <c r="B21" s="725">
        <f>B20/0.65</f>
        <v>9188</v>
      </c>
      <c r="D21" s="261"/>
      <c r="E21" s="262"/>
    </row>
    <row r="22" spans="1:5" ht="18" thickBot="1" x14ac:dyDescent="0.35"/>
    <row r="23" spans="1:5" ht="213.6" customHeight="1" thickBot="1" x14ac:dyDescent="0.35">
      <c r="A23" s="892" t="s">
        <v>887</v>
      </c>
      <c r="B23" s="893"/>
      <c r="C23" s="893"/>
      <c r="D23" s="893"/>
      <c r="E23" s="894"/>
    </row>
    <row r="25" spans="1:5" ht="18" thickBot="1" x14ac:dyDescent="0.35">
      <c r="A25" s="970" t="s">
        <v>599</v>
      </c>
      <c r="B25" s="970"/>
      <c r="D25" s="971"/>
      <c r="E25" s="971"/>
    </row>
    <row r="26" spans="1:5" x14ac:dyDescent="0.3">
      <c r="A26" s="481"/>
      <c r="B26" s="482"/>
    </row>
    <row r="27" spans="1:5" x14ac:dyDescent="0.3">
      <c r="A27" s="483" t="s">
        <v>304</v>
      </c>
      <c r="B27" s="484">
        <v>3605</v>
      </c>
      <c r="E27" s="216"/>
    </row>
    <row r="28" spans="1:5" x14ac:dyDescent="0.3">
      <c r="A28" s="485" t="s">
        <v>888</v>
      </c>
      <c r="B28" s="486">
        <v>70</v>
      </c>
    </row>
    <row r="29" spans="1:5" x14ac:dyDescent="0.3">
      <c r="A29" s="817" t="s">
        <v>19</v>
      </c>
      <c r="B29" s="818">
        <f>SUM(B26:B28)</f>
        <v>3675</v>
      </c>
      <c r="D29" s="261"/>
      <c r="E29" s="371"/>
    </row>
    <row r="30" spans="1:5" x14ac:dyDescent="0.3">
      <c r="A30" s="296"/>
      <c r="B30" s="297"/>
    </row>
    <row r="31" spans="1:5" x14ac:dyDescent="0.3">
      <c r="A31" s="912" t="s">
        <v>848</v>
      </c>
      <c r="B31" s="913"/>
      <c r="D31" s="971"/>
      <c r="E31" s="971"/>
    </row>
    <row r="32" spans="1:5" x14ac:dyDescent="0.3">
      <c r="A32" s="296" t="s">
        <v>424</v>
      </c>
      <c r="B32" s="388">
        <v>762.43</v>
      </c>
      <c r="E32" s="111"/>
    </row>
    <row r="33" spans="1:5" x14ac:dyDescent="0.3">
      <c r="A33" s="296" t="s">
        <v>425</v>
      </c>
      <c r="B33" s="388"/>
      <c r="E33" s="111"/>
    </row>
    <row r="34" spans="1:5" x14ac:dyDescent="0.3">
      <c r="A34" s="491" t="s">
        <v>361</v>
      </c>
      <c r="B34" s="411">
        <v>176</v>
      </c>
      <c r="E34" s="111"/>
    </row>
    <row r="35" spans="1:5" x14ac:dyDescent="0.3">
      <c r="A35" s="296"/>
      <c r="B35" s="388"/>
      <c r="E35" s="111"/>
    </row>
    <row r="36" spans="1:5" x14ac:dyDescent="0.3">
      <c r="A36" s="42" t="s">
        <v>875</v>
      </c>
      <c r="B36" s="388">
        <v>449.77</v>
      </c>
      <c r="D36" s="114"/>
      <c r="E36" s="111"/>
    </row>
    <row r="37" spans="1:5" x14ac:dyDescent="0.3">
      <c r="A37" s="296"/>
      <c r="B37" s="388"/>
      <c r="E37" s="111"/>
    </row>
    <row r="38" spans="1:5" x14ac:dyDescent="0.3">
      <c r="A38" s="296"/>
      <c r="B38" s="297"/>
    </row>
    <row r="39" spans="1:5" x14ac:dyDescent="0.3">
      <c r="A39" s="395" t="s">
        <v>344</v>
      </c>
      <c r="B39" s="492">
        <f>B29+B32+B34+B36</f>
        <v>5063.2000000000007</v>
      </c>
      <c r="D39" s="261"/>
      <c r="E39" s="262"/>
    </row>
    <row r="40" spans="1:5" ht="18" thickBot="1" x14ac:dyDescent="0.35">
      <c r="A40" s="299" t="s">
        <v>134</v>
      </c>
      <c r="B40" s="725">
        <f>B39/0.65</f>
        <v>7789.5384615384628</v>
      </c>
      <c r="D40" s="261"/>
      <c r="E40" s="262"/>
    </row>
  </sheetData>
  <customSheetViews>
    <customSheetView guid="{26FE7078-0398-4426-AF83-8A5AF3F4232D}">
      <selection activeCell="A4" sqref="A4:XFD12"/>
      <pageMargins left="0.7" right="0.7" top="0.75" bottom="0.75" header="0.3" footer="0.3"/>
    </customSheetView>
    <customSheetView guid="{EF0F83D7-7255-463C-BAD8-00D44B99E347}">
      <selection activeCell="I23" sqref="I23"/>
      <pageMargins left="0.7" right="0.7" top="0.75" bottom="0.75" header="0.3" footer="0.3"/>
    </customSheetView>
    <customSheetView guid="{1D143CF9-D561-438B-9881-64C8826F55C9}">
      <selection activeCell="G26" sqref="G26"/>
      <pageMargins left="0.7" right="0.7" top="0.75" bottom="0.75" header="0.3" footer="0.3"/>
    </customSheetView>
  </customSheetViews>
  <mergeCells count="12">
    <mergeCell ref="A1:E1"/>
    <mergeCell ref="A2:E2"/>
    <mergeCell ref="A6:B6"/>
    <mergeCell ref="A12:B12"/>
    <mergeCell ref="D6:E6"/>
    <mergeCell ref="D12:E12"/>
    <mergeCell ref="A4:E4"/>
    <mergeCell ref="A23:E23"/>
    <mergeCell ref="A25:B25"/>
    <mergeCell ref="D25:E25"/>
    <mergeCell ref="A31:B31"/>
    <mergeCell ref="D31:E3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55EC-A6C2-4B74-87C5-0F3F612998BF}">
  <sheetPr>
    <pageSetUpPr fitToPage="1"/>
  </sheetPr>
  <dimension ref="A1:H38"/>
  <sheetViews>
    <sheetView topLeftCell="A27" workbookViewId="0">
      <selection activeCell="C43" sqref="C43"/>
    </sheetView>
  </sheetViews>
  <sheetFormatPr defaultColWidth="9.140625" defaultRowHeight="17.25" x14ac:dyDescent="0.3"/>
  <cols>
    <col min="1" max="1" width="47.85546875" style="42" customWidth="1"/>
    <col min="2" max="2" width="16.7109375" style="42" customWidth="1"/>
    <col min="3" max="3" width="9.140625" style="42"/>
    <col min="4" max="4" width="34.140625" style="42" customWidth="1"/>
    <col min="5" max="5" width="19.28515625" style="42" customWidth="1"/>
    <col min="6" max="16384" width="9.140625" style="42"/>
  </cols>
  <sheetData>
    <row r="1" spans="1:5" ht="21" x14ac:dyDescent="0.35">
      <c r="A1" s="963" t="str">
        <f>'DNU  Customer Option Cover Page'!C6</f>
        <v>Olsen Veranda Bay Model #2</v>
      </c>
      <c r="B1" s="964"/>
      <c r="C1" s="964"/>
      <c r="D1" s="964"/>
      <c r="E1" s="965"/>
    </row>
    <row r="2" spans="1:5" ht="18" thickBot="1" x14ac:dyDescent="0.35">
      <c r="A2" s="897" t="str">
        <f>'DNU  Customer Option Cover Page'!C7</f>
        <v xml:space="preserve">183 Stillwater Drive, Flagler Beach </v>
      </c>
      <c r="B2" s="898"/>
      <c r="C2" s="898"/>
      <c r="D2" s="898"/>
      <c r="E2" s="899"/>
    </row>
    <row r="3" spans="1:5" x14ac:dyDescent="0.3">
      <c r="A3" s="108"/>
      <c r="B3" s="108"/>
      <c r="C3" s="108"/>
      <c r="D3" s="108"/>
    </row>
    <row r="4" spans="1:5" ht="18" thickBot="1" x14ac:dyDescent="0.35">
      <c r="A4" s="966" t="s">
        <v>118</v>
      </c>
      <c r="B4" s="966"/>
      <c r="D4" s="883" t="s">
        <v>599</v>
      </c>
      <c r="E4" s="883"/>
    </row>
    <row r="5" spans="1:5" x14ac:dyDescent="0.3">
      <c r="A5" s="493" t="s">
        <v>305</v>
      </c>
      <c r="B5" s="494">
        <v>2543</v>
      </c>
      <c r="D5" s="493" t="s">
        <v>595</v>
      </c>
      <c r="E5" s="494">
        <f>2190+56</f>
        <v>2246</v>
      </c>
    </row>
    <row r="6" spans="1:5" x14ac:dyDescent="0.3">
      <c r="A6" s="379" t="s">
        <v>19</v>
      </c>
      <c r="B6" s="380">
        <f>SUM(B5:B5)</f>
        <v>2543</v>
      </c>
      <c r="D6" s="379" t="s">
        <v>19</v>
      </c>
      <c r="E6" s="380">
        <f>SUM(E5:E5)</f>
        <v>2246</v>
      </c>
    </row>
    <row r="7" spans="1:5" x14ac:dyDescent="0.3">
      <c r="A7" s="296"/>
      <c r="B7" s="297"/>
      <c r="D7" s="296"/>
      <c r="E7" s="297"/>
    </row>
    <row r="8" spans="1:5" x14ac:dyDescent="0.3">
      <c r="A8" s="912" t="s">
        <v>849</v>
      </c>
      <c r="B8" s="913"/>
      <c r="D8" s="912" t="s">
        <v>849</v>
      </c>
      <c r="E8" s="913"/>
    </row>
    <row r="9" spans="1:5" x14ac:dyDescent="0.3">
      <c r="A9" s="429" t="s">
        <v>835</v>
      </c>
      <c r="B9" s="747">
        <f>27.2*70.4</f>
        <v>1914.88</v>
      </c>
      <c r="D9" s="429" t="s">
        <v>835</v>
      </c>
      <c r="E9" s="747">
        <f>27.2*70.4</f>
        <v>1914.88</v>
      </c>
    </row>
    <row r="10" spans="1:5" x14ac:dyDescent="0.3">
      <c r="A10" s="429" t="s">
        <v>818</v>
      </c>
      <c r="B10" s="747">
        <v>176</v>
      </c>
      <c r="D10" s="429" t="s">
        <v>818</v>
      </c>
      <c r="E10" s="747">
        <v>176</v>
      </c>
    </row>
    <row r="11" spans="1:5" x14ac:dyDescent="0.3">
      <c r="A11" s="383" t="s">
        <v>19</v>
      </c>
      <c r="B11" s="384">
        <f>SUM(B9:B10)</f>
        <v>2090.88</v>
      </c>
      <c r="D11" s="383" t="s">
        <v>19</v>
      </c>
      <c r="E11" s="384">
        <f>SUM(E9:E10)</f>
        <v>2090.88</v>
      </c>
    </row>
    <row r="12" spans="1:5" x14ac:dyDescent="0.3">
      <c r="A12" s="296"/>
      <c r="B12" s="388"/>
      <c r="D12" s="296"/>
      <c r="E12" s="388"/>
    </row>
    <row r="13" spans="1:5" x14ac:dyDescent="0.3">
      <c r="A13" s="407" t="s">
        <v>388</v>
      </c>
      <c r="B13" s="411">
        <v>428.97</v>
      </c>
      <c r="D13" s="407" t="s">
        <v>388</v>
      </c>
      <c r="E13" s="411">
        <f>400.88*1.07</f>
        <v>428.94159999999999</v>
      </c>
    </row>
    <row r="14" spans="1:5" x14ac:dyDescent="0.3">
      <c r="A14" s="296"/>
      <c r="B14" s="388"/>
      <c r="D14" s="296"/>
      <c r="E14" s="388"/>
    </row>
    <row r="15" spans="1:5" x14ac:dyDescent="0.3">
      <c r="A15" s="395" t="s">
        <v>344</v>
      </c>
      <c r="B15" s="492">
        <f>B6+B11+B13+B14</f>
        <v>5062.8500000000004</v>
      </c>
      <c r="D15" s="395" t="s">
        <v>344</v>
      </c>
      <c r="E15" s="492">
        <f>E6+E11+E13</f>
        <v>4765.8216000000002</v>
      </c>
    </row>
    <row r="16" spans="1:5" ht="18" thickBot="1" x14ac:dyDescent="0.35">
      <c r="A16" s="299" t="s">
        <v>545</v>
      </c>
      <c r="B16" s="480">
        <f>B15/0.65</f>
        <v>7789</v>
      </c>
      <c r="D16" s="299" t="s">
        <v>545</v>
      </c>
      <c r="E16" s="480">
        <f>E15/0.65</f>
        <v>7332.0332307692306</v>
      </c>
    </row>
    <row r="17" spans="1:8" ht="18" thickBot="1" x14ac:dyDescent="0.35"/>
    <row r="18" spans="1:8" ht="187.5" customHeight="1" x14ac:dyDescent="0.3">
      <c r="A18" s="938" t="s">
        <v>852</v>
      </c>
      <c r="B18" s="939"/>
      <c r="C18" s="289"/>
      <c r="D18" s="289"/>
      <c r="E18" s="289"/>
      <c r="F18" s="289"/>
      <c r="G18" s="290"/>
    </row>
    <row r="19" spans="1:8" x14ac:dyDescent="0.3">
      <c r="A19" s="296"/>
      <c r="G19" s="297"/>
    </row>
    <row r="20" spans="1:8" x14ac:dyDescent="0.3">
      <c r="A20" s="976" t="s">
        <v>385</v>
      </c>
      <c r="B20" s="977"/>
      <c r="G20" s="297"/>
    </row>
    <row r="21" spans="1:8" x14ac:dyDescent="0.3">
      <c r="A21" s="296" t="s">
        <v>777</v>
      </c>
      <c r="B21" s="388">
        <v>2063.13</v>
      </c>
      <c r="G21" s="297"/>
    </row>
    <row r="22" spans="1:8" x14ac:dyDescent="0.3">
      <c r="A22" s="296" t="s">
        <v>778</v>
      </c>
      <c r="B22" s="388">
        <v>805</v>
      </c>
      <c r="G22" s="297"/>
    </row>
    <row r="23" spans="1:8" x14ac:dyDescent="0.3">
      <c r="A23" s="394" t="s">
        <v>390</v>
      </c>
      <c r="B23" s="388">
        <f>SUM(B21:B22)*0.07</f>
        <v>200.76910000000004</v>
      </c>
      <c r="G23" s="297"/>
    </row>
    <row r="24" spans="1:8" x14ac:dyDescent="0.3">
      <c r="A24" s="296" t="s">
        <v>779</v>
      </c>
      <c r="B24" s="388">
        <v>900</v>
      </c>
      <c r="G24" s="297"/>
    </row>
    <row r="25" spans="1:8" x14ac:dyDescent="0.3">
      <c r="A25" s="711" t="s">
        <v>19</v>
      </c>
      <c r="B25" s="712">
        <f>SUM(B21:B24)</f>
        <v>3968.8991000000001</v>
      </c>
      <c r="G25" s="297"/>
    </row>
    <row r="26" spans="1:8" ht="18" thickBot="1" x14ac:dyDescent="0.35">
      <c r="A26" s="299" t="s">
        <v>545</v>
      </c>
      <c r="B26" s="724">
        <f>B25/0.65</f>
        <v>6105.9986153846157</v>
      </c>
      <c r="C26" s="292"/>
      <c r="D26" s="292"/>
      <c r="E26" s="292"/>
      <c r="F26" s="292"/>
      <c r="G26" s="293"/>
    </row>
    <row r="27" spans="1:8" ht="18" thickBot="1" x14ac:dyDescent="0.35"/>
    <row r="28" spans="1:8" ht="93.75" customHeight="1" x14ac:dyDescent="0.3">
      <c r="A28" s="938" t="s">
        <v>851</v>
      </c>
      <c r="B28" s="939"/>
      <c r="C28" s="289"/>
      <c r="D28" s="289"/>
      <c r="E28" s="289"/>
      <c r="F28" s="289"/>
      <c r="G28" s="289"/>
      <c r="H28" s="290"/>
    </row>
    <row r="29" spans="1:8" x14ac:dyDescent="0.3">
      <c r="A29" s="296"/>
      <c r="H29" s="297"/>
    </row>
    <row r="30" spans="1:8" x14ac:dyDescent="0.3">
      <c r="A30" s="920" t="s">
        <v>853</v>
      </c>
      <c r="B30" s="888"/>
      <c r="H30" s="297"/>
    </row>
    <row r="31" spans="1:8" x14ac:dyDescent="0.3">
      <c r="A31" s="298" t="s">
        <v>854</v>
      </c>
      <c r="B31" s="287">
        <v>90</v>
      </c>
      <c r="C31" s="42" t="s">
        <v>350</v>
      </c>
      <c r="H31" s="297"/>
    </row>
    <row r="32" spans="1:8" x14ac:dyDescent="0.3">
      <c r="A32" s="296"/>
      <c r="H32" s="297"/>
    </row>
    <row r="33" spans="1:8" ht="18" thickBot="1" x14ac:dyDescent="0.35">
      <c r="A33" s="296"/>
      <c r="H33" s="297"/>
    </row>
    <row r="34" spans="1:8" x14ac:dyDescent="0.3">
      <c r="A34" s="296"/>
      <c r="B34" s="111"/>
      <c r="D34" s="288" t="s">
        <v>340</v>
      </c>
      <c r="E34" s="289"/>
      <c r="F34" s="289" t="s">
        <v>377</v>
      </c>
      <c r="G34" s="290"/>
      <c r="H34" s="297"/>
    </row>
    <row r="35" spans="1:8" ht="18" thickBot="1" x14ac:dyDescent="0.35">
      <c r="A35" s="296" t="s">
        <v>376</v>
      </c>
      <c r="B35" s="111">
        <f>19.5*90</f>
        <v>1755</v>
      </c>
      <c r="D35" s="291">
        <f>13.5*90</f>
        <v>1215</v>
      </c>
      <c r="E35" s="292"/>
      <c r="F35" s="292"/>
      <c r="G35" s="293"/>
      <c r="H35" s="297"/>
    </row>
    <row r="36" spans="1:8" x14ac:dyDescent="0.3">
      <c r="A36" s="296" t="s">
        <v>341</v>
      </c>
      <c r="B36" s="111"/>
      <c r="H36" s="297"/>
    </row>
    <row r="37" spans="1:8" x14ac:dyDescent="0.3">
      <c r="A37" s="296"/>
      <c r="H37" s="297"/>
    </row>
    <row r="38" spans="1:8" ht="18" thickBot="1" x14ac:dyDescent="0.35">
      <c r="A38" s="299" t="s">
        <v>357</v>
      </c>
      <c r="B38" s="300">
        <f>B35/0.65</f>
        <v>2700</v>
      </c>
      <c r="C38" s="292"/>
      <c r="D38" s="292"/>
      <c r="E38" s="292"/>
      <c r="F38" s="292"/>
      <c r="G38" s="292"/>
      <c r="H38" s="293"/>
    </row>
  </sheetData>
  <mergeCells count="10">
    <mergeCell ref="A28:B28"/>
    <mergeCell ref="A30:B30"/>
    <mergeCell ref="A1:E1"/>
    <mergeCell ref="A2:E2"/>
    <mergeCell ref="D8:E8"/>
    <mergeCell ref="A18:B18"/>
    <mergeCell ref="A20:B20"/>
    <mergeCell ref="A4:B4"/>
    <mergeCell ref="A8:B8"/>
    <mergeCell ref="D4:E4"/>
  </mergeCells>
  <pageMargins left="0.7" right="0.7" top="0.75" bottom="0.75" header="0.3" footer="0.3"/>
  <pageSetup scale="90"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5650-35FC-468D-AD02-977B18488576}">
  <sheetPr>
    <pageSetUpPr fitToPage="1"/>
  </sheetPr>
  <dimension ref="A1:F21"/>
  <sheetViews>
    <sheetView topLeftCell="A6" workbookViewId="0">
      <selection activeCell="K17" sqref="K17"/>
    </sheetView>
  </sheetViews>
  <sheetFormatPr defaultColWidth="9.140625" defaultRowHeight="17.25" x14ac:dyDescent="0.3"/>
  <cols>
    <col min="1" max="1" width="24.85546875" style="42" customWidth="1"/>
    <col min="2" max="2" width="16.7109375" style="42" customWidth="1"/>
    <col min="3" max="3" width="9.140625" style="42"/>
    <col min="4" max="4" width="26.42578125" style="42" customWidth="1"/>
    <col min="5" max="5" width="16.140625" style="42" customWidth="1"/>
    <col min="6" max="11" width="9.140625" style="42"/>
    <col min="12" max="12" width="19.5703125" style="42" customWidth="1"/>
    <col min="13" max="16384" width="9.140625" style="42"/>
  </cols>
  <sheetData>
    <row r="1" spans="1:6" ht="21.75" thickBot="1" x14ac:dyDescent="0.4">
      <c r="A1" s="978" t="str">
        <f>'DNU  Customer Option Cover Page'!C6</f>
        <v>Olsen Veranda Bay Model #2</v>
      </c>
      <c r="B1" s="979"/>
      <c r="C1" s="979"/>
      <c r="D1" s="979"/>
      <c r="E1" s="979"/>
      <c r="F1" s="980"/>
    </row>
    <row r="2" spans="1:6" x14ac:dyDescent="0.3">
      <c r="A2" s="981" t="str">
        <f>'DNU  Customer Option Cover Page'!C7</f>
        <v xml:space="preserve">183 Stillwater Drive, Flagler Beach </v>
      </c>
      <c r="B2" s="982"/>
      <c r="C2" s="982"/>
      <c r="D2" s="982"/>
      <c r="E2" s="982"/>
      <c r="F2" s="983"/>
    </row>
    <row r="3" spans="1:6" x14ac:dyDescent="0.3">
      <c r="A3" s="108"/>
      <c r="B3" s="108"/>
      <c r="C3" s="108"/>
      <c r="D3" s="108"/>
      <c r="E3" s="108"/>
      <c r="F3" s="108"/>
    </row>
    <row r="4" spans="1:6" ht="50.25" customHeight="1" thickBot="1" x14ac:dyDescent="0.35">
      <c r="A4" s="969" t="s">
        <v>384</v>
      </c>
      <c r="B4" s="929"/>
      <c r="C4" s="929"/>
      <c r="D4" s="929"/>
      <c r="E4" s="929"/>
    </row>
    <row r="5" spans="1:6" ht="321.75" customHeight="1" thickBot="1" x14ac:dyDescent="0.35">
      <c r="A5" s="924" t="s">
        <v>387</v>
      </c>
      <c r="B5" s="925"/>
      <c r="C5" s="925"/>
      <c r="D5" s="925"/>
      <c r="E5" s="925"/>
    </row>
    <row r="7" spans="1:6" ht="18" thickBot="1" x14ac:dyDescent="0.35">
      <c r="A7" s="966" t="s">
        <v>118</v>
      </c>
      <c r="B7" s="966"/>
      <c r="D7" s="883" t="s">
        <v>599</v>
      </c>
      <c r="E7" s="883"/>
    </row>
    <row r="8" spans="1:6" ht="18" thickBot="1" x14ac:dyDescent="0.35">
      <c r="A8" s="481"/>
      <c r="B8" s="482"/>
      <c r="D8" s="288"/>
      <c r="E8" s="290"/>
    </row>
    <row r="9" spans="1:6" ht="18" thickBot="1" x14ac:dyDescent="0.35">
      <c r="A9" s="483" t="s">
        <v>313</v>
      </c>
      <c r="B9" s="484">
        <v>2020</v>
      </c>
      <c r="D9" s="144" t="s">
        <v>596</v>
      </c>
      <c r="E9" s="145">
        <f>1622+28</f>
        <v>1650</v>
      </c>
    </row>
    <row r="10" spans="1:6" x14ac:dyDescent="0.3">
      <c r="A10" s="296"/>
      <c r="B10" s="297"/>
      <c r="D10" s="296"/>
      <c r="E10" s="297"/>
    </row>
    <row r="11" spans="1:6" x14ac:dyDescent="0.3">
      <c r="A11" s="912" t="s">
        <v>858</v>
      </c>
      <c r="B11" s="913"/>
      <c r="D11" s="912" t="s">
        <v>858</v>
      </c>
      <c r="E11" s="913"/>
    </row>
    <row r="12" spans="1:6" x14ac:dyDescent="0.3">
      <c r="A12" s="298" t="s">
        <v>423</v>
      </c>
      <c r="B12" s="382">
        <v>528</v>
      </c>
      <c r="D12" s="298" t="s">
        <v>423</v>
      </c>
      <c r="E12" s="382">
        <v>528</v>
      </c>
    </row>
    <row r="13" spans="1:6" x14ac:dyDescent="0.3">
      <c r="A13" s="298"/>
      <c r="B13" s="382"/>
      <c r="D13" s="298"/>
      <c r="E13" s="382"/>
    </row>
    <row r="14" spans="1:6" x14ac:dyDescent="0.3">
      <c r="A14" s="383" t="s">
        <v>19</v>
      </c>
      <c r="B14" s="384"/>
      <c r="D14" s="383" t="s">
        <v>19</v>
      </c>
      <c r="E14" s="384"/>
    </row>
    <row r="15" spans="1:6" x14ac:dyDescent="0.3">
      <c r="A15" s="296"/>
      <c r="B15" s="297"/>
      <c r="D15" s="296"/>
      <c r="E15" s="297"/>
    </row>
    <row r="16" spans="1:6" x14ac:dyDescent="0.3">
      <c r="A16" s="902" t="s">
        <v>385</v>
      </c>
      <c r="B16" s="903"/>
      <c r="D16" s="902" t="s">
        <v>385</v>
      </c>
      <c r="E16" s="903"/>
    </row>
    <row r="17" spans="1:5" x14ac:dyDescent="0.3">
      <c r="A17" s="298" t="s">
        <v>386</v>
      </c>
      <c r="B17" s="382">
        <f>917*1.07</f>
        <v>981.19</v>
      </c>
      <c r="D17" s="298" t="s">
        <v>386</v>
      </c>
      <c r="E17" s="382">
        <f>917*1.07</f>
        <v>981.19</v>
      </c>
    </row>
    <row r="18" spans="1:5" x14ac:dyDescent="0.3">
      <c r="A18" s="477" t="s">
        <v>544</v>
      </c>
      <c r="B18" s="478">
        <v>175.81</v>
      </c>
      <c r="D18" s="477" t="s">
        <v>544</v>
      </c>
      <c r="E18" s="478">
        <f>75*4</f>
        <v>300</v>
      </c>
    </row>
    <row r="19" spans="1:5" x14ac:dyDescent="0.3">
      <c r="A19" s="296"/>
      <c r="B19" s="297"/>
      <c r="D19" s="296"/>
      <c r="E19" s="297"/>
    </row>
    <row r="20" spans="1:5" x14ac:dyDescent="0.3">
      <c r="A20" s="296" t="s">
        <v>344</v>
      </c>
      <c r="B20" s="479">
        <f>B17+B12+B9+B18</f>
        <v>3705</v>
      </c>
      <c r="D20" s="296" t="s">
        <v>344</v>
      </c>
      <c r="E20" s="479">
        <f>E17+E13+E9+E18</f>
        <v>2931.19</v>
      </c>
    </row>
    <row r="21" spans="1:5" ht="18" thickBot="1" x14ac:dyDescent="0.35">
      <c r="A21" s="299" t="s">
        <v>134</v>
      </c>
      <c r="B21" s="480">
        <f>B20/0.65</f>
        <v>5700</v>
      </c>
      <c r="D21" s="299" t="s">
        <v>134</v>
      </c>
      <c r="E21" s="480">
        <f>E20/0.65</f>
        <v>4509.5230769230766</v>
      </c>
    </row>
  </sheetData>
  <mergeCells count="10">
    <mergeCell ref="A5:E5"/>
    <mergeCell ref="A16:B16"/>
    <mergeCell ref="A1:F1"/>
    <mergeCell ref="A2:F2"/>
    <mergeCell ref="A7:B7"/>
    <mergeCell ref="A11:B11"/>
    <mergeCell ref="A4:E4"/>
    <mergeCell ref="D7:E7"/>
    <mergeCell ref="D11:E11"/>
    <mergeCell ref="D16:E16"/>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1ED7-573D-4CCD-8DAE-B741E9111865}">
  <sheetPr>
    <pageSetUpPr fitToPage="1"/>
  </sheetPr>
  <dimension ref="A1:G39"/>
  <sheetViews>
    <sheetView topLeftCell="N4" workbookViewId="0">
      <selection activeCell="O27" sqref="O27"/>
    </sheetView>
  </sheetViews>
  <sheetFormatPr defaultColWidth="9.140625" defaultRowHeight="17.25" x14ac:dyDescent="0.3"/>
  <cols>
    <col min="1" max="1" width="24.85546875" style="42" customWidth="1"/>
    <col min="2" max="2" width="14.42578125" style="42" customWidth="1"/>
    <col min="3" max="3" width="9.140625" style="42"/>
    <col min="4" max="4" width="22.85546875" style="42" customWidth="1"/>
    <col min="5" max="5" width="18" style="42" customWidth="1"/>
    <col min="6" max="16384" width="9.140625" style="42"/>
  </cols>
  <sheetData>
    <row r="1" spans="1:7" ht="21" x14ac:dyDescent="0.35">
      <c r="A1" s="984" t="str">
        <f>'DNU  Customer Option Cover Page'!C6</f>
        <v>Olsen Veranda Bay Model #2</v>
      </c>
      <c r="B1" s="984"/>
      <c r="C1" s="984"/>
      <c r="D1" s="984"/>
      <c r="E1" s="984"/>
      <c r="F1" s="984"/>
      <c r="G1" s="984"/>
    </row>
    <row r="2" spans="1:7" x14ac:dyDescent="0.3">
      <c r="A2" s="985" t="str">
        <f>'DNU  Customer Option Cover Page'!C7</f>
        <v xml:space="preserve">183 Stillwater Drive, Flagler Beach </v>
      </c>
      <c r="B2" s="985"/>
      <c r="C2" s="985"/>
      <c r="D2" s="985"/>
      <c r="E2" s="985"/>
      <c r="F2" s="985"/>
      <c r="G2" s="985"/>
    </row>
    <row r="3" spans="1:7" x14ac:dyDescent="0.3">
      <c r="A3" s="108"/>
      <c r="B3" s="108"/>
      <c r="C3" s="108"/>
      <c r="D3" s="108"/>
      <c r="E3" s="108"/>
      <c r="F3" s="108"/>
      <c r="G3" s="108"/>
    </row>
    <row r="4" spans="1:7" x14ac:dyDescent="0.3">
      <c r="A4" s="888" t="s">
        <v>18</v>
      </c>
      <c r="B4" s="888"/>
    </row>
    <row r="5" spans="1:7" x14ac:dyDescent="0.3">
      <c r="A5" s="44"/>
      <c r="B5" s="45"/>
    </row>
    <row r="6" spans="1:7" x14ac:dyDescent="0.3">
      <c r="A6" s="44" t="s">
        <v>587</v>
      </c>
      <c r="B6" s="45"/>
    </row>
    <row r="7" spans="1:7" x14ac:dyDescent="0.3">
      <c r="A7" s="44" t="s">
        <v>588</v>
      </c>
      <c r="B7" s="45"/>
    </row>
    <row r="8" spans="1:7" x14ac:dyDescent="0.3">
      <c r="A8" s="44" t="s">
        <v>589</v>
      </c>
      <c r="B8" s="45">
        <f>20.57*34.5</f>
        <v>709.66499999999996</v>
      </c>
    </row>
    <row r="9" spans="1:7" x14ac:dyDescent="0.3">
      <c r="A9" s="44" t="s">
        <v>680</v>
      </c>
      <c r="B9" s="45"/>
    </row>
    <row r="10" spans="1:7" x14ac:dyDescent="0.3">
      <c r="A10" s="44"/>
      <c r="B10" s="45"/>
    </row>
    <row r="11" spans="1:7" x14ac:dyDescent="0.3">
      <c r="A11" s="46" t="s">
        <v>19</v>
      </c>
      <c r="B11" s="47">
        <f>SUM(B5:B10)</f>
        <v>709.66499999999996</v>
      </c>
    </row>
    <row r="12" spans="1:7" ht="18" thickBot="1" x14ac:dyDescent="0.35"/>
    <row r="13" spans="1:7" ht="51.75" customHeight="1" x14ac:dyDescent="0.3">
      <c r="A13" s="938" t="s">
        <v>175</v>
      </c>
      <c r="B13" s="939"/>
      <c r="C13" s="939"/>
      <c r="D13" s="939"/>
      <c r="E13" s="939"/>
      <c r="F13" s="939"/>
      <c r="G13" s="940"/>
    </row>
    <row r="14" spans="1:7" ht="18" thickBot="1" x14ac:dyDescent="0.35">
      <c r="A14" s="296"/>
      <c r="B14" s="111"/>
      <c r="G14" s="297"/>
    </row>
    <row r="15" spans="1:7" x14ac:dyDescent="0.3">
      <c r="A15" s="986" t="s">
        <v>170</v>
      </c>
      <c r="B15" s="987"/>
      <c r="C15" s="713"/>
      <c r="D15" s="986" t="s">
        <v>170</v>
      </c>
      <c r="E15" s="987"/>
      <c r="G15" s="297"/>
    </row>
    <row r="16" spans="1:7" x14ac:dyDescent="0.3">
      <c r="A16" s="918" t="s">
        <v>118</v>
      </c>
      <c r="B16" s="919"/>
      <c r="C16" s="713"/>
      <c r="D16" s="918" t="s">
        <v>118</v>
      </c>
      <c r="E16" s="919"/>
      <c r="G16" s="297"/>
    </row>
    <row r="17" spans="1:7" x14ac:dyDescent="0.3">
      <c r="A17" s="918" t="s">
        <v>683</v>
      </c>
      <c r="B17" s="919"/>
      <c r="C17" s="713"/>
      <c r="D17" s="988" t="s">
        <v>685</v>
      </c>
      <c r="E17" s="989"/>
      <c r="G17" s="297"/>
    </row>
    <row r="18" spans="1:7" x14ac:dyDescent="0.3">
      <c r="A18" s="714" t="s">
        <v>684</v>
      </c>
      <c r="B18" s="715">
        <v>1874</v>
      </c>
      <c r="C18" s="713"/>
      <c r="D18" s="714" t="s">
        <v>686</v>
      </c>
      <c r="E18" s="715">
        <v>1874</v>
      </c>
      <c r="G18" s="297"/>
    </row>
    <row r="19" spans="1:7" x14ac:dyDescent="0.3">
      <c r="A19" s="714" t="s">
        <v>679</v>
      </c>
      <c r="B19" s="715">
        <v>173</v>
      </c>
      <c r="C19" s="713"/>
      <c r="D19" s="714" t="s">
        <v>679</v>
      </c>
      <c r="E19" s="715">
        <v>173</v>
      </c>
      <c r="G19" s="297"/>
    </row>
    <row r="20" spans="1:7" x14ac:dyDescent="0.3">
      <c r="A20" s="716" t="s">
        <v>19</v>
      </c>
      <c r="B20" s="715">
        <f>SUM(B18:B19)</f>
        <v>2047</v>
      </c>
      <c r="C20" s="713"/>
      <c r="D20" s="716" t="s">
        <v>19</v>
      </c>
      <c r="E20" s="715">
        <f>SUM(E18:E19)</f>
        <v>2047</v>
      </c>
      <c r="G20" s="297"/>
    </row>
    <row r="21" spans="1:7" x14ac:dyDescent="0.3">
      <c r="A21" s="716" t="s">
        <v>681</v>
      </c>
      <c r="B21" s="717">
        <f>-(709.67/2)</f>
        <v>-354.83499999999998</v>
      </c>
      <c r="C21" s="713"/>
      <c r="D21" s="714" t="s">
        <v>681</v>
      </c>
      <c r="E21" s="717">
        <f>-(709.67/2)</f>
        <v>-354.83499999999998</v>
      </c>
      <c r="G21" s="297"/>
    </row>
    <row r="22" spans="1:7" x14ac:dyDescent="0.3">
      <c r="A22" s="716" t="s">
        <v>692</v>
      </c>
      <c r="B22" s="715">
        <f>SUM(B20:B21)</f>
        <v>1692.165</v>
      </c>
      <c r="C22" s="713"/>
      <c r="D22" s="716" t="s">
        <v>692</v>
      </c>
      <c r="E22" s="715">
        <f>SUM(E20:E21)</f>
        <v>1692.165</v>
      </c>
      <c r="G22" s="297"/>
    </row>
    <row r="23" spans="1:7" ht="18" thickBot="1" x14ac:dyDescent="0.35">
      <c r="A23" s="718" t="s">
        <v>134</v>
      </c>
      <c r="B23" s="719">
        <f>B22/0.65</f>
        <v>2603.330769230769</v>
      </c>
      <c r="C23" s="713"/>
      <c r="D23" s="718" t="s">
        <v>134</v>
      </c>
      <c r="E23" s="719">
        <f>E22/0.65</f>
        <v>2603.330769230769</v>
      </c>
      <c r="G23" s="297"/>
    </row>
    <row r="24" spans="1:7" ht="18" thickBot="1" x14ac:dyDescent="0.35">
      <c r="A24" s="296"/>
      <c r="B24" s="111"/>
      <c r="G24" s="297"/>
    </row>
    <row r="25" spans="1:7" x14ac:dyDescent="0.3">
      <c r="A25" s="908" t="s">
        <v>171</v>
      </c>
      <c r="B25" s="909"/>
      <c r="D25" s="908" t="s">
        <v>171</v>
      </c>
      <c r="E25" s="909"/>
      <c r="G25" s="297"/>
    </row>
    <row r="26" spans="1:7" x14ac:dyDescent="0.3">
      <c r="A26" s="902" t="s">
        <v>118</v>
      </c>
      <c r="B26" s="903"/>
      <c r="D26" s="902" t="s">
        <v>118</v>
      </c>
      <c r="E26" s="903"/>
      <c r="G26" s="297"/>
    </row>
    <row r="27" spans="1:7" x14ac:dyDescent="0.3">
      <c r="A27" s="902" t="s">
        <v>682</v>
      </c>
      <c r="B27" s="903"/>
      <c r="D27" s="990" t="s">
        <v>687</v>
      </c>
      <c r="E27" s="991"/>
      <c r="G27" s="297"/>
    </row>
    <row r="28" spans="1:7" x14ac:dyDescent="0.3">
      <c r="A28" s="296" t="s">
        <v>678</v>
      </c>
      <c r="B28" s="388">
        <v>2507</v>
      </c>
      <c r="D28" s="296" t="s">
        <v>688</v>
      </c>
      <c r="E28" s="388">
        <v>2507</v>
      </c>
      <c r="G28" s="297"/>
    </row>
    <row r="29" spans="1:7" x14ac:dyDescent="0.3">
      <c r="A29" s="296" t="s">
        <v>679</v>
      </c>
      <c r="B29" s="388">
        <v>450</v>
      </c>
      <c r="D29" s="296" t="s">
        <v>679</v>
      </c>
      <c r="E29" s="388">
        <v>450</v>
      </c>
      <c r="G29" s="297"/>
    </row>
    <row r="30" spans="1:7" x14ac:dyDescent="0.3">
      <c r="A30" s="394" t="s">
        <v>19</v>
      </c>
      <c r="B30" s="388">
        <f>SUM(B28:B29)</f>
        <v>2957</v>
      </c>
      <c r="D30" s="394" t="s">
        <v>19</v>
      </c>
      <c r="E30" s="388">
        <f>SUM(E28:E29)</f>
        <v>2957</v>
      </c>
      <c r="G30" s="297"/>
    </row>
    <row r="31" spans="1:7" x14ac:dyDescent="0.3">
      <c r="A31" s="392" t="s">
        <v>681</v>
      </c>
      <c r="B31" s="720">
        <f>-(709.67/2)</f>
        <v>-354.83499999999998</v>
      </c>
      <c r="D31" s="392" t="s">
        <v>681</v>
      </c>
      <c r="E31" s="720">
        <f>-(709.67/2)</f>
        <v>-354.83499999999998</v>
      </c>
      <c r="G31" s="297"/>
    </row>
    <row r="32" spans="1:7" x14ac:dyDescent="0.3">
      <c r="A32" s="394" t="s">
        <v>692</v>
      </c>
      <c r="B32" s="388">
        <f>SUM(B30:B31)</f>
        <v>2602.165</v>
      </c>
      <c r="D32" s="394" t="s">
        <v>692</v>
      </c>
      <c r="E32" s="388">
        <f>SUM(E30:E31)</f>
        <v>2602.165</v>
      </c>
      <c r="G32" s="297"/>
    </row>
    <row r="33" spans="1:7" ht="18" thickBot="1" x14ac:dyDescent="0.35">
      <c r="A33" s="299" t="s">
        <v>134</v>
      </c>
      <c r="B33" s="726">
        <f>B32/0.65</f>
        <v>4003.330769230769</v>
      </c>
      <c r="D33" s="299" t="s">
        <v>134</v>
      </c>
      <c r="E33" s="726">
        <f>E32/0.65</f>
        <v>4003.330769230769</v>
      </c>
      <c r="G33" s="297"/>
    </row>
    <row r="34" spans="1:7" ht="18" thickBot="1" x14ac:dyDescent="0.35">
      <c r="A34" s="389"/>
      <c r="B34" s="393"/>
      <c r="C34" s="292"/>
      <c r="D34" s="292"/>
      <c r="E34" s="292"/>
      <c r="F34" s="292"/>
      <c r="G34" s="293"/>
    </row>
    <row r="35" spans="1:7" x14ac:dyDescent="0.3">
      <c r="B35" s="111"/>
    </row>
    <row r="36" spans="1:7" x14ac:dyDescent="0.3">
      <c r="B36" s="111"/>
    </row>
    <row r="37" spans="1:7" x14ac:dyDescent="0.3">
      <c r="B37" s="111"/>
    </row>
    <row r="38" spans="1:7" x14ac:dyDescent="0.3">
      <c r="B38" s="111"/>
    </row>
    <row r="39" spans="1:7" x14ac:dyDescent="0.3">
      <c r="B39" s="111"/>
    </row>
  </sheetData>
  <mergeCells count="16">
    <mergeCell ref="D27:E27"/>
    <mergeCell ref="A27:B27"/>
    <mergeCell ref="A16:B16"/>
    <mergeCell ref="A17:B17"/>
    <mergeCell ref="A15:B15"/>
    <mergeCell ref="A25:B25"/>
    <mergeCell ref="A1:G1"/>
    <mergeCell ref="A2:G2"/>
    <mergeCell ref="A4:B4"/>
    <mergeCell ref="A13:G13"/>
    <mergeCell ref="A26:B26"/>
    <mergeCell ref="D15:E15"/>
    <mergeCell ref="D16:E16"/>
    <mergeCell ref="D17:E17"/>
    <mergeCell ref="D25:E25"/>
    <mergeCell ref="D26:E26"/>
  </mergeCells>
  <pageMargins left="0.7" right="0.7" top="0.75" bottom="0.75" header="0.3" footer="0.3"/>
  <pageSetup scale="82"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E42C-C972-4B2D-B65D-353B1BCB8132}">
  <sheetPr>
    <pageSetUpPr fitToPage="1"/>
  </sheetPr>
  <dimension ref="A1:V82"/>
  <sheetViews>
    <sheetView topLeftCell="A14" workbookViewId="0">
      <selection activeCell="A22" sqref="A22"/>
    </sheetView>
  </sheetViews>
  <sheetFormatPr defaultColWidth="9.140625" defaultRowHeight="17.25" x14ac:dyDescent="0.3"/>
  <cols>
    <col min="1" max="1" width="34.5703125" style="42" customWidth="1"/>
    <col min="2" max="2" width="17.5703125" style="42" customWidth="1"/>
    <col min="3" max="3" width="9.140625" style="42"/>
    <col min="4" max="4" width="5.28515625" style="42" customWidth="1"/>
    <col min="5" max="5" width="9.5703125" style="42" bestFit="1" customWidth="1"/>
    <col min="6" max="6" width="4.28515625" style="42" customWidth="1"/>
    <col min="7" max="7" width="17.140625" style="42" customWidth="1"/>
    <col min="8" max="8" width="5.5703125" style="42" customWidth="1"/>
    <col min="9" max="9" width="9.5703125" style="42" bestFit="1" customWidth="1"/>
    <col min="10" max="10" width="5.85546875" style="42" customWidth="1"/>
    <col min="11" max="11" width="14.85546875" style="42" customWidth="1"/>
    <col min="12" max="12" width="5.85546875" style="42" customWidth="1"/>
    <col min="13" max="13" width="15.5703125" style="42" customWidth="1"/>
    <col min="14" max="14" width="4.85546875" style="42" customWidth="1"/>
    <col min="15" max="15" width="19.28515625" style="42" customWidth="1"/>
    <col min="16" max="16" width="9.140625" style="42"/>
    <col min="17" max="17" width="40.42578125" style="42" customWidth="1"/>
    <col min="18" max="18" width="9.140625" style="42"/>
    <col min="19" max="19" width="35.7109375" style="42" customWidth="1"/>
    <col min="20" max="16384" width="9.140625" style="42"/>
  </cols>
  <sheetData>
    <row r="1" spans="1:9" ht="21.75" thickBot="1" x14ac:dyDescent="0.4">
      <c r="A1" s="878" t="str">
        <f>'DNU  Customer Option Cover Page'!C6</f>
        <v>Olsen Veranda Bay Model #2</v>
      </c>
      <c r="B1" s="879"/>
      <c r="C1" s="879"/>
      <c r="D1" s="879"/>
      <c r="E1" s="879"/>
      <c r="F1" s="879"/>
      <c r="G1" s="879"/>
      <c r="H1" s="879"/>
      <c r="I1" s="881"/>
    </row>
    <row r="2" spans="1:9" ht="18" thickBot="1" x14ac:dyDescent="0.35">
      <c r="A2" s="886" t="str">
        <f>'DNU  Customer Option Cover Page'!C7</f>
        <v xml:space="preserve">183 Stillwater Drive, Flagler Beach </v>
      </c>
      <c r="B2" s="887"/>
      <c r="C2" s="887"/>
      <c r="D2" s="887"/>
      <c r="E2" s="887"/>
      <c r="F2" s="887"/>
      <c r="G2" s="887"/>
      <c r="H2" s="887"/>
      <c r="I2" s="927"/>
    </row>
    <row r="3" spans="1:9" x14ac:dyDescent="0.3">
      <c r="A3" s="108"/>
      <c r="B3" s="108"/>
      <c r="C3" s="108"/>
      <c r="D3" s="108"/>
      <c r="E3" s="108"/>
      <c r="F3" s="108"/>
      <c r="G3" s="108"/>
      <c r="H3" s="108"/>
      <c r="I3" s="108"/>
    </row>
    <row r="4" spans="1:9" x14ac:dyDescent="0.3">
      <c r="A4" s="888" t="s">
        <v>18</v>
      </c>
      <c r="B4" s="888"/>
    </row>
    <row r="5" spans="1:9" x14ac:dyDescent="0.3">
      <c r="A5" s="44"/>
      <c r="B5" s="45"/>
    </row>
    <row r="6" spans="1:9" x14ac:dyDescent="0.3">
      <c r="A6" s="44" t="s">
        <v>617</v>
      </c>
      <c r="B6" s="45">
        <v>23688</v>
      </c>
    </row>
    <row r="7" spans="1:9" x14ac:dyDescent="0.3">
      <c r="A7" s="44" t="s">
        <v>618</v>
      </c>
      <c r="B7" s="45" t="s">
        <v>630</v>
      </c>
    </row>
    <row r="8" spans="1:9" x14ac:dyDescent="0.3">
      <c r="A8" s="44" t="s">
        <v>619</v>
      </c>
      <c r="B8" s="45">
        <v>0</v>
      </c>
    </row>
    <row r="9" spans="1:9" x14ac:dyDescent="0.3">
      <c r="A9" s="44" t="s">
        <v>620</v>
      </c>
      <c r="B9" s="45">
        <v>0</v>
      </c>
    </row>
    <row r="10" spans="1:9" x14ac:dyDescent="0.3">
      <c r="A10" s="44" t="s">
        <v>621</v>
      </c>
      <c r="B10" s="45">
        <v>0</v>
      </c>
    </row>
    <row r="11" spans="1:9" x14ac:dyDescent="0.3">
      <c r="A11" s="44" t="s">
        <v>622</v>
      </c>
      <c r="B11" s="45">
        <v>1750</v>
      </c>
    </row>
    <row r="12" spans="1:9" x14ac:dyDescent="0.3">
      <c r="A12" s="44" t="s">
        <v>623</v>
      </c>
      <c r="B12" s="45">
        <v>0</v>
      </c>
    </row>
    <row r="13" spans="1:9" x14ac:dyDescent="0.3">
      <c r="A13" s="44" t="s">
        <v>624</v>
      </c>
      <c r="B13" s="45">
        <v>800</v>
      </c>
    </row>
    <row r="14" spans="1:9" x14ac:dyDescent="0.3">
      <c r="A14" s="44" t="s">
        <v>625</v>
      </c>
      <c r="B14" s="45">
        <v>0</v>
      </c>
    </row>
    <row r="15" spans="1:9" x14ac:dyDescent="0.3">
      <c r="A15" s="44" t="s">
        <v>626</v>
      </c>
      <c r="B15" s="45">
        <v>4500</v>
      </c>
    </row>
    <row r="16" spans="1:9" x14ac:dyDescent="0.3">
      <c r="A16" s="44" t="s">
        <v>627</v>
      </c>
      <c r="B16" s="45">
        <v>750</v>
      </c>
    </row>
    <row r="17" spans="1:22" x14ac:dyDescent="0.3">
      <c r="A17" s="44" t="s">
        <v>628</v>
      </c>
      <c r="B17" s="45">
        <v>1500</v>
      </c>
    </row>
    <row r="18" spans="1:22" x14ac:dyDescent="0.3">
      <c r="A18" s="44" t="s">
        <v>629</v>
      </c>
      <c r="B18" s="45">
        <v>650</v>
      </c>
    </row>
    <row r="19" spans="1:22" x14ac:dyDescent="0.3">
      <c r="A19" s="44"/>
      <c r="B19" s="45"/>
    </row>
    <row r="20" spans="1:22" x14ac:dyDescent="0.3">
      <c r="A20" s="46" t="s">
        <v>19</v>
      </c>
      <c r="B20" s="47">
        <f>SUM(B5:B19)</f>
        <v>33638</v>
      </c>
    </row>
    <row r="22" spans="1:22" x14ac:dyDescent="0.3">
      <c r="A22" s="516" t="s">
        <v>631</v>
      </c>
      <c r="B22" s="284"/>
      <c r="C22" s="284"/>
      <c r="D22" s="284"/>
      <c r="E22" s="284" t="s">
        <v>635</v>
      </c>
      <c r="F22" s="284"/>
      <c r="G22" s="284" t="s">
        <v>19</v>
      </c>
      <c r="H22" s="284"/>
      <c r="I22" s="284" t="s">
        <v>636</v>
      </c>
      <c r="J22" s="284"/>
      <c r="K22" s="284" t="s">
        <v>19</v>
      </c>
      <c r="L22" s="284"/>
      <c r="M22" s="284" t="s">
        <v>637</v>
      </c>
      <c r="N22" s="284"/>
      <c r="O22" s="284" t="s">
        <v>638</v>
      </c>
      <c r="P22" s="284"/>
      <c r="Q22" s="284"/>
      <c r="R22" s="284"/>
      <c r="S22" s="284"/>
      <c r="T22" s="284"/>
      <c r="U22" s="284"/>
      <c r="V22" s="284"/>
    </row>
    <row r="23" spans="1:22" ht="18" thickBot="1" x14ac:dyDescent="0.35">
      <c r="A23" s="517" t="s">
        <v>632</v>
      </c>
      <c r="E23" s="111"/>
      <c r="F23" s="111"/>
      <c r="G23" s="111"/>
      <c r="H23" s="111"/>
      <c r="I23" s="111"/>
      <c r="J23" s="111"/>
      <c r="K23" s="111"/>
      <c r="L23" s="111"/>
      <c r="M23" s="111"/>
      <c r="N23" s="111"/>
      <c r="O23" s="111"/>
    </row>
    <row r="24" spans="1:22" x14ac:dyDescent="0.3">
      <c r="A24" s="42" t="s">
        <v>633</v>
      </c>
      <c r="B24" s="42">
        <v>244</v>
      </c>
      <c r="C24" s="516" t="s">
        <v>604</v>
      </c>
      <c r="E24" s="111">
        <v>10.5</v>
      </c>
      <c r="F24" s="111"/>
      <c r="G24" s="111">
        <f>E24*B24</f>
        <v>2562</v>
      </c>
      <c r="H24" s="111"/>
      <c r="I24" s="111">
        <v>10</v>
      </c>
      <c r="J24" s="111"/>
      <c r="K24" s="111">
        <f>I24*B24</f>
        <v>2440</v>
      </c>
      <c r="L24" s="111"/>
      <c r="M24" s="111">
        <f>G24-K24</f>
        <v>122</v>
      </c>
      <c r="N24" s="111"/>
      <c r="O24" s="523">
        <f>M24/0.75</f>
        <v>162.66666666666666</v>
      </c>
      <c r="Q24" s="111"/>
    </row>
    <row r="25" spans="1:22" x14ac:dyDescent="0.3">
      <c r="A25" s="42" t="s">
        <v>634</v>
      </c>
      <c r="B25" s="42">
        <f>31*2</f>
        <v>62</v>
      </c>
      <c r="C25" s="516" t="s">
        <v>604</v>
      </c>
      <c r="E25" s="111">
        <v>10.5</v>
      </c>
      <c r="F25" s="111"/>
      <c r="G25" s="111">
        <f>E25*B25</f>
        <v>651</v>
      </c>
      <c r="H25" s="111"/>
      <c r="I25" s="111">
        <v>0</v>
      </c>
      <c r="J25" s="111"/>
      <c r="K25" s="111">
        <f>I25*B25</f>
        <v>0</v>
      </c>
      <c r="L25" s="111"/>
      <c r="M25" s="111">
        <f>G25-K25</f>
        <v>651</v>
      </c>
      <c r="N25" s="111"/>
      <c r="O25" s="723">
        <f>M25/0.68</f>
        <v>957.35294117647049</v>
      </c>
      <c r="Q25" s="111"/>
    </row>
    <row r="26" spans="1:22" x14ac:dyDescent="0.3">
      <c r="A26" s="42" t="s">
        <v>639</v>
      </c>
      <c r="B26" s="42">
        <v>1</v>
      </c>
      <c r="C26" s="516" t="s">
        <v>642</v>
      </c>
      <c r="E26" s="111">
        <v>175</v>
      </c>
      <c r="F26" s="111"/>
      <c r="G26" s="111">
        <f t="shared" ref="G26:G27" si="0">E26*B26</f>
        <v>175</v>
      </c>
      <c r="H26" s="111"/>
      <c r="I26" s="111">
        <v>175</v>
      </c>
      <c r="J26" s="111"/>
      <c r="K26" s="111">
        <f t="shared" ref="K26:K27" si="1">I26*B26</f>
        <v>175</v>
      </c>
      <c r="L26" s="111"/>
      <c r="M26" s="111">
        <f t="shared" ref="M26:M27" si="2">G26-K26</f>
        <v>0</v>
      </c>
      <c r="N26" s="111"/>
      <c r="O26" s="234"/>
    </row>
    <row r="27" spans="1:22" x14ac:dyDescent="0.3">
      <c r="A27" s="42" t="s">
        <v>640</v>
      </c>
      <c r="B27" s="42">
        <v>1</v>
      </c>
      <c r="C27" s="516" t="s">
        <v>642</v>
      </c>
      <c r="E27" s="111">
        <v>125</v>
      </c>
      <c r="F27" s="111"/>
      <c r="G27" s="111">
        <f t="shared" si="0"/>
        <v>125</v>
      </c>
      <c r="H27" s="111"/>
      <c r="I27" s="111">
        <v>0</v>
      </c>
      <c r="J27" s="111"/>
      <c r="K27" s="111">
        <f t="shared" si="1"/>
        <v>0</v>
      </c>
      <c r="L27" s="111"/>
      <c r="M27" s="111">
        <f t="shared" si="2"/>
        <v>125</v>
      </c>
      <c r="N27" s="111"/>
      <c r="O27" s="723">
        <f>M27/0.68</f>
        <v>183.8235294117647</v>
      </c>
    </row>
    <row r="28" spans="1:22" x14ac:dyDescent="0.3">
      <c r="A28" s="42" t="s">
        <v>641</v>
      </c>
      <c r="C28" s="516" t="s">
        <v>604</v>
      </c>
      <c r="E28" s="111" t="s">
        <v>643</v>
      </c>
      <c r="F28" s="111"/>
      <c r="G28" s="111"/>
      <c r="H28" s="111"/>
      <c r="I28" s="111"/>
      <c r="J28" s="111"/>
      <c r="K28" s="111"/>
      <c r="L28" s="111"/>
      <c r="M28" s="111"/>
      <c r="N28" s="111"/>
      <c r="O28" s="234"/>
    </row>
    <row r="29" spans="1:22" x14ac:dyDescent="0.3">
      <c r="A29" s="463" t="s">
        <v>644</v>
      </c>
      <c r="C29" s="516"/>
      <c r="E29" s="111"/>
      <c r="F29" s="111"/>
      <c r="G29" s="111"/>
      <c r="H29" s="111"/>
      <c r="I29" s="111"/>
      <c r="J29" s="111"/>
      <c r="K29" s="111"/>
      <c r="L29" s="111"/>
      <c r="M29" s="111"/>
      <c r="N29" s="111"/>
      <c r="O29" s="234"/>
      <c r="Q29" s="111">
        <f>SUM(O36*3)</f>
        <v>551.47058823529414</v>
      </c>
    </row>
    <row r="30" spans="1:22" x14ac:dyDescent="0.3">
      <c r="A30" s="42" t="s">
        <v>645</v>
      </c>
      <c r="B30" s="42">
        <v>55</v>
      </c>
      <c r="C30" s="516" t="s">
        <v>604</v>
      </c>
      <c r="E30" s="111">
        <v>17.5</v>
      </c>
      <c r="F30" s="111"/>
      <c r="G30" s="111">
        <f t="shared" ref="G30" si="3">E30*B30</f>
        <v>962.5</v>
      </c>
      <c r="H30" s="111"/>
      <c r="I30" s="111">
        <v>19</v>
      </c>
      <c r="J30" s="111"/>
      <c r="K30" s="111">
        <f t="shared" ref="K30" si="4">I30*B30</f>
        <v>1045</v>
      </c>
      <c r="L30" s="111"/>
      <c r="M30" s="518">
        <f t="shared" ref="M30" si="5">G30-K30</f>
        <v>-82.5</v>
      </c>
      <c r="N30" s="111"/>
      <c r="O30" s="234"/>
      <c r="Q30" s="111"/>
    </row>
    <row r="31" spans="1:22" x14ac:dyDescent="0.3">
      <c r="C31" s="516"/>
      <c r="E31" s="111"/>
      <c r="F31" s="111"/>
      <c r="G31" s="111"/>
      <c r="H31" s="111"/>
      <c r="I31" s="111"/>
      <c r="J31" s="111"/>
      <c r="K31" s="111"/>
      <c r="L31" s="111"/>
      <c r="M31" s="111"/>
      <c r="N31" s="111"/>
      <c r="O31" s="234"/>
      <c r="S31" s="111">
        <f>SUM(Q25+Q34+Q43)</f>
        <v>0</v>
      </c>
    </row>
    <row r="32" spans="1:22" x14ac:dyDescent="0.3">
      <c r="A32" s="516" t="s">
        <v>646</v>
      </c>
      <c r="C32" s="516"/>
      <c r="E32" s="111"/>
      <c r="F32" s="111"/>
      <c r="G32" s="111"/>
      <c r="H32" s="111"/>
      <c r="I32" s="111"/>
      <c r="J32" s="111"/>
      <c r="K32" s="111"/>
      <c r="L32" s="111"/>
      <c r="M32" s="111"/>
      <c r="N32" s="111"/>
      <c r="O32" s="234"/>
      <c r="S32" s="111">
        <f>SUM(Q30+Q38+Q46)</f>
        <v>0</v>
      </c>
    </row>
    <row r="33" spans="1:17" x14ac:dyDescent="0.3">
      <c r="A33" s="463" t="s">
        <v>647</v>
      </c>
      <c r="C33" s="516"/>
      <c r="E33" s="111"/>
      <c r="F33" s="111"/>
      <c r="G33" s="111"/>
      <c r="H33" s="111"/>
      <c r="I33" s="111"/>
      <c r="J33" s="111"/>
      <c r="K33" s="111"/>
      <c r="L33" s="111"/>
      <c r="M33" s="111"/>
      <c r="N33" s="111"/>
      <c r="O33" s="234"/>
    </row>
    <row r="34" spans="1:17" x14ac:dyDescent="0.3">
      <c r="A34" s="42" t="s">
        <v>633</v>
      </c>
      <c r="B34" s="42">
        <f>130-B35</f>
        <v>104</v>
      </c>
      <c r="C34" s="516" t="s">
        <v>604</v>
      </c>
      <c r="E34" s="111">
        <v>8</v>
      </c>
      <c r="F34" s="111"/>
      <c r="G34" s="111">
        <f>E34*B34</f>
        <v>832</v>
      </c>
      <c r="H34" s="111"/>
      <c r="I34" s="111">
        <v>10</v>
      </c>
      <c r="J34" s="111"/>
      <c r="K34" s="111">
        <f>I34*B34</f>
        <v>1040</v>
      </c>
      <c r="L34" s="111"/>
      <c r="M34" s="111">
        <f>G34-K34</f>
        <v>-208</v>
      </c>
      <c r="N34" s="111"/>
      <c r="O34" s="234"/>
      <c r="Q34" s="111"/>
    </row>
    <row r="35" spans="1:17" x14ac:dyDescent="0.3">
      <c r="A35" s="42" t="s">
        <v>634</v>
      </c>
      <c r="B35" s="42">
        <v>26</v>
      </c>
      <c r="C35" s="516" t="s">
        <v>604</v>
      </c>
      <c r="E35" s="111">
        <v>8</v>
      </c>
      <c r="F35" s="111"/>
      <c r="G35" s="111">
        <f>E35*B35</f>
        <v>208</v>
      </c>
      <c r="H35" s="111"/>
      <c r="I35" s="111">
        <v>0</v>
      </c>
      <c r="J35" s="111"/>
      <c r="K35" s="111">
        <f>I35*B35</f>
        <v>0</v>
      </c>
      <c r="L35" s="111"/>
      <c r="M35" s="111">
        <f>G35-K35</f>
        <v>208</v>
      </c>
      <c r="N35" s="111"/>
      <c r="O35" s="723">
        <f>M35/0.68</f>
        <v>305.88235294117646</v>
      </c>
    </row>
    <row r="36" spans="1:17" x14ac:dyDescent="0.3">
      <c r="A36" s="42" t="s">
        <v>640</v>
      </c>
      <c r="B36" s="42">
        <v>1</v>
      </c>
      <c r="C36" s="516" t="s">
        <v>642</v>
      </c>
      <c r="E36" s="111">
        <v>125</v>
      </c>
      <c r="F36" s="111"/>
      <c r="G36" s="111">
        <f t="shared" ref="G36" si="6">E36*B36</f>
        <v>125</v>
      </c>
      <c r="H36" s="111"/>
      <c r="I36" s="111">
        <v>0</v>
      </c>
      <c r="J36" s="111"/>
      <c r="K36" s="111">
        <f t="shared" ref="K36" si="7">I36*B36</f>
        <v>0</v>
      </c>
      <c r="L36" s="111"/>
      <c r="M36" s="111">
        <f t="shared" ref="M36" si="8">G36-K36</f>
        <v>125</v>
      </c>
      <c r="N36" s="111"/>
      <c r="O36" s="723">
        <f>M36/0.68</f>
        <v>183.8235294117647</v>
      </c>
    </row>
    <row r="37" spans="1:17" x14ac:dyDescent="0.3">
      <c r="A37" s="463" t="s">
        <v>648</v>
      </c>
      <c r="C37" s="516"/>
      <c r="E37" s="111"/>
      <c r="F37" s="111"/>
      <c r="G37" s="111"/>
      <c r="H37" s="111"/>
      <c r="I37" s="111"/>
      <c r="J37" s="111"/>
      <c r="K37" s="111"/>
      <c r="L37" s="111"/>
      <c r="M37" s="111"/>
      <c r="N37" s="111"/>
      <c r="O37" s="234"/>
    </row>
    <row r="38" spans="1:17" x14ac:dyDescent="0.3">
      <c r="A38" s="42" t="s">
        <v>645</v>
      </c>
      <c r="B38" s="42">
        <v>18</v>
      </c>
      <c r="C38" s="516" t="s">
        <v>604</v>
      </c>
      <c r="E38" s="111">
        <v>19</v>
      </c>
      <c r="F38" s="111"/>
      <c r="G38" s="111">
        <f t="shared" ref="G38" si="9">E38*B38</f>
        <v>342</v>
      </c>
      <c r="H38" s="111"/>
      <c r="I38" s="111">
        <v>19</v>
      </c>
      <c r="J38" s="111"/>
      <c r="K38" s="111">
        <f t="shared" ref="K38" si="10">I38*B38</f>
        <v>342</v>
      </c>
      <c r="L38" s="111"/>
      <c r="M38" s="111">
        <f>G38-K38</f>
        <v>0</v>
      </c>
      <c r="N38" s="111"/>
      <c r="O38" s="234"/>
      <c r="Q38" s="111"/>
    </row>
    <row r="39" spans="1:17" x14ac:dyDescent="0.3">
      <c r="C39" s="516"/>
      <c r="E39" s="111"/>
      <c r="F39" s="111"/>
      <c r="G39" s="111"/>
      <c r="H39" s="111"/>
      <c r="I39" s="111"/>
      <c r="J39" s="111"/>
      <c r="K39" s="111"/>
      <c r="L39" s="111"/>
      <c r="M39" s="111"/>
      <c r="N39" s="111"/>
      <c r="O39" s="234"/>
    </row>
    <row r="40" spans="1:17" x14ac:dyDescent="0.3">
      <c r="A40" s="516" t="s">
        <v>535</v>
      </c>
      <c r="C40" s="516"/>
      <c r="E40" s="111"/>
      <c r="F40" s="111"/>
      <c r="G40" s="111"/>
      <c r="H40" s="111"/>
      <c r="I40" s="111"/>
      <c r="J40" s="111"/>
      <c r="K40" s="111"/>
      <c r="L40" s="111"/>
      <c r="M40" s="111"/>
      <c r="N40" s="111"/>
      <c r="O40" s="234"/>
      <c r="Q40" s="111"/>
    </row>
    <row r="41" spans="1:17" x14ac:dyDescent="0.3">
      <c r="A41" s="463" t="s">
        <v>647</v>
      </c>
      <c r="C41" s="516"/>
      <c r="E41" s="111"/>
      <c r="F41" s="111"/>
      <c r="G41" s="111"/>
      <c r="H41" s="111"/>
      <c r="I41" s="111"/>
      <c r="J41" s="111"/>
      <c r="K41" s="111"/>
      <c r="L41" s="111"/>
      <c r="M41" s="111"/>
      <c r="N41" s="111"/>
      <c r="O41" s="234"/>
    </row>
    <row r="42" spans="1:17" x14ac:dyDescent="0.3">
      <c r="A42" s="42" t="s">
        <v>633</v>
      </c>
      <c r="B42" s="42">
        <v>112</v>
      </c>
      <c r="C42" s="516" t="s">
        <v>604</v>
      </c>
      <c r="E42" s="111">
        <v>8</v>
      </c>
      <c r="F42" s="111"/>
      <c r="G42" s="111">
        <f>E42*B42</f>
        <v>896</v>
      </c>
      <c r="H42" s="111"/>
      <c r="I42" s="111">
        <v>10</v>
      </c>
      <c r="J42" s="111"/>
      <c r="K42" s="111">
        <f>I42*B42</f>
        <v>1120</v>
      </c>
      <c r="L42" s="111"/>
      <c r="M42" s="111">
        <f>G42-K42</f>
        <v>-224</v>
      </c>
      <c r="N42" s="111"/>
      <c r="O42" s="234"/>
    </row>
    <row r="43" spans="1:17" x14ac:dyDescent="0.3">
      <c r="A43" s="42" t="s">
        <v>634</v>
      </c>
      <c r="B43" s="42">
        <v>24</v>
      </c>
      <c r="C43" s="516" t="s">
        <v>604</v>
      </c>
      <c r="E43" s="111">
        <v>8</v>
      </c>
      <c r="F43" s="111"/>
      <c r="G43" s="111">
        <f>E43*B43</f>
        <v>192</v>
      </c>
      <c r="H43" s="111"/>
      <c r="I43" s="111">
        <v>0</v>
      </c>
      <c r="J43" s="111"/>
      <c r="K43" s="111">
        <f>I43*B43</f>
        <v>0</v>
      </c>
      <c r="L43" s="111"/>
      <c r="M43" s="111">
        <f>G43-K43</f>
        <v>192</v>
      </c>
      <c r="N43" s="111"/>
      <c r="O43" s="723">
        <f>M43/0.68</f>
        <v>282.35294117647055</v>
      </c>
      <c r="Q43" s="111"/>
    </row>
    <row r="44" spans="1:17" x14ac:dyDescent="0.3">
      <c r="A44" s="42" t="s">
        <v>640</v>
      </c>
      <c r="B44" s="42">
        <v>1</v>
      </c>
      <c r="C44" s="516" t="s">
        <v>642</v>
      </c>
      <c r="E44" s="111">
        <v>125</v>
      </c>
      <c r="F44" s="111"/>
      <c r="G44" s="111">
        <f>E44*B44</f>
        <v>125</v>
      </c>
      <c r="H44" s="111"/>
      <c r="I44" s="111">
        <v>0</v>
      </c>
      <c r="J44" s="111"/>
      <c r="K44" s="111">
        <f t="shared" ref="K44" si="11">I44*B44</f>
        <v>0</v>
      </c>
      <c r="L44" s="111"/>
      <c r="M44" s="111">
        <f t="shared" ref="M44" si="12">G44-K44</f>
        <v>125</v>
      </c>
      <c r="N44" s="111"/>
      <c r="O44" s="723">
        <f>M44/0.68</f>
        <v>183.8235294117647</v>
      </c>
    </row>
    <row r="45" spans="1:17" x14ac:dyDescent="0.3">
      <c r="A45" s="463" t="s">
        <v>648</v>
      </c>
      <c r="C45" s="516"/>
      <c r="E45" s="111"/>
      <c r="F45" s="111"/>
      <c r="G45" s="111"/>
      <c r="H45" s="111"/>
      <c r="I45" s="111"/>
      <c r="J45" s="111"/>
      <c r="K45" s="111"/>
      <c r="L45" s="111"/>
      <c r="M45" s="111"/>
      <c r="N45" s="111"/>
      <c r="O45" s="234"/>
    </row>
    <row r="46" spans="1:17" x14ac:dyDescent="0.3">
      <c r="A46" s="42" t="s">
        <v>649</v>
      </c>
      <c r="B46" s="42">
        <v>15</v>
      </c>
      <c r="C46" s="516" t="s">
        <v>604</v>
      </c>
      <c r="E46" s="111">
        <v>27.5</v>
      </c>
      <c r="F46" s="111"/>
      <c r="G46" s="111">
        <f t="shared" ref="G46" si="13">E46*B46</f>
        <v>412.5</v>
      </c>
      <c r="H46" s="111"/>
      <c r="I46" s="111">
        <v>19</v>
      </c>
      <c r="J46" s="111"/>
      <c r="K46" s="111">
        <f t="shared" ref="K46" si="14">I46*B46</f>
        <v>285</v>
      </c>
      <c r="L46" s="111"/>
      <c r="M46" s="111">
        <f>G46-K46</f>
        <v>127.5</v>
      </c>
      <c r="N46" s="111"/>
      <c r="O46" s="723">
        <f>M46/0.68</f>
        <v>187.5</v>
      </c>
      <c r="Q46" s="111"/>
    </row>
    <row r="47" spans="1:17" x14ac:dyDescent="0.3">
      <c r="C47" s="516"/>
      <c r="E47" s="111"/>
      <c r="F47" s="111"/>
      <c r="G47" s="111"/>
      <c r="H47" s="111"/>
      <c r="I47" s="111"/>
      <c r="J47" s="111"/>
      <c r="K47" s="111"/>
      <c r="L47" s="111"/>
      <c r="M47" s="111"/>
      <c r="N47" s="111"/>
      <c r="O47" s="234"/>
    </row>
    <row r="48" spans="1:17" x14ac:dyDescent="0.3">
      <c r="A48" s="516" t="s">
        <v>650</v>
      </c>
      <c r="E48" s="111"/>
      <c r="F48" s="111"/>
      <c r="G48" s="111"/>
      <c r="H48" s="111"/>
      <c r="I48" s="111"/>
      <c r="J48" s="111"/>
      <c r="K48" s="111"/>
      <c r="L48" s="111"/>
      <c r="M48" s="111"/>
      <c r="N48" s="111"/>
      <c r="O48" s="234"/>
    </row>
    <row r="49" spans="1:15" x14ac:dyDescent="0.3">
      <c r="A49" s="463" t="s">
        <v>651</v>
      </c>
      <c r="B49" s="42">
        <v>2700</v>
      </c>
      <c r="C49" s="42" t="s">
        <v>604</v>
      </c>
      <c r="E49" s="111">
        <v>10.199999999999999</v>
      </c>
      <c r="F49" s="111"/>
      <c r="G49" s="111">
        <f t="shared" ref="G49" si="15">E49*B49</f>
        <v>27539.999999999996</v>
      </c>
      <c r="H49" s="111"/>
      <c r="I49" s="111">
        <v>8</v>
      </c>
      <c r="J49" s="111"/>
      <c r="K49" s="111">
        <f t="shared" ref="K49" si="16">I49*B49</f>
        <v>21600</v>
      </c>
      <c r="L49" s="111"/>
      <c r="M49" s="111">
        <f>G49-K49</f>
        <v>5939.9999999999964</v>
      </c>
      <c r="N49" s="111"/>
      <c r="O49" s="723">
        <f>M49/0.68</f>
        <v>8735.2941176470522</v>
      </c>
    </row>
    <row r="50" spans="1:15" x14ac:dyDescent="0.3">
      <c r="A50" s="42" t="s">
        <v>652</v>
      </c>
      <c r="E50" s="111"/>
      <c r="F50" s="111"/>
      <c r="G50" s="111"/>
      <c r="H50" s="111"/>
      <c r="I50" s="111"/>
      <c r="J50" s="111"/>
      <c r="K50" s="111"/>
      <c r="L50" s="111"/>
      <c r="M50" s="111"/>
      <c r="N50" s="111"/>
      <c r="O50" s="234"/>
    </row>
    <row r="51" spans="1:15" x14ac:dyDescent="0.3">
      <c r="A51" s="42" t="s">
        <v>653</v>
      </c>
      <c r="E51" s="111"/>
      <c r="F51" s="111"/>
      <c r="G51" s="111"/>
      <c r="H51" s="111"/>
      <c r="I51" s="111"/>
      <c r="J51" s="111"/>
      <c r="K51" s="111"/>
      <c r="L51" s="111"/>
      <c r="M51" s="111"/>
      <c r="N51" s="111"/>
      <c r="O51" s="234"/>
    </row>
    <row r="52" spans="1:15" x14ac:dyDescent="0.3">
      <c r="A52" s="42" t="s">
        <v>654</v>
      </c>
      <c r="E52" s="111"/>
      <c r="F52" s="111"/>
      <c r="G52" s="111"/>
      <c r="H52" s="111"/>
      <c r="I52" s="111"/>
      <c r="J52" s="111"/>
      <c r="K52" s="111"/>
      <c r="L52" s="111"/>
      <c r="M52" s="111"/>
      <c r="N52" s="111"/>
      <c r="O52" s="234"/>
    </row>
    <row r="53" spans="1:15" x14ac:dyDescent="0.3">
      <c r="A53" s="42" t="s">
        <v>592</v>
      </c>
      <c r="E53" s="111"/>
      <c r="F53" s="111"/>
      <c r="G53" s="111"/>
      <c r="H53" s="111"/>
      <c r="I53" s="111"/>
      <c r="J53" s="111"/>
      <c r="K53" s="111"/>
      <c r="L53" s="111"/>
      <c r="M53" s="111"/>
      <c r="N53" s="111"/>
      <c r="O53" s="234"/>
    </row>
    <row r="54" spans="1:15" x14ac:dyDescent="0.3">
      <c r="A54" s="42" t="s">
        <v>655</v>
      </c>
      <c r="O54" s="524"/>
    </row>
    <row r="55" spans="1:15" x14ac:dyDescent="0.3">
      <c r="A55" s="42" t="s">
        <v>656</v>
      </c>
      <c r="C55" s="111"/>
      <c r="D55" s="111"/>
      <c r="E55" s="111"/>
      <c r="F55" s="111"/>
      <c r="G55" s="111"/>
      <c r="H55" s="111"/>
      <c r="I55" s="111"/>
      <c r="J55" s="111"/>
      <c r="K55" s="111"/>
      <c r="L55" s="111"/>
      <c r="M55" s="111"/>
      <c r="N55" s="111"/>
      <c r="O55" s="524"/>
    </row>
    <row r="56" spans="1:15" x14ac:dyDescent="0.3">
      <c r="A56" s="42" t="s">
        <v>657</v>
      </c>
      <c r="C56" s="111"/>
      <c r="D56" s="111"/>
      <c r="E56" s="111"/>
      <c r="F56" s="111"/>
      <c r="G56" s="111"/>
      <c r="H56" s="111"/>
      <c r="I56" s="111"/>
      <c r="J56" s="111"/>
      <c r="K56" s="111"/>
      <c r="L56" s="111"/>
      <c r="M56" s="111"/>
      <c r="N56" s="111"/>
      <c r="O56" s="524"/>
    </row>
    <row r="57" spans="1:15" x14ac:dyDescent="0.3">
      <c r="A57" s="42" t="s">
        <v>304</v>
      </c>
      <c r="C57" s="111"/>
      <c r="D57" s="111"/>
      <c r="E57" s="111"/>
      <c r="F57" s="111"/>
      <c r="G57" s="111"/>
      <c r="H57" s="111"/>
      <c r="I57" s="111"/>
      <c r="J57" s="111"/>
      <c r="K57" s="111"/>
      <c r="L57" s="111"/>
      <c r="M57" s="111"/>
      <c r="N57" s="111"/>
      <c r="O57" s="524"/>
    </row>
    <row r="58" spans="1:15" x14ac:dyDescent="0.3">
      <c r="A58" s="42" t="s">
        <v>658</v>
      </c>
      <c r="C58" s="111"/>
      <c r="D58" s="111"/>
      <c r="E58" s="111"/>
      <c r="F58" s="111"/>
      <c r="G58" s="111"/>
      <c r="H58" s="111"/>
      <c r="I58" s="111"/>
      <c r="J58" s="111"/>
      <c r="K58" s="111"/>
      <c r="L58" s="111"/>
      <c r="M58" s="111"/>
      <c r="N58" s="111"/>
      <c r="O58" s="524"/>
    </row>
    <row r="59" spans="1:15" x14ac:dyDescent="0.3">
      <c r="A59" s="42" t="s">
        <v>659</v>
      </c>
      <c r="C59" s="111"/>
      <c r="D59" s="111"/>
      <c r="E59" s="111"/>
      <c r="F59" s="111"/>
      <c r="G59" s="111"/>
      <c r="H59" s="111"/>
      <c r="I59" s="111"/>
      <c r="J59" s="111"/>
      <c r="K59" s="111"/>
      <c r="L59" s="111"/>
      <c r="M59" s="111"/>
      <c r="N59" s="111"/>
      <c r="O59" s="524"/>
    </row>
    <row r="60" spans="1:15" x14ac:dyDescent="0.3">
      <c r="A60" s="42" t="s">
        <v>660</v>
      </c>
      <c r="C60" s="111"/>
      <c r="D60" s="111"/>
      <c r="E60" s="111"/>
      <c r="F60" s="111"/>
      <c r="G60" s="111"/>
      <c r="H60" s="111"/>
      <c r="I60" s="111"/>
      <c r="J60" s="111"/>
      <c r="K60" s="111"/>
      <c r="L60" s="111"/>
      <c r="M60" s="111"/>
      <c r="N60" s="111"/>
      <c r="O60" s="524"/>
    </row>
    <row r="61" spans="1:15" x14ac:dyDescent="0.3">
      <c r="A61" s="42" t="s">
        <v>661</v>
      </c>
      <c r="C61" s="111"/>
      <c r="D61" s="111"/>
      <c r="E61" s="111"/>
      <c r="F61" s="111"/>
      <c r="G61" s="111"/>
      <c r="H61" s="111"/>
      <c r="I61" s="111"/>
      <c r="J61" s="111"/>
      <c r="K61" s="111"/>
      <c r="L61" s="111"/>
      <c r="M61" s="111"/>
      <c r="N61" s="111"/>
      <c r="O61" s="524"/>
    </row>
    <row r="62" spans="1:15" x14ac:dyDescent="0.3">
      <c r="A62" s="42" t="s">
        <v>662</v>
      </c>
      <c r="C62" s="111"/>
      <c r="D62" s="111"/>
      <c r="E62" s="111"/>
      <c r="F62" s="111"/>
      <c r="G62" s="111"/>
      <c r="H62" s="111"/>
      <c r="I62" s="111"/>
      <c r="J62" s="111"/>
      <c r="K62" s="111"/>
      <c r="L62" s="111"/>
      <c r="M62" s="111"/>
      <c r="N62" s="111"/>
      <c r="O62" s="524"/>
    </row>
    <row r="63" spans="1:15" x14ac:dyDescent="0.3">
      <c r="A63" s="42" t="s">
        <v>531</v>
      </c>
      <c r="C63" s="111"/>
      <c r="D63" s="111"/>
      <c r="E63" s="111"/>
      <c r="F63" s="111"/>
      <c r="G63" s="111"/>
      <c r="H63" s="111"/>
      <c r="I63" s="111"/>
      <c r="J63" s="111"/>
      <c r="K63" s="111"/>
      <c r="L63" s="111"/>
      <c r="M63" s="111"/>
      <c r="N63" s="111"/>
      <c r="O63" s="524"/>
    </row>
    <row r="64" spans="1:15" x14ac:dyDescent="0.3">
      <c r="A64" s="42" t="s">
        <v>663</v>
      </c>
      <c r="C64" s="111"/>
      <c r="D64" s="111"/>
      <c r="E64" s="111"/>
      <c r="F64" s="111"/>
      <c r="G64" s="111"/>
      <c r="H64" s="111"/>
      <c r="I64" s="111"/>
      <c r="J64" s="111"/>
      <c r="K64" s="111"/>
      <c r="L64" s="111"/>
      <c r="M64" s="111"/>
      <c r="N64" s="111"/>
      <c r="O64" s="524"/>
    </row>
    <row r="65" spans="1:15" x14ac:dyDescent="0.3">
      <c r="A65" s="42" t="s">
        <v>535</v>
      </c>
      <c r="C65" s="111"/>
      <c r="D65" s="111"/>
      <c r="E65" s="111"/>
      <c r="F65" s="111"/>
      <c r="G65" s="111"/>
      <c r="H65" s="111"/>
      <c r="I65" s="111"/>
      <c r="J65" s="111"/>
      <c r="K65" s="111"/>
      <c r="L65" s="111"/>
      <c r="M65" s="111"/>
      <c r="N65" s="111"/>
      <c r="O65" s="524"/>
    </row>
    <row r="66" spans="1:15" x14ac:dyDescent="0.3">
      <c r="A66" s="42" t="s">
        <v>594</v>
      </c>
      <c r="C66" s="111"/>
      <c r="D66" s="111"/>
      <c r="E66" s="111"/>
      <c r="F66" s="111"/>
      <c r="G66" s="111"/>
      <c r="H66" s="111"/>
      <c r="I66" s="111"/>
      <c r="J66" s="111"/>
      <c r="K66" s="111"/>
      <c r="L66" s="111"/>
      <c r="M66" s="111"/>
      <c r="N66" s="111"/>
      <c r="O66" s="524"/>
    </row>
    <row r="67" spans="1:15" x14ac:dyDescent="0.3">
      <c r="C67" s="111"/>
      <c r="D67" s="111"/>
      <c r="E67" s="111"/>
      <c r="F67" s="111"/>
      <c r="G67" s="111"/>
      <c r="H67" s="111"/>
      <c r="I67" s="111"/>
      <c r="J67" s="111"/>
      <c r="K67" s="111"/>
      <c r="L67" s="111"/>
      <c r="M67" s="111"/>
      <c r="N67" s="111"/>
      <c r="O67" s="524"/>
    </row>
    <row r="68" spans="1:15" x14ac:dyDescent="0.3">
      <c r="A68" s="516" t="s">
        <v>664</v>
      </c>
      <c r="C68" s="518"/>
      <c r="D68" s="111"/>
      <c r="E68" s="111"/>
      <c r="F68" s="111"/>
      <c r="G68" s="111"/>
      <c r="H68" s="111"/>
      <c r="I68" s="111"/>
      <c r="J68" s="111"/>
      <c r="K68" s="111"/>
      <c r="L68" s="111"/>
      <c r="M68" s="111"/>
      <c r="N68" s="111"/>
      <c r="O68" s="524"/>
    </row>
    <row r="69" spans="1:15" x14ac:dyDescent="0.3">
      <c r="A69" s="463" t="s">
        <v>665</v>
      </c>
      <c r="B69" s="42">
        <v>30</v>
      </c>
      <c r="C69" s="518" t="s">
        <v>604</v>
      </c>
      <c r="D69" s="111"/>
      <c r="E69" s="111">
        <v>33.58</v>
      </c>
      <c r="F69" s="111"/>
      <c r="G69" s="111">
        <f>E69*B69</f>
        <v>1007.4</v>
      </c>
      <c r="H69" s="111"/>
      <c r="I69" s="111">
        <v>18.5</v>
      </c>
      <c r="J69" s="111"/>
      <c r="K69" s="111">
        <f>I69*B69</f>
        <v>555</v>
      </c>
      <c r="L69" s="111"/>
      <c r="M69" s="111">
        <f>G69-K69</f>
        <v>452.4</v>
      </c>
      <c r="N69" s="111"/>
      <c r="O69" s="534">
        <f>M69/0.75</f>
        <v>603.19999999999993</v>
      </c>
    </row>
    <row r="70" spans="1:15" x14ac:dyDescent="0.3">
      <c r="B70" s="519"/>
      <c r="C70" s="520"/>
      <c r="D70" s="519"/>
      <c r="E70" s="519"/>
      <c r="F70" s="519"/>
      <c r="G70" s="519"/>
      <c r="H70" s="519"/>
      <c r="I70" s="519"/>
      <c r="J70" s="519"/>
      <c r="K70" s="519"/>
      <c r="L70" s="519"/>
      <c r="M70" s="519"/>
      <c r="N70" s="519"/>
      <c r="O70" s="525"/>
    </row>
    <row r="71" spans="1:15" x14ac:dyDescent="0.3">
      <c r="A71" s="516" t="s">
        <v>666</v>
      </c>
      <c r="B71" s="519"/>
      <c r="C71" s="520"/>
      <c r="D71" s="519"/>
      <c r="E71" s="519"/>
      <c r="F71" s="519"/>
      <c r="G71" s="519"/>
      <c r="H71" s="519"/>
      <c r="I71" s="519"/>
      <c r="J71" s="519"/>
      <c r="K71" s="519"/>
      <c r="L71" s="519"/>
      <c r="M71" s="519"/>
      <c r="N71" s="519"/>
      <c r="O71" s="525"/>
    </row>
    <row r="72" spans="1:15" x14ac:dyDescent="0.3">
      <c r="B72" s="42">
        <v>65</v>
      </c>
      <c r="C72" s="520" t="s">
        <v>351</v>
      </c>
      <c r="D72" s="519"/>
      <c r="E72" s="519">
        <v>11.5</v>
      </c>
      <c r="F72" s="519"/>
      <c r="G72" s="519">
        <f>E72*B72</f>
        <v>747.5</v>
      </c>
      <c r="H72" s="519"/>
      <c r="I72" s="519">
        <v>11.5</v>
      </c>
      <c r="J72" s="519"/>
      <c r="K72" s="519">
        <f>I72*B72</f>
        <v>747.5</v>
      </c>
      <c r="L72" s="519"/>
      <c r="M72" s="519">
        <f>G72-K72</f>
        <v>0</v>
      </c>
      <c r="N72" s="519"/>
      <c r="O72" s="525"/>
    </row>
    <row r="73" spans="1:15" ht="18" thickBot="1" x14ac:dyDescent="0.35">
      <c r="B73" s="519"/>
      <c r="C73" s="520"/>
      <c r="D73" s="519"/>
      <c r="E73" s="519"/>
      <c r="F73" s="519"/>
      <c r="G73" s="519"/>
      <c r="H73" s="519"/>
      <c r="I73" s="519"/>
      <c r="J73" s="519"/>
      <c r="K73" s="519"/>
      <c r="L73" s="519"/>
      <c r="M73" s="519"/>
      <c r="N73" s="519"/>
      <c r="O73" s="526"/>
    </row>
    <row r="74" spans="1:15" x14ac:dyDescent="0.3">
      <c r="B74" s="519"/>
      <c r="C74" s="519"/>
      <c r="D74" s="519"/>
      <c r="E74" s="521" t="s">
        <v>19</v>
      </c>
      <c r="F74" s="521"/>
      <c r="G74" s="521">
        <f>SUM(G24:G73)</f>
        <v>36902.9</v>
      </c>
      <c r="H74" s="519"/>
      <c r="I74" s="519"/>
      <c r="J74" s="519"/>
      <c r="K74" s="519"/>
      <c r="L74" s="519"/>
      <c r="M74" s="529">
        <f>SUM(M24:M73)</f>
        <v>7553.399999999996</v>
      </c>
      <c r="N74" s="519"/>
      <c r="O74" s="522">
        <f>SUM(O24:O73)</f>
        <v>11785.719607843132</v>
      </c>
    </row>
    <row r="75" spans="1:15" x14ac:dyDescent="0.3">
      <c r="B75" s="519"/>
      <c r="C75" s="519"/>
      <c r="D75" s="519"/>
      <c r="E75" s="519"/>
      <c r="F75" s="519"/>
      <c r="G75" s="519"/>
      <c r="H75" s="519"/>
      <c r="I75" s="519"/>
      <c r="J75" s="519"/>
      <c r="K75" s="519"/>
      <c r="L75" s="519"/>
      <c r="M75" s="519"/>
      <c r="N75" s="519"/>
      <c r="O75" s="519"/>
    </row>
    <row r="76" spans="1:15" x14ac:dyDescent="0.3">
      <c r="E76" s="530" t="s">
        <v>18</v>
      </c>
      <c r="F76" s="119"/>
      <c r="G76" s="531">
        <f>B20</f>
        <v>33638</v>
      </c>
    </row>
    <row r="77" spans="1:15" x14ac:dyDescent="0.3">
      <c r="E77" s="261"/>
      <c r="G77" s="463"/>
    </row>
    <row r="78" spans="1:15" x14ac:dyDescent="0.3">
      <c r="E78" s="261" t="s">
        <v>306</v>
      </c>
      <c r="G78" s="372">
        <f>G74-G76</f>
        <v>3264.9000000000015</v>
      </c>
    </row>
    <row r="79" spans="1:15" x14ac:dyDescent="0.3">
      <c r="E79" s="261" t="s">
        <v>677</v>
      </c>
      <c r="G79" s="372">
        <f>O74</f>
        <v>11785.719607843132</v>
      </c>
    </row>
    <row r="80" spans="1:15" x14ac:dyDescent="0.3">
      <c r="E80" s="261"/>
      <c r="G80" s="463"/>
    </row>
    <row r="81" spans="5:7" x14ac:dyDescent="0.3">
      <c r="E81" s="261" t="s">
        <v>613</v>
      </c>
      <c r="G81" s="372">
        <f>G79-G78</f>
        <v>8520.8196078431301</v>
      </c>
    </row>
    <row r="82" spans="5:7" x14ac:dyDescent="0.3">
      <c r="E82" s="261"/>
    </row>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sqref="A1:XFD1048576"/>
      <pageMargins left="0.7" right="0.7" top="0.75" bottom="0.75" header="0.3" footer="0.3"/>
    </customSheetView>
  </customSheetViews>
  <mergeCells count="3">
    <mergeCell ref="A1:I1"/>
    <mergeCell ref="A2:I2"/>
    <mergeCell ref="A4:B4"/>
  </mergeCells>
  <pageMargins left="0.7" right="0.7" top="0.75" bottom="0.75" header="0.3" footer="0.3"/>
  <pageSetup paperSize="3" scale="68"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A8106-F9E8-4172-A943-13A0142883AC}">
  <dimension ref="A1:C12"/>
  <sheetViews>
    <sheetView workbookViewId="0">
      <selection activeCell="S13" sqref="S13"/>
    </sheetView>
  </sheetViews>
  <sheetFormatPr defaultColWidth="9.140625" defaultRowHeight="17.25" x14ac:dyDescent="0.3"/>
  <cols>
    <col min="1" max="1" width="32" style="42" customWidth="1"/>
    <col min="2" max="2" width="11.42578125" style="42" bestFit="1" customWidth="1"/>
    <col min="3" max="3" width="14.42578125" style="42" customWidth="1"/>
    <col min="4" max="16384" width="9.140625" style="42"/>
  </cols>
  <sheetData>
    <row r="1" spans="1:3" ht="21.75" thickBot="1" x14ac:dyDescent="0.4">
      <c r="A1" s="978" t="str">
        <f>'DNU  Customer Option Cover Page'!C6</f>
        <v>Olsen Veranda Bay Model #2</v>
      </c>
      <c r="B1" s="979"/>
      <c r="C1" s="980"/>
    </row>
    <row r="2" spans="1:3" x14ac:dyDescent="0.3">
      <c r="A2" s="981" t="str">
        <f>'DNU  Customer Option Cover Page'!C7</f>
        <v xml:space="preserve">183 Stillwater Drive, Flagler Beach </v>
      </c>
      <c r="B2" s="982"/>
      <c r="C2" s="983"/>
    </row>
    <row r="3" spans="1:3" ht="18" thickBot="1" x14ac:dyDescent="0.35">
      <c r="A3" s="108"/>
      <c r="B3" s="108"/>
      <c r="C3" s="108"/>
    </row>
    <row r="4" spans="1:3" ht="225" customHeight="1" x14ac:dyDescent="0.3">
      <c r="A4" s="921" t="s">
        <v>292</v>
      </c>
      <c r="B4" s="922"/>
      <c r="C4" s="923"/>
    </row>
    <row r="5" spans="1:3" x14ac:dyDescent="0.3">
      <c r="A5" s="296"/>
      <c r="B5" s="111"/>
      <c r="C5" s="297"/>
    </row>
    <row r="6" spans="1:3" x14ac:dyDescent="0.3">
      <c r="A6" s="296" t="s">
        <v>419</v>
      </c>
      <c r="B6" s="111"/>
      <c r="C6" s="297"/>
    </row>
    <row r="7" spans="1:3" x14ac:dyDescent="0.3">
      <c r="A7" s="296" t="s">
        <v>420</v>
      </c>
      <c r="B7" s="111">
        <f>1147.736*1.07</f>
        <v>1228.0775200000003</v>
      </c>
      <c r="C7" s="297"/>
    </row>
    <row r="8" spans="1:3" x14ac:dyDescent="0.3">
      <c r="A8" s="296"/>
      <c r="B8" s="111"/>
      <c r="C8" s="297"/>
    </row>
    <row r="9" spans="1:3" x14ac:dyDescent="0.3">
      <c r="A9" s="296" t="s">
        <v>421</v>
      </c>
      <c r="B9" s="111">
        <f>78*8</f>
        <v>624</v>
      </c>
      <c r="C9" s="297"/>
    </row>
    <row r="10" spans="1:3" x14ac:dyDescent="0.3">
      <c r="A10" s="407" t="s">
        <v>892</v>
      </c>
      <c r="B10" s="406">
        <v>-250</v>
      </c>
      <c r="C10" s="297"/>
    </row>
    <row r="11" spans="1:3" x14ac:dyDescent="0.3">
      <c r="A11" s="395" t="s">
        <v>344</v>
      </c>
      <c r="B11" s="372">
        <f>SUM(B7:B10)</f>
        <v>1602.0775200000003</v>
      </c>
      <c r="C11" s="297"/>
    </row>
    <row r="12" spans="1:3" ht="18" thickBot="1" x14ac:dyDescent="0.35">
      <c r="A12" s="389"/>
      <c r="B12" s="729">
        <f>SUM(B11/0.68)</f>
        <v>2355.9963529411766</v>
      </c>
      <c r="C12" s="293"/>
    </row>
  </sheetData>
  <mergeCells count="3">
    <mergeCell ref="A1:C1"/>
    <mergeCell ref="A2:C2"/>
    <mergeCell ref="A4:C4"/>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BC959-8595-4A4D-A4F6-4962B4FDC2B0}">
  <dimension ref="A1:O15"/>
  <sheetViews>
    <sheetView topLeftCell="A5" workbookViewId="0">
      <selection activeCell="B14" sqref="B14"/>
    </sheetView>
  </sheetViews>
  <sheetFormatPr defaultColWidth="9.140625" defaultRowHeight="17.25" x14ac:dyDescent="0.3"/>
  <cols>
    <col min="1" max="1" width="38.7109375" style="42" customWidth="1"/>
    <col min="2" max="2" width="14" style="42" customWidth="1"/>
    <col min="3" max="6" width="9.140625" style="42"/>
    <col min="7" max="8" width="33.5703125" style="42" customWidth="1"/>
    <col min="9" max="9" width="12.7109375" style="42" bestFit="1" customWidth="1"/>
    <col min="10" max="10" width="15" style="42" customWidth="1"/>
    <col min="11" max="12" width="9.140625" style="42"/>
    <col min="13" max="13" width="18.7109375" style="42" customWidth="1"/>
    <col min="14" max="14" width="12.7109375" style="42" customWidth="1"/>
    <col min="15" max="15" width="13.140625" style="42" customWidth="1"/>
    <col min="16" max="16384" width="9.140625" style="42"/>
  </cols>
  <sheetData>
    <row r="1" spans="1:15" ht="21.75" thickBot="1" x14ac:dyDescent="0.4">
      <c r="A1" s="878" t="str">
        <f>'DNU  Customer Option Cover Page'!C6</f>
        <v>Olsen Veranda Bay Model #2</v>
      </c>
      <c r="B1" s="879"/>
    </row>
    <row r="2" spans="1:15" x14ac:dyDescent="0.3">
      <c r="A2" s="880" t="str">
        <f>'DNU  Customer Option Cover Page'!C7</f>
        <v xml:space="preserve">183 Stillwater Drive, Flagler Beach </v>
      </c>
      <c r="B2" s="880"/>
    </row>
    <row r="3" spans="1:15" ht="18" thickBot="1" x14ac:dyDescent="0.35">
      <c r="A3" s="108"/>
      <c r="B3" s="108"/>
    </row>
    <row r="4" spans="1:15" ht="262.5" customHeight="1" x14ac:dyDescent="0.3">
      <c r="A4" s="921" t="s">
        <v>148</v>
      </c>
      <c r="B4" s="923"/>
    </row>
    <row r="5" spans="1:15" x14ac:dyDescent="0.3">
      <c r="A5" s="296"/>
      <c r="B5" s="297"/>
      <c r="D5" s="42" t="s">
        <v>787</v>
      </c>
      <c r="E5" s="111">
        <f>SUM(B11/C6)</f>
        <v>10.677506775067751</v>
      </c>
      <c r="F5" s="42" t="s">
        <v>351</v>
      </c>
    </row>
    <row r="6" spans="1:15" x14ac:dyDescent="0.3">
      <c r="A6" s="902" t="s">
        <v>410</v>
      </c>
      <c r="B6" s="903"/>
      <c r="C6" s="42">
        <v>184.5</v>
      </c>
      <c r="D6" s="42" t="s">
        <v>351</v>
      </c>
      <c r="E6" s="111">
        <f>B7/C6</f>
        <v>58.699186991869915</v>
      </c>
      <c r="F6" s="42" t="s">
        <v>416</v>
      </c>
      <c r="G6" s="42" t="s">
        <v>786</v>
      </c>
      <c r="H6" s="42" t="s">
        <v>788</v>
      </c>
      <c r="J6" s="691" t="s">
        <v>762</v>
      </c>
      <c r="K6" s="689" t="s">
        <v>351</v>
      </c>
      <c r="L6" s="689"/>
      <c r="M6" s="690" t="s">
        <v>765</v>
      </c>
      <c r="N6" s="689" t="s">
        <v>764</v>
      </c>
    </row>
    <row r="7" spans="1:15" x14ac:dyDescent="0.3">
      <c r="A7" s="296" t="s">
        <v>411</v>
      </c>
      <c r="B7" s="693">
        <v>10830</v>
      </c>
      <c r="C7" s="42">
        <v>80</v>
      </c>
      <c r="G7" s="111">
        <f>SUM(C7*E13)</f>
        <v>5550.1355013550128</v>
      </c>
      <c r="H7" s="730">
        <f>SUM(G7/0.65)</f>
        <v>8538.6700020846347</v>
      </c>
      <c r="I7" s="111"/>
      <c r="J7" s="114" t="s">
        <v>761</v>
      </c>
      <c r="K7" s="42">
        <v>80</v>
      </c>
      <c r="L7" s="111">
        <v>58.7</v>
      </c>
      <c r="M7" s="690">
        <f>SUM(L7*K7)</f>
        <v>4696</v>
      </c>
      <c r="N7" s="690">
        <f>SUM(K7*E5)</f>
        <v>854.20054200542017</v>
      </c>
      <c r="O7" s="111">
        <f>SUM(M7:N7)</f>
        <v>5550.2005420054202</v>
      </c>
    </row>
    <row r="8" spans="1:15" x14ac:dyDescent="0.3">
      <c r="A8" s="296" t="s">
        <v>412</v>
      </c>
      <c r="B8" s="388"/>
      <c r="C8" s="42">
        <v>48</v>
      </c>
      <c r="G8" s="111">
        <f>SUM(C8*E13)</f>
        <v>3330.0813008130081</v>
      </c>
      <c r="H8" s="730">
        <f>SUM(G8/0.65)</f>
        <v>5123.2020012507819</v>
      </c>
      <c r="I8" s="111"/>
      <c r="J8" s="114" t="s">
        <v>592</v>
      </c>
      <c r="K8" s="42">
        <v>48</v>
      </c>
      <c r="L8" s="111">
        <v>58.7</v>
      </c>
      <c r="M8" s="690">
        <f t="shared" ref="M8:M10" si="0">SUM(L8*K8)</f>
        <v>2817.6000000000004</v>
      </c>
      <c r="N8" s="690">
        <f>SUM(K8*E5)</f>
        <v>512.52032520325201</v>
      </c>
      <c r="O8" s="111">
        <f>SUM(M8:N8)</f>
        <v>3330.1203252032524</v>
      </c>
    </row>
    <row r="9" spans="1:15" x14ac:dyDescent="0.3">
      <c r="A9" s="296" t="s">
        <v>413</v>
      </c>
      <c r="B9" s="388"/>
      <c r="C9" s="42">
        <v>22.5</v>
      </c>
      <c r="G9" s="111">
        <f>SUM(C9*E13)</f>
        <v>1560.9756097560974</v>
      </c>
      <c r="H9" s="730">
        <f>SUM(G9/0.65)</f>
        <v>2401.5009380863034</v>
      </c>
      <c r="I9" s="111"/>
      <c r="J9" s="114" t="s">
        <v>655</v>
      </c>
      <c r="K9" s="42">
        <v>22.5</v>
      </c>
      <c r="L9" s="111">
        <v>58.7</v>
      </c>
      <c r="M9" s="690">
        <f t="shared" si="0"/>
        <v>1320.75</v>
      </c>
      <c r="N9" s="690">
        <f>SUM(K9*E5)</f>
        <v>240.2439024390244</v>
      </c>
      <c r="O9" s="111">
        <f>SUM(M9:N9)</f>
        <v>1560.9939024390244</v>
      </c>
    </row>
    <row r="10" spans="1:15" x14ac:dyDescent="0.3">
      <c r="A10" s="296" t="s">
        <v>414</v>
      </c>
      <c r="B10" s="388"/>
      <c r="C10" s="42">
        <v>34</v>
      </c>
      <c r="G10" s="111">
        <f>SUM(C10*E13)</f>
        <v>2358.8075880758806</v>
      </c>
      <c r="H10" s="730">
        <f>SUM(G10/0.65)</f>
        <v>3628.9347508859701</v>
      </c>
      <c r="I10" s="111"/>
      <c r="J10" s="114" t="s">
        <v>652</v>
      </c>
      <c r="K10" s="42">
        <v>34</v>
      </c>
      <c r="L10" s="111">
        <v>58.7</v>
      </c>
      <c r="M10" s="690">
        <f t="shared" si="0"/>
        <v>1995.8000000000002</v>
      </c>
      <c r="N10" s="690">
        <f>SUM(K10*E5)</f>
        <v>363.03523035230353</v>
      </c>
      <c r="O10" s="111">
        <f>SUM(M10:N10)</f>
        <v>2358.8352303523038</v>
      </c>
    </row>
    <row r="11" spans="1:15" x14ac:dyDescent="0.3">
      <c r="A11" s="296" t="s">
        <v>415</v>
      </c>
      <c r="B11" s="693">
        <v>1970</v>
      </c>
      <c r="I11" s="111"/>
      <c r="J11" s="114" t="s">
        <v>763</v>
      </c>
      <c r="K11" s="42">
        <f>SUM(K7:K10)</f>
        <v>184.5</v>
      </c>
      <c r="L11" s="111">
        <v>58.7</v>
      </c>
      <c r="M11" s="692">
        <f>SUM(M7:M10)</f>
        <v>10830.150000000001</v>
      </c>
      <c r="N11" s="692">
        <f>SUM(N7:N10)</f>
        <v>1970</v>
      </c>
      <c r="O11" s="694">
        <f>SUM(O7:O10)</f>
        <v>12800.150000000001</v>
      </c>
    </row>
    <row r="12" spans="1:15" x14ac:dyDescent="0.3">
      <c r="A12" s="296"/>
      <c r="B12" s="388"/>
      <c r="I12" s="111"/>
      <c r="M12" s="690"/>
      <c r="N12" s="690"/>
    </row>
    <row r="13" spans="1:15" x14ac:dyDescent="0.3">
      <c r="A13" s="395" t="s">
        <v>344</v>
      </c>
      <c r="B13" s="695">
        <f>SUM(B7:B12)</f>
        <v>12800</v>
      </c>
      <c r="E13" s="111">
        <f>SUM(E5:E6)</f>
        <v>69.376693766937663</v>
      </c>
      <c r="F13" s="42" t="s">
        <v>789</v>
      </c>
      <c r="I13" s="111"/>
      <c r="M13" s="111"/>
    </row>
    <row r="14" spans="1:15" ht="18" thickBot="1" x14ac:dyDescent="0.35">
      <c r="A14" s="299" t="s">
        <v>134</v>
      </c>
      <c r="B14" s="726">
        <f>B13/0.65</f>
        <v>19692.307692307691</v>
      </c>
      <c r="C14" s="416"/>
      <c r="D14" s="416"/>
      <c r="E14" s="416"/>
      <c r="F14" s="416"/>
      <c r="G14" s="416"/>
      <c r="H14" s="730">
        <f>SUM(H7:H10)</f>
        <v>19692.307692307688</v>
      </c>
      <c r="M14" s="111"/>
    </row>
    <row r="15" spans="1:15" x14ac:dyDescent="0.3">
      <c r="B15" s="111"/>
    </row>
  </sheetData>
  <mergeCells count="4">
    <mergeCell ref="A1:B1"/>
    <mergeCell ref="A2:B2"/>
    <mergeCell ref="A4:B4"/>
    <mergeCell ref="A6:B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9D980-FC93-40CA-9783-68B5F22CCC6F}">
  <sheetPr>
    <pageSetUpPr fitToPage="1"/>
  </sheetPr>
  <dimension ref="A1:G66"/>
  <sheetViews>
    <sheetView topLeftCell="A31" workbookViewId="0">
      <selection activeCell="I33" sqref="I33"/>
    </sheetView>
  </sheetViews>
  <sheetFormatPr defaultColWidth="9.140625" defaultRowHeight="17.25" x14ac:dyDescent="0.3"/>
  <cols>
    <col min="1" max="1" width="70.28515625" style="42" customWidth="1"/>
    <col min="2" max="2" width="16.140625" style="42" customWidth="1"/>
    <col min="3" max="3" width="14" style="42" customWidth="1"/>
    <col min="4" max="4" width="25.7109375" style="42" customWidth="1"/>
    <col min="5" max="5" width="32.140625" style="42" customWidth="1"/>
    <col min="6" max="6" width="25.140625" style="42" customWidth="1"/>
    <col min="7" max="7" width="18.42578125" style="42" customWidth="1"/>
    <col min="8" max="8" width="15.140625" style="42" customWidth="1"/>
    <col min="9" max="9" width="18.5703125" style="42" customWidth="1"/>
    <col min="10" max="10" width="11.42578125" style="42" bestFit="1" customWidth="1"/>
    <col min="11" max="16384" width="9.140625" style="42"/>
  </cols>
  <sheetData>
    <row r="1" spans="1:7" ht="21.75" thickBot="1" x14ac:dyDescent="0.4">
      <c r="A1" s="878" t="str">
        <f>'DNU  Customer Option Cover Page'!C6</f>
        <v>Olsen Veranda Bay Model #2</v>
      </c>
      <c r="B1" s="879"/>
      <c r="C1" s="879"/>
      <c r="D1" s="881"/>
    </row>
    <row r="2" spans="1:7" ht="18" thickBot="1" x14ac:dyDescent="0.35">
      <c r="A2" s="886" t="str">
        <f>'DNU  Customer Option Cover Page'!C7</f>
        <v xml:space="preserve">183 Stillwater Drive, Flagler Beach </v>
      </c>
      <c r="B2" s="887"/>
      <c r="C2" s="887"/>
      <c r="D2" s="927"/>
    </row>
    <row r="3" spans="1:7" x14ac:dyDescent="0.3">
      <c r="A3" s="108"/>
      <c r="B3" s="108"/>
      <c r="C3" s="108"/>
      <c r="D3" s="108"/>
      <c r="E3" s="108"/>
      <c r="F3" s="108"/>
      <c r="G3" s="108"/>
    </row>
    <row r="4" spans="1:7" x14ac:dyDescent="0.3">
      <c r="A4" s="888" t="s">
        <v>18</v>
      </c>
      <c r="B4" s="888"/>
    </row>
    <row r="5" spans="1:7" x14ac:dyDescent="0.3">
      <c r="A5" s="44" t="s">
        <v>438</v>
      </c>
      <c r="B5" s="45">
        <v>7261</v>
      </c>
    </row>
    <row r="6" spans="1:7" x14ac:dyDescent="0.3">
      <c r="A6" s="44" t="s">
        <v>439</v>
      </c>
      <c r="B6" s="45">
        <v>1037</v>
      </c>
    </row>
    <row r="7" spans="1:7" x14ac:dyDescent="0.3">
      <c r="A7" s="44" t="s">
        <v>440</v>
      </c>
      <c r="B7" s="45">
        <v>3200</v>
      </c>
    </row>
    <row r="8" spans="1:7" x14ac:dyDescent="0.3">
      <c r="A8" s="44" t="s">
        <v>441</v>
      </c>
      <c r="B8" s="45">
        <v>825</v>
      </c>
    </row>
    <row r="9" spans="1:7" x14ac:dyDescent="0.3">
      <c r="A9" s="44" t="s">
        <v>442</v>
      </c>
      <c r="B9" s="45">
        <v>667</v>
      </c>
    </row>
    <row r="10" spans="1:7" x14ac:dyDescent="0.3">
      <c r="A10" s="44" t="s">
        <v>121</v>
      </c>
      <c r="B10" s="45">
        <v>1000</v>
      </c>
    </row>
    <row r="11" spans="1:7" x14ac:dyDescent="0.3">
      <c r="A11" s="44" t="s">
        <v>443</v>
      </c>
      <c r="B11" s="739" t="s">
        <v>123</v>
      </c>
    </row>
    <row r="12" spans="1:7" x14ac:dyDescent="0.3">
      <c r="A12" s="44" t="s">
        <v>444</v>
      </c>
      <c r="B12" s="739" t="s">
        <v>123</v>
      </c>
    </row>
    <row r="13" spans="1:7" x14ac:dyDescent="0.3">
      <c r="A13" s="44" t="s">
        <v>868</v>
      </c>
      <c r="B13" s="739" t="s">
        <v>123</v>
      </c>
    </row>
    <row r="14" spans="1:7" x14ac:dyDescent="0.3">
      <c r="A14" s="44" t="s">
        <v>445</v>
      </c>
      <c r="B14" s="45">
        <v>1000</v>
      </c>
    </row>
    <row r="15" spans="1:7" x14ac:dyDescent="0.3">
      <c r="A15" s="44"/>
      <c r="B15" s="45"/>
    </row>
    <row r="16" spans="1:7" x14ac:dyDescent="0.3">
      <c r="A16" s="46" t="s">
        <v>19</v>
      </c>
      <c r="B16" s="47">
        <f>SUM(B5:B15)</f>
        <v>14990</v>
      </c>
      <c r="F16" s="111"/>
    </row>
    <row r="17" spans="1:6" x14ac:dyDescent="0.3">
      <c r="A17" s="261"/>
      <c r="B17" s="745"/>
      <c r="F17" s="111"/>
    </row>
    <row r="18" spans="1:6" ht="18" thickBot="1" x14ac:dyDescent="0.35">
      <c r="A18" s="997" t="s">
        <v>858</v>
      </c>
      <c r="B18" s="997"/>
    </row>
    <row r="19" spans="1:6" x14ac:dyDescent="0.3">
      <c r="A19" s="244" t="s">
        <v>825</v>
      </c>
      <c r="B19" s="748">
        <v>26792.5</v>
      </c>
    </row>
    <row r="20" spans="1:6" ht="18" thickBot="1" x14ac:dyDescent="0.35">
      <c r="A20" s="741" t="s">
        <v>826</v>
      </c>
      <c r="B20" s="456">
        <f>B19*1.1</f>
        <v>29471.750000000004</v>
      </c>
    </row>
    <row r="21" spans="1:6" x14ac:dyDescent="0.3">
      <c r="B21" s="111"/>
    </row>
    <row r="22" spans="1:6" x14ac:dyDescent="0.3">
      <c r="A22" s="998">
        <v>46225</v>
      </c>
      <c r="B22" s="999"/>
    </row>
    <row r="23" spans="1:6" x14ac:dyDescent="0.3">
      <c r="A23" s="992" t="s">
        <v>830</v>
      </c>
      <c r="B23" s="993"/>
    </row>
    <row r="24" spans="1:6" ht="18" thickBot="1" x14ac:dyDescent="0.35">
      <c r="A24" s="767" t="s">
        <v>831</v>
      </c>
      <c r="B24" s="758">
        <f>28*70.4</f>
        <v>1971.2000000000003</v>
      </c>
      <c r="C24" s="740" t="s">
        <v>817</v>
      </c>
      <c r="E24" s="284" t="s">
        <v>545</v>
      </c>
    </row>
    <row r="25" spans="1:6" x14ac:dyDescent="0.3">
      <c r="A25" s="770" t="s">
        <v>832</v>
      </c>
      <c r="B25" s="771"/>
      <c r="C25" s="772">
        <f>48*70.4</f>
        <v>3379.2000000000003</v>
      </c>
      <c r="D25" s="1002" t="s">
        <v>864</v>
      </c>
      <c r="E25" s="1000">
        <f>SUM(C25:C26)/0.65</f>
        <v>7037.2923076923071</v>
      </c>
    </row>
    <row r="26" spans="1:6" ht="18" thickBot="1" x14ac:dyDescent="0.35">
      <c r="A26" s="773" t="s">
        <v>833</v>
      </c>
      <c r="B26" s="774"/>
      <c r="C26" s="775">
        <f>(48*24.75+7.04)</f>
        <v>1195.04</v>
      </c>
      <c r="D26" s="1003"/>
      <c r="E26" s="1001"/>
    </row>
    <row r="27" spans="1:6" ht="18" thickBot="1" x14ac:dyDescent="0.35">
      <c r="B27" s="208"/>
      <c r="E27" s="463"/>
    </row>
    <row r="28" spans="1:6" x14ac:dyDescent="0.3">
      <c r="A28" s="777"/>
      <c r="B28" s="790"/>
      <c r="C28" s="778"/>
      <c r="D28" s="778"/>
      <c r="E28" s="788" t="s">
        <v>873</v>
      </c>
      <c r="F28" s="742" t="s">
        <v>545</v>
      </c>
    </row>
    <row r="29" spans="1:6" ht="18" thickBot="1" x14ac:dyDescent="0.35">
      <c r="A29" s="780" t="s">
        <v>834</v>
      </c>
      <c r="B29" s="781"/>
      <c r="C29" s="782">
        <f>26.5*70.4</f>
        <v>1865.6000000000001</v>
      </c>
      <c r="D29" s="783" t="s">
        <v>865</v>
      </c>
      <c r="E29" s="789">
        <f>-36*19</f>
        <v>-684</v>
      </c>
      <c r="F29" s="787">
        <f>SUM(C29+E29)/0.65</f>
        <v>1817.846153846154</v>
      </c>
    </row>
    <row r="30" spans="1:6" ht="18" thickBot="1" x14ac:dyDescent="0.35">
      <c r="A30" s="768" t="s">
        <v>816</v>
      </c>
      <c r="B30" s="769" t="s">
        <v>566</v>
      </c>
    </row>
    <row r="31" spans="1:6" x14ac:dyDescent="0.3">
      <c r="A31" s="759" t="s">
        <v>835</v>
      </c>
      <c r="B31" s="750"/>
      <c r="C31" s="760">
        <f>27.2*70.4</f>
        <v>1914.88</v>
      </c>
      <c r="D31" s="1008" t="s">
        <v>859</v>
      </c>
    </row>
    <row r="32" spans="1:6" ht="18" thickBot="1" x14ac:dyDescent="0.35">
      <c r="A32" s="761" t="s">
        <v>818</v>
      </c>
      <c r="B32" s="754"/>
      <c r="C32" s="762">
        <v>176</v>
      </c>
      <c r="D32" s="1010"/>
    </row>
    <row r="33" spans="1:5" ht="18" thickBot="1" x14ac:dyDescent="0.35">
      <c r="A33" s="763" t="s">
        <v>836</v>
      </c>
      <c r="B33" s="764"/>
      <c r="C33" s="765">
        <f>7.5*70.4</f>
        <v>528</v>
      </c>
      <c r="D33" s="766" t="s">
        <v>860</v>
      </c>
    </row>
    <row r="34" spans="1:5" x14ac:dyDescent="0.3">
      <c r="A34" s="994" t="s">
        <v>829</v>
      </c>
      <c r="B34" s="995"/>
      <c r="C34" s="722"/>
    </row>
    <row r="35" spans="1:5" ht="18" thickBot="1" x14ac:dyDescent="0.35">
      <c r="A35" s="118" t="s">
        <v>837</v>
      </c>
      <c r="B35" s="758">
        <f>53.81*55</f>
        <v>2959.55</v>
      </c>
      <c r="C35" s="740" t="s">
        <v>817</v>
      </c>
    </row>
    <row r="36" spans="1:5" x14ac:dyDescent="0.3">
      <c r="A36" s="777" t="s">
        <v>838</v>
      </c>
      <c r="B36" s="778" t="s">
        <v>819</v>
      </c>
      <c r="C36" s="779">
        <f>31.5*55</f>
        <v>1732.5</v>
      </c>
      <c r="D36" s="1011" t="s">
        <v>866</v>
      </c>
      <c r="E36" s="1004">
        <f>SUM(C36:C37)/0.65</f>
        <v>3553.8461538461538</v>
      </c>
    </row>
    <row r="37" spans="1:5" ht="18" thickBot="1" x14ac:dyDescent="0.35">
      <c r="A37" s="780" t="s">
        <v>839</v>
      </c>
      <c r="B37" s="781"/>
      <c r="C37" s="782">
        <f>21*27.5</f>
        <v>577.5</v>
      </c>
      <c r="D37" s="1012"/>
      <c r="E37" s="1005"/>
    </row>
    <row r="38" spans="1:5" x14ac:dyDescent="0.3">
      <c r="A38" s="115" t="s">
        <v>446</v>
      </c>
      <c r="B38" s="776" t="s">
        <v>566</v>
      </c>
      <c r="C38" s="722"/>
    </row>
    <row r="39" spans="1:5" x14ac:dyDescent="0.3">
      <c r="A39" s="44" t="s">
        <v>840</v>
      </c>
      <c r="B39" s="738">
        <f>49*55</f>
        <v>2695</v>
      </c>
      <c r="C39" s="740" t="s">
        <v>817</v>
      </c>
    </row>
    <row r="40" spans="1:5" x14ac:dyDescent="0.3">
      <c r="A40" s="44" t="s">
        <v>841</v>
      </c>
      <c r="B40" s="738">
        <f>14.7*55</f>
        <v>808.5</v>
      </c>
      <c r="C40" s="740" t="s">
        <v>817</v>
      </c>
    </row>
    <row r="41" spans="1:5" x14ac:dyDescent="0.3">
      <c r="A41" s="44" t="s">
        <v>842</v>
      </c>
      <c r="B41" s="738">
        <f>11.09*55</f>
        <v>609.95000000000005</v>
      </c>
      <c r="C41" s="740" t="s">
        <v>817</v>
      </c>
    </row>
    <row r="42" spans="1:5" x14ac:dyDescent="0.3">
      <c r="A42" s="44" t="s">
        <v>843</v>
      </c>
      <c r="B42" s="738">
        <f>60.5*4</f>
        <v>242</v>
      </c>
      <c r="C42" s="740" t="s">
        <v>817</v>
      </c>
    </row>
    <row r="43" spans="1:5" x14ac:dyDescent="0.3">
      <c r="A43" s="44" t="s">
        <v>821</v>
      </c>
      <c r="B43" s="738">
        <v>110</v>
      </c>
      <c r="C43" s="740" t="s">
        <v>817</v>
      </c>
    </row>
    <row r="44" spans="1:5" x14ac:dyDescent="0.3">
      <c r="A44" s="44" t="s">
        <v>822</v>
      </c>
      <c r="B44" s="738">
        <v>330</v>
      </c>
      <c r="C44" s="740" t="s">
        <v>817</v>
      </c>
    </row>
    <row r="45" spans="1:5" x14ac:dyDescent="0.3">
      <c r="A45" s="996" t="s">
        <v>828</v>
      </c>
      <c r="B45" s="996"/>
      <c r="C45" s="722"/>
    </row>
    <row r="46" spans="1:5" ht="18" thickBot="1" x14ac:dyDescent="0.35">
      <c r="A46" s="118" t="s">
        <v>856</v>
      </c>
      <c r="B46" s="758">
        <f>15.86*62.7</f>
        <v>994.42200000000003</v>
      </c>
      <c r="C46" s="740" t="s">
        <v>817</v>
      </c>
    </row>
    <row r="47" spans="1:5" x14ac:dyDescent="0.3">
      <c r="A47" s="743" t="s">
        <v>857</v>
      </c>
      <c r="B47" s="743"/>
      <c r="C47" s="744">
        <f>25.78*62.7</f>
        <v>1616.4060000000002</v>
      </c>
      <c r="D47" s="1006" t="s">
        <v>861</v>
      </c>
    </row>
    <row r="48" spans="1:5" ht="18" thickBot="1" x14ac:dyDescent="0.35">
      <c r="A48" s="743" t="s">
        <v>869</v>
      </c>
      <c r="B48" s="743"/>
      <c r="C48" s="785">
        <f>4.3*27.5</f>
        <v>118.25</v>
      </c>
      <c r="D48" s="1007"/>
    </row>
    <row r="49" spans="1:6" x14ac:dyDescent="0.3">
      <c r="A49" s="115" t="s">
        <v>820</v>
      </c>
      <c r="B49" s="784">
        <v>176</v>
      </c>
      <c r="C49" s="740" t="s">
        <v>817</v>
      </c>
    </row>
    <row r="50" spans="1:6" ht="18" thickBot="1" x14ac:dyDescent="0.35">
      <c r="A50" s="118" t="s">
        <v>845</v>
      </c>
      <c r="B50" s="756">
        <f>16*62.7</f>
        <v>1003.2</v>
      </c>
      <c r="C50" s="740" t="s">
        <v>817</v>
      </c>
    </row>
    <row r="51" spans="1:6" x14ac:dyDescent="0.3">
      <c r="A51" s="749" t="s">
        <v>844</v>
      </c>
      <c r="B51" s="750"/>
      <c r="C51" s="751">
        <f>12.16*62.7</f>
        <v>762.43200000000002</v>
      </c>
      <c r="D51" s="1008" t="s">
        <v>862</v>
      </c>
    </row>
    <row r="52" spans="1:6" ht="18" thickBot="1" x14ac:dyDescent="0.35">
      <c r="A52" s="753" t="s">
        <v>823</v>
      </c>
      <c r="B52" s="754"/>
      <c r="C52" s="755">
        <v>176</v>
      </c>
      <c r="D52" s="1010"/>
    </row>
    <row r="53" spans="1:6" ht="18" thickBot="1" x14ac:dyDescent="0.35">
      <c r="A53" s="757" t="s">
        <v>827</v>
      </c>
      <c r="B53" s="757"/>
      <c r="C53" s="108"/>
    </row>
    <row r="54" spans="1:6" x14ac:dyDescent="0.3">
      <c r="A54" s="749" t="s">
        <v>846</v>
      </c>
      <c r="B54" s="750"/>
      <c r="C54" s="751">
        <f>46*46.2</f>
        <v>2125.2000000000003</v>
      </c>
      <c r="D54" s="1008" t="s">
        <v>863</v>
      </c>
    </row>
    <row r="55" spans="1:6" x14ac:dyDescent="0.3">
      <c r="A55" s="752" t="s">
        <v>847</v>
      </c>
      <c r="B55" s="743"/>
      <c r="C55" s="744">
        <f>26.6*46.2</f>
        <v>1228.92</v>
      </c>
      <c r="D55" s="1009"/>
    </row>
    <row r="56" spans="1:6" ht="18" thickBot="1" x14ac:dyDescent="0.35">
      <c r="A56" s="753" t="s">
        <v>824</v>
      </c>
      <c r="B56" s="754"/>
      <c r="C56" s="755">
        <v>176</v>
      </c>
      <c r="D56" s="1010"/>
    </row>
    <row r="57" spans="1:6" x14ac:dyDescent="0.3">
      <c r="A57" s="414" t="s">
        <v>19</v>
      </c>
      <c r="B57" s="415">
        <f>SUM(B24:B56)</f>
        <v>11899.822000000002</v>
      </c>
      <c r="C57" s="415">
        <f>SUM(C25:C56)</f>
        <v>17571.928000000004</v>
      </c>
      <c r="E57" s="746">
        <f>SUM(E25:E50)</f>
        <v>9907.1384615384613</v>
      </c>
    </row>
    <row r="58" spans="1:6" x14ac:dyDescent="0.3">
      <c r="A58" s="46" t="s">
        <v>18</v>
      </c>
      <c r="B58" s="47">
        <v>14990</v>
      </c>
    </row>
    <row r="59" spans="1:6" x14ac:dyDescent="0.3">
      <c r="A59" s="469" t="s">
        <v>867</v>
      </c>
      <c r="B59" s="470">
        <f>B58-B57</f>
        <v>3090.1779999999981</v>
      </c>
    </row>
    <row r="60" spans="1:6" x14ac:dyDescent="0.3">
      <c r="B60" s="208"/>
    </row>
    <row r="61" spans="1:6" x14ac:dyDescent="0.3">
      <c r="B61" s="208"/>
    </row>
    <row r="62" spans="1:6" x14ac:dyDescent="0.3">
      <c r="B62" s="208"/>
    </row>
    <row r="63" spans="1:6" x14ac:dyDescent="0.3">
      <c r="F63" s="208"/>
    </row>
    <row r="64" spans="1:6" x14ac:dyDescent="0.3">
      <c r="F64" s="208"/>
    </row>
    <row r="65" spans="5:6" x14ac:dyDescent="0.3">
      <c r="F65" s="208"/>
    </row>
    <row r="66" spans="5:6" x14ac:dyDescent="0.3">
      <c r="E66" s="261"/>
      <c r="F66" s="262"/>
    </row>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activeCell="A2" sqref="A2:XFD2"/>
      <pageMargins left="0.7" right="0.7" top="0.75" bottom="0.75" header="0.3" footer="0.3"/>
    </customSheetView>
  </customSheetViews>
  <mergeCells count="16">
    <mergeCell ref="E25:E26"/>
    <mergeCell ref="D25:D26"/>
    <mergeCell ref="E36:E37"/>
    <mergeCell ref="D47:D48"/>
    <mergeCell ref="D54:D56"/>
    <mergeCell ref="D51:D52"/>
    <mergeCell ref="D31:D32"/>
    <mergeCell ref="D36:D37"/>
    <mergeCell ref="A23:B23"/>
    <mergeCell ref="A34:B34"/>
    <mergeCell ref="A45:B45"/>
    <mergeCell ref="A1:D1"/>
    <mergeCell ref="A2:D2"/>
    <mergeCell ref="A4:B4"/>
    <mergeCell ref="A18:B18"/>
    <mergeCell ref="A22:B22"/>
  </mergeCells>
  <pageMargins left="0.7" right="0.7" top="0.75" bottom="0.75" header="0.3" footer="0.3"/>
  <pageSetup scale="6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9BAD-2CC8-4F94-B31E-B512D4603352}">
  <dimension ref="A1:E20"/>
  <sheetViews>
    <sheetView workbookViewId="0">
      <selection sqref="A1:E1"/>
    </sheetView>
  </sheetViews>
  <sheetFormatPr defaultColWidth="9.140625" defaultRowHeight="17.25" x14ac:dyDescent="0.3"/>
  <cols>
    <col min="1" max="1" width="24.85546875" style="42" customWidth="1"/>
    <col min="2" max="2" width="23.28515625" style="42" customWidth="1"/>
    <col min="3" max="3" width="9.5703125" style="42" bestFit="1" customWidth="1"/>
    <col min="4" max="16384" width="9.140625" style="42"/>
  </cols>
  <sheetData>
    <row r="1" spans="1:5" ht="21.75" thickBot="1" x14ac:dyDescent="0.4">
      <c r="A1" s="878" t="str">
        <f>'DNU  Customer Option Cover Page'!C6</f>
        <v>Olsen Veranda Bay Model #2</v>
      </c>
      <c r="B1" s="879"/>
      <c r="C1" s="879"/>
      <c r="D1" s="879"/>
      <c r="E1" s="881"/>
    </row>
    <row r="2" spans="1:5" ht="18" thickBot="1" x14ac:dyDescent="0.35">
      <c r="A2" s="886" t="str">
        <f>'DNU  Customer Option Cover Page'!C7</f>
        <v xml:space="preserve">183 Stillwater Drive, Flagler Beach </v>
      </c>
      <c r="B2" s="887"/>
      <c r="C2" s="887"/>
      <c r="D2" s="887"/>
      <c r="E2" s="927"/>
    </row>
    <row r="3" spans="1:5" x14ac:dyDescent="0.3">
      <c r="A3" s="108"/>
      <c r="B3" s="108"/>
      <c r="C3" s="108"/>
      <c r="D3" s="108"/>
      <c r="E3" s="108"/>
    </row>
    <row r="4" spans="1:5" x14ac:dyDescent="0.3">
      <c r="A4" s="888" t="s">
        <v>18</v>
      </c>
      <c r="B4" s="888"/>
    </row>
    <row r="5" spans="1:5" x14ac:dyDescent="0.3">
      <c r="A5" s="44"/>
      <c r="B5" s="45"/>
    </row>
    <row r="6" spans="1:5" x14ac:dyDescent="0.3">
      <c r="A6" s="44" t="s">
        <v>555</v>
      </c>
      <c r="B6" s="45">
        <v>650</v>
      </c>
    </row>
    <row r="7" spans="1:5" x14ac:dyDescent="0.3">
      <c r="A7" s="44"/>
      <c r="B7" s="45"/>
    </row>
    <row r="8" spans="1:5" x14ac:dyDescent="0.3">
      <c r="A8" s="46" t="s">
        <v>19</v>
      </c>
      <c r="B8" s="47">
        <f>SUM(B5:B7)</f>
        <v>650</v>
      </c>
    </row>
    <row r="9" spans="1:5" ht="18" thickBot="1" x14ac:dyDescent="0.35"/>
    <row r="10" spans="1:5" ht="331.5" customHeight="1" x14ac:dyDescent="0.3">
      <c r="A10" s="938" t="s">
        <v>227</v>
      </c>
      <c r="B10" s="939"/>
      <c r="C10" s="939"/>
      <c r="D10" s="939"/>
      <c r="E10" s="940"/>
    </row>
    <row r="11" spans="1:5" x14ac:dyDescent="0.3">
      <c r="A11" s="296"/>
      <c r="C11" s="111"/>
      <c r="E11" s="297"/>
    </row>
    <row r="12" spans="1:5" x14ac:dyDescent="0.3">
      <c r="A12" s="458" t="s">
        <v>552</v>
      </c>
      <c r="B12" s="459" t="s">
        <v>553</v>
      </c>
      <c r="C12" s="460" t="s">
        <v>19</v>
      </c>
      <c r="E12" s="297"/>
    </row>
    <row r="13" spans="1:5" x14ac:dyDescent="0.3">
      <c r="A13" s="296" t="s">
        <v>551</v>
      </c>
      <c r="B13" s="42">
        <v>1</v>
      </c>
      <c r="C13" s="111">
        <f>37.96*1.07</f>
        <v>40.617200000000004</v>
      </c>
      <c r="E13" s="297"/>
    </row>
    <row r="14" spans="1:5" x14ac:dyDescent="0.3">
      <c r="A14" s="296"/>
      <c r="C14" s="111"/>
      <c r="E14" s="297"/>
    </row>
    <row r="15" spans="1:5" x14ac:dyDescent="0.3">
      <c r="A15" s="296" t="s">
        <v>554</v>
      </c>
      <c r="B15" s="42">
        <v>2</v>
      </c>
      <c r="C15" s="111">
        <f>29.63*2*1.07</f>
        <v>63.408200000000001</v>
      </c>
      <c r="E15" s="297"/>
    </row>
    <row r="16" spans="1:5" x14ac:dyDescent="0.3">
      <c r="A16" s="296"/>
      <c r="C16" s="111"/>
      <c r="E16" s="297"/>
    </row>
    <row r="17" spans="1:5" x14ac:dyDescent="0.3">
      <c r="A17" s="296"/>
      <c r="B17" s="261" t="s">
        <v>19</v>
      </c>
      <c r="C17" s="372">
        <f>SUM(C13:C16)</f>
        <v>104.0254</v>
      </c>
      <c r="E17" s="297"/>
    </row>
    <row r="18" spans="1:5" x14ac:dyDescent="0.3">
      <c r="A18" s="296"/>
      <c r="B18" s="461" t="s">
        <v>556</v>
      </c>
      <c r="C18" s="462">
        <v>650</v>
      </c>
      <c r="E18" s="297"/>
    </row>
    <row r="19" spans="1:5" x14ac:dyDescent="0.3">
      <c r="A19" s="296"/>
      <c r="B19" s="114" t="s">
        <v>465</v>
      </c>
      <c r="C19" s="111">
        <f>C18-C17</f>
        <v>545.97460000000001</v>
      </c>
      <c r="E19" s="297"/>
    </row>
    <row r="20" spans="1:5" ht="18" thickBot="1" x14ac:dyDescent="0.35">
      <c r="A20" s="389"/>
      <c r="B20" s="292"/>
      <c r="C20" s="393"/>
      <c r="D20" s="292"/>
      <c r="E20" s="293"/>
    </row>
  </sheetData>
  <mergeCells count="4">
    <mergeCell ref="A1:E1"/>
    <mergeCell ref="A2:E2"/>
    <mergeCell ref="A4:B4"/>
    <mergeCell ref="A10:E10"/>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6B9C-972C-4FFD-AEB0-0E3C9CD3F4D0}">
  <sheetPr>
    <pageSetUpPr fitToPage="1"/>
  </sheetPr>
  <dimension ref="A1:G49"/>
  <sheetViews>
    <sheetView topLeftCell="A37" workbookViewId="0">
      <selection activeCell="A45" sqref="A45"/>
    </sheetView>
  </sheetViews>
  <sheetFormatPr defaultColWidth="9.140625" defaultRowHeight="17.25" x14ac:dyDescent="0.3"/>
  <cols>
    <col min="1" max="1" width="55.85546875" style="42" customWidth="1"/>
    <col min="2" max="2" width="15.28515625" style="42" customWidth="1"/>
    <col min="3" max="3" width="18.140625" style="42" customWidth="1"/>
    <col min="4" max="4" width="18" style="42" customWidth="1"/>
    <col min="5" max="5" width="22.7109375" style="42" customWidth="1"/>
    <col min="6" max="6" width="26.7109375" style="42" customWidth="1"/>
    <col min="7" max="7" width="17.42578125" style="42" customWidth="1"/>
    <col min="8" max="8" width="27.28515625" style="42" customWidth="1"/>
    <col min="9" max="16384" width="9.140625" style="42"/>
  </cols>
  <sheetData>
    <row r="1" spans="1:7" ht="21" x14ac:dyDescent="0.35">
      <c r="A1" s="1014" t="str">
        <f>'DNU  Customer Option Cover Page'!C6</f>
        <v>Olsen Veranda Bay Model #2</v>
      </c>
      <c r="B1" s="973"/>
      <c r="C1" s="973"/>
      <c r="D1" s="973"/>
      <c r="E1" s="973"/>
      <c r="F1" s="973"/>
      <c r="G1" s="973"/>
    </row>
    <row r="2" spans="1:7" x14ac:dyDescent="0.3">
      <c r="A2" s="1015" t="str">
        <f>'DNU  Customer Option Cover Page'!C7</f>
        <v xml:space="preserve">183 Stillwater Drive, Flagler Beach </v>
      </c>
      <c r="B2" s="975"/>
      <c r="C2" s="975"/>
      <c r="D2" s="975"/>
      <c r="E2" s="975"/>
      <c r="F2" s="975"/>
      <c r="G2" s="975"/>
    </row>
    <row r="3" spans="1:7" x14ac:dyDescent="0.3">
      <c r="A3" s="108"/>
      <c r="B3" s="108"/>
      <c r="C3" s="108"/>
      <c r="D3" s="108"/>
      <c r="E3" s="108"/>
    </row>
    <row r="4" spans="1:7" x14ac:dyDescent="0.3">
      <c r="A4" s="888" t="s">
        <v>18</v>
      </c>
      <c r="B4" s="888"/>
    </row>
    <row r="5" spans="1:7" x14ac:dyDescent="0.3">
      <c r="A5" s="44"/>
      <c r="B5" s="45"/>
    </row>
    <row r="6" spans="1:7" x14ac:dyDescent="0.3">
      <c r="A6" s="44" t="s">
        <v>111</v>
      </c>
      <c r="B6" s="45">
        <v>16900</v>
      </c>
    </row>
    <row r="7" spans="1:7" x14ac:dyDescent="0.3">
      <c r="A7" s="44" t="s">
        <v>112</v>
      </c>
      <c r="B7" s="45">
        <v>3150</v>
      </c>
    </row>
    <row r="8" spans="1:7" x14ac:dyDescent="0.3">
      <c r="A8" s="44" t="s">
        <v>113</v>
      </c>
      <c r="B8" s="45">
        <v>7000</v>
      </c>
    </row>
    <row r="9" spans="1:7" x14ac:dyDescent="0.3">
      <c r="A9" s="44" t="s">
        <v>114</v>
      </c>
      <c r="B9" s="45">
        <v>0</v>
      </c>
    </row>
    <row r="10" spans="1:7" x14ac:dyDescent="0.3">
      <c r="A10" s="44" t="s">
        <v>115</v>
      </c>
      <c r="B10" s="45">
        <v>1400</v>
      </c>
    </row>
    <row r="11" spans="1:7" x14ac:dyDescent="0.3">
      <c r="A11" s="44" t="s">
        <v>307</v>
      </c>
      <c r="B11" s="45">
        <v>1750</v>
      </c>
    </row>
    <row r="12" spans="1:7" x14ac:dyDescent="0.3">
      <c r="A12" s="44" t="s">
        <v>116</v>
      </c>
      <c r="B12" s="45">
        <v>2300</v>
      </c>
    </row>
    <row r="13" spans="1:7" x14ac:dyDescent="0.3">
      <c r="A13" s="44" t="s">
        <v>117</v>
      </c>
      <c r="B13" s="45">
        <v>3675</v>
      </c>
    </row>
    <row r="14" spans="1:7" x14ac:dyDescent="0.3">
      <c r="A14" s="46" t="s">
        <v>19</v>
      </c>
      <c r="B14" s="47">
        <f>SUM(B5:B13)</f>
        <v>36175</v>
      </c>
    </row>
    <row r="15" spans="1:7" x14ac:dyDescent="0.3">
      <c r="A15" s="114" t="s">
        <v>310</v>
      </c>
      <c r="B15" s="239">
        <f>-(B12)</f>
        <v>-2300</v>
      </c>
    </row>
    <row r="16" spans="1:7" x14ac:dyDescent="0.3">
      <c r="A16" s="114" t="s">
        <v>311</v>
      </c>
      <c r="B16" s="239">
        <f>-(B13)</f>
        <v>-3675</v>
      </c>
    </row>
    <row r="17" spans="1:7" x14ac:dyDescent="0.3">
      <c r="A17" s="46" t="s">
        <v>312</v>
      </c>
      <c r="B17" s="47">
        <f>SUM(B14:B16)</f>
        <v>30200</v>
      </c>
    </row>
    <row r="19" spans="1:7" ht="18" thickBot="1" x14ac:dyDescent="0.35">
      <c r="A19" s="1013" t="s">
        <v>345</v>
      </c>
      <c r="B19" s="1013"/>
      <c r="F19" s="883" t="s">
        <v>591</v>
      </c>
      <c r="G19" s="883"/>
    </row>
    <row r="20" spans="1:7" ht="18" thickBot="1" x14ac:dyDescent="0.35">
      <c r="A20" s="1020" t="s">
        <v>294</v>
      </c>
      <c r="B20" s="1021"/>
      <c r="C20" s="241" t="s">
        <v>184</v>
      </c>
      <c r="D20" s="242" t="s">
        <v>134</v>
      </c>
      <c r="F20" s="1018" t="s">
        <v>294</v>
      </c>
      <c r="G20" s="1019"/>
    </row>
    <row r="21" spans="1:7" x14ac:dyDescent="0.3">
      <c r="A21" s="240" t="s">
        <v>119</v>
      </c>
      <c r="B21" s="209">
        <v>14436</v>
      </c>
      <c r="D21" s="233"/>
      <c r="F21" s="240" t="s">
        <v>592</v>
      </c>
      <c r="G21" s="471">
        <f>15164+301</f>
        <v>15465</v>
      </c>
    </row>
    <row r="22" spans="1:7" x14ac:dyDescent="0.3">
      <c r="A22" s="210" t="s">
        <v>120</v>
      </c>
      <c r="B22" s="113">
        <f>3035+759</f>
        <v>3794</v>
      </c>
      <c r="D22" s="234"/>
      <c r="F22" s="210"/>
      <c r="G22" s="472"/>
    </row>
    <row r="23" spans="1:7" x14ac:dyDescent="0.3">
      <c r="A23" s="210" t="s">
        <v>177</v>
      </c>
      <c r="B23" s="112">
        <f>702+176</f>
        <v>878</v>
      </c>
      <c r="D23" s="234"/>
      <c r="F23" s="210"/>
      <c r="G23" s="473"/>
    </row>
    <row r="24" spans="1:7" x14ac:dyDescent="0.3">
      <c r="A24" s="210" t="s">
        <v>299</v>
      </c>
      <c r="B24" s="211">
        <v>850</v>
      </c>
      <c r="D24" s="234"/>
      <c r="F24" s="210"/>
      <c r="G24" s="474"/>
    </row>
    <row r="25" spans="1:7" x14ac:dyDescent="0.3">
      <c r="A25" s="142" t="s">
        <v>178</v>
      </c>
      <c r="B25" s="212"/>
      <c r="C25" s="232">
        <v>3376</v>
      </c>
      <c r="D25" s="235">
        <f>C25/0.65</f>
        <v>5193.8461538461534</v>
      </c>
      <c r="F25" s="142"/>
      <c r="G25" s="474"/>
    </row>
    <row r="26" spans="1:7" ht="18" thickBot="1" x14ac:dyDescent="0.35">
      <c r="A26" s="143" t="s">
        <v>180</v>
      </c>
      <c r="B26" s="213"/>
      <c r="C26" s="232">
        <v>751</v>
      </c>
      <c r="D26" s="235">
        <f>C26/0.65</f>
        <v>1155.3846153846152</v>
      </c>
      <c r="F26" s="143"/>
      <c r="G26" s="475"/>
    </row>
    <row r="27" spans="1:7" ht="18" thickBot="1" x14ac:dyDescent="0.35">
      <c r="A27" s="971" t="s">
        <v>295</v>
      </c>
      <c r="B27" s="1022"/>
      <c r="D27" s="234"/>
      <c r="F27" s="1018" t="s">
        <v>295</v>
      </c>
      <c r="G27" s="1019"/>
    </row>
    <row r="28" spans="1:7" x14ac:dyDescent="0.3">
      <c r="A28" s="217" t="s">
        <v>181</v>
      </c>
      <c r="B28" s="218">
        <f>1785+446</f>
        <v>2231</v>
      </c>
      <c r="D28" s="234"/>
      <c r="F28" s="217" t="s">
        <v>593</v>
      </c>
      <c r="G28" s="218">
        <f>4690+140</f>
        <v>4830</v>
      </c>
    </row>
    <row r="29" spans="1:7" x14ac:dyDescent="0.3">
      <c r="A29" s="219" t="s">
        <v>182</v>
      </c>
      <c r="B29" s="220">
        <f>1017+254</f>
        <v>1271</v>
      </c>
      <c r="D29" s="234"/>
      <c r="F29" s="219" t="s">
        <v>531</v>
      </c>
      <c r="G29" s="220">
        <f>1402+42</f>
        <v>1444</v>
      </c>
    </row>
    <row r="30" spans="1:7" ht="18" thickBot="1" x14ac:dyDescent="0.35">
      <c r="A30" s="221" t="s">
        <v>113</v>
      </c>
      <c r="B30" s="222">
        <v>4763</v>
      </c>
      <c r="D30" s="234"/>
      <c r="F30" s="221" t="s">
        <v>535</v>
      </c>
      <c r="G30" s="222">
        <f>887+28</f>
        <v>915</v>
      </c>
    </row>
    <row r="31" spans="1:7" x14ac:dyDescent="0.3">
      <c r="A31" s="971" t="s">
        <v>296</v>
      </c>
      <c r="B31" s="1022"/>
      <c r="D31" s="234"/>
      <c r="F31" s="1016" t="s">
        <v>296</v>
      </c>
      <c r="G31" s="1017"/>
    </row>
    <row r="32" spans="1:7" ht="18" thickBot="1" x14ac:dyDescent="0.35">
      <c r="A32" s="143" t="s">
        <v>301</v>
      </c>
      <c r="B32" s="224">
        <f>1516+227</f>
        <v>1743</v>
      </c>
      <c r="D32" s="234"/>
      <c r="F32" s="143" t="s">
        <v>594</v>
      </c>
      <c r="G32" s="224">
        <f>4120+70</f>
        <v>4190</v>
      </c>
    </row>
    <row r="33" spans="1:7" ht="18" thickBot="1" x14ac:dyDescent="0.35">
      <c r="A33" s="143" t="s">
        <v>300</v>
      </c>
      <c r="B33" s="224">
        <f>2082+312</f>
        <v>2394</v>
      </c>
      <c r="D33" s="236">
        <f>B33/0.65</f>
        <v>3683.0769230769229</v>
      </c>
      <c r="F33" s="210"/>
      <c r="G33" s="472"/>
    </row>
    <row r="34" spans="1:7" ht="18" thickBot="1" x14ac:dyDescent="0.35">
      <c r="A34" s="141" t="s">
        <v>309</v>
      </c>
      <c r="B34" s="243"/>
      <c r="C34" s="223">
        <f>1538+231</f>
        <v>1769</v>
      </c>
      <c r="D34" s="236">
        <f>C34/0.65</f>
        <v>2721.5384615384614</v>
      </c>
      <c r="F34" s="476"/>
      <c r="G34" s="475"/>
    </row>
    <row r="35" spans="1:7" ht="18" thickBot="1" x14ac:dyDescent="0.35">
      <c r="A35" s="109" t="s">
        <v>19</v>
      </c>
      <c r="B35" s="110">
        <f>SUM(B21:B34)</f>
        <v>32360</v>
      </c>
      <c r="C35" s="110">
        <f>SUM(C24:C34)</f>
        <v>5896</v>
      </c>
      <c r="D35" s="238">
        <f>SUM(D23:D34)</f>
        <v>12753.846153846152</v>
      </c>
      <c r="F35" s="414" t="s">
        <v>19</v>
      </c>
      <c r="G35" s="415">
        <f>SUM(G21:G34)</f>
        <v>26844</v>
      </c>
    </row>
    <row r="36" spans="1:7" x14ac:dyDescent="0.3">
      <c r="A36" s="46" t="s">
        <v>298</v>
      </c>
      <c r="B36" s="47">
        <v>30200</v>
      </c>
      <c r="C36" s="216"/>
      <c r="D36" s="111"/>
      <c r="F36" s="46" t="s">
        <v>298</v>
      </c>
      <c r="G36" s="47">
        <v>30200</v>
      </c>
    </row>
    <row r="37" spans="1:7" x14ac:dyDescent="0.3">
      <c r="A37" s="281" t="s">
        <v>306</v>
      </c>
      <c r="B37" s="239">
        <f>B36-B35</f>
        <v>-2160</v>
      </c>
      <c r="C37" s="216"/>
      <c r="D37" s="111"/>
      <c r="F37" s="469" t="s">
        <v>465</v>
      </c>
      <c r="G37" s="470">
        <f>G36-G35</f>
        <v>3356</v>
      </c>
    </row>
    <row r="38" spans="1:7" ht="18" thickBot="1" x14ac:dyDescent="0.35">
      <c r="B38" s="108"/>
      <c r="C38" s="216"/>
      <c r="D38" s="111"/>
    </row>
    <row r="39" spans="1:7" ht="18" thickBot="1" x14ac:dyDescent="0.35">
      <c r="A39" s="244" t="s">
        <v>297</v>
      </c>
      <c r="B39" s="229" t="s">
        <v>303</v>
      </c>
      <c r="F39" s="467" t="s">
        <v>597</v>
      </c>
      <c r="G39" s="414" t="s">
        <v>598</v>
      </c>
    </row>
    <row r="40" spans="1:7" ht="18" thickBot="1" x14ac:dyDescent="0.35">
      <c r="A40" s="225" t="s">
        <v>304</v>
      </c>
      <c r="B40" s="226">
        <f>3986+598</f>
        <v>4584</v>
      </c>
      <c r="F40" s="225" t="s">
        <v>304</v>
      </c>
      <c r="G40" s="226">
        <f>1398+42</f>
        <v>1440</v>
      </c>
    </row>
    <row r="41" spans="1:7" ht="18" thickBot="1" x14ac:dyDescent="0.35">
      <c r="A41" s="144" t="s">
        <v>183</v>
      </c>
      <c r="B41" s="145">
        <v>2004</v>
      </c>
      <c r="F41" s="144" t="s">
        <v>596</v>
      </c>
      <c r="G41" s="145">
        <f>1622+28</f>
        <v>1650</v>
      </c>
    </row>
    <row r="42" spans="1:7" x14ac:dyDescent="0.3">
      <c r="A42" s="227" t="s">
        <v>305</v>
      </c>
      <c r="B42" s="237">
        <v>2543</v>
      </c>
      <c r="F42" s="227" t="s">
        <v>595</v>
      </c>
      <c r="G42" s="237">
        <f>2199+56</f>
        <v>2255</v>
      </c>
    </row>
    <row r="43" spans="1:7" x14ac:dyDescent="0.3">
      <c r="A43" s="227" t="s">
        <v>179</v>
      </c>
      <c r="B43" s="228">
        <f>454+114</f>
        <v>568</v>
      </c>
      <c r="F43" s="227"/>
      <c r="G43" s="228"/>
    </row>
    <row r="44" spans="1:7" x14ac:dyDescent="0.3">
      <c r="A44" s="227" t="s">
        <v>302</v>
      </c>
      <c r="B44" s="228">
        <f>6040+1510</f>
        <v>7550</v>
      </c>
      <c r="F44" s="227"/>
      <c r="G44" s="228"/>
    </row>
    <row r="45" spans="1:7" ht="18" thickBot="1" x14ac:dyDescent="0.35">
      <c r="A45" s="214" t="s">
        <v>121</v>
      </c>
      <c r="B45" s="215">
        <v>983</v>
      </c>
      <c r="F45" s="214" t="s">
        <v>121</v>
      </c>
      <c r="G45" s="215">
        <f>1143+28</f>
        <v>1171</v>
      </c>
    </row>
    <row r="46" spans="1:7" ht="18" thickBot="1" x14ac:dyDescent="0.35">
      <c r="A46" s="230" t="s">
        <v>19</v>
      </c>
      <c r="B46" s="231">
        <f>SUM(B40:B45)</f>
        <v>18232</v>
      </c>
      <c r="F46" s="414" t="s">
        <v>19</v>
      </c>
      <c r="G46" s="468">
        <f>SUM(G40:G45)</f>
        <v>6516</v>
      </c>
    </row>
    <row r="47" spans="1:7" x14ac:dyDescent="0.3">
      <c r="C47" s="111"/>
      <c r="D47" s="111"/>
    </row>
    <row r="49" spans="1:2" x14ac:dyDescent="0.3">
      <c r="A49" s="114"/>
      <c r="B49" s="208"/>
    </row>
  </sheetData>
  <customSheetViews>
    <customSheetView guid="{26FE7078-0398-4426-AF83-8A5AF3F4232D}">
      <selection activeCell="A3" sqref="A3:XFD11"/>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activeCell="A2" sqref="A2:XFD2"/>
      <pageMargins left="0.7" right="0.7" top="0.75" bottom="0.75" header="0.3" footer="0.3"/>
    </customSheetView>
  </customSheetViews>
  <mergeCells count="11">
    <mergeCell ref="F31:G31"/>
    <mergeCell ref="F20:G20"/>
    <mergeCell ref="F27:G27"/>
    <mergeCell ref="A20:B20"/>
    <mergeCell ref="A27:B27"/>
    <mergeCell ref="A31:B31"/>
    <mergeCell ref="A4:B4"/>
    <mergeCell ref="A19:B19"/>
    <mergeCell ref="A1:G1"/>
    <mergeCell ref="A2:G2"/>
    <mergeCell ref="F19:G19"/>
  </mergeCells>
  <pageMargins left="0.7" right="0.7" top="0.75" bottom="0.75" header="0.3" footer="0.3"/>
  <pageSetup scale="6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CD2B-52A4-4A77-A92A-79819CFE4968}">
  <dimension ref="A1:D50"/>
  <sheetViews>
    <sheetView workbookViewId="0">
      <selection activeCell="B14" sqref="B14"/>
    </sheetView>
  </sheetViews>
  <sheetFormatPr defaultColWidth="9.140625" defaultRowHeight="17.25" x14ac:dyDescent="0.3"/>
  <cols>
    <col min="1" max="1" width="31.5703125" style="42" customWidth="1"/>
    <col min="2" max="2" width="19.85546875" style="42" customWidth="1"/>
    <col min="3" max="16384" width="9.140625" style="42"/>
  </cols>
  <sheetData>
    <row r="1" spans="1:4" ht="21.75" thickBot="1" x14ac:dyDescent="0.4">
      <c r="A1" s="878" t="str">
        <f>'DNU  Customer Option Cover Page'!C6</f>
        <v>Olsen Veranda Bay Model #2</v>
      </c>
      <c r="B1" s="879"/>
      <c r="C1" s="879"/>
      <c r="D1" s="881"/>
    </row>
    <row r="2" spans="1:4" ht="18" thickBot="1" x14ac:dyDescent="0.35">
      <c r="A2" s="886" t="str">
        <f>'DNU  Customer Option Cover Page'!C7</f>
        <v xml:space="preserve">183 Stillwater Drive, Flagler Beach </v>
      </c>
      <c r="B2" s="887"/>
      <c r="C2" s="887"/>
      <c r="D2" s="927"/>
    </row>
    <row r="3" spans="1:4" x14ac:dyDescent="0.3">
      <c r="A3" s="108"/>
      <c r="B3" s="108"/>
      <c r="C3" s="108"/>
      <c r="D3" s="108"/>
    </row>
    <row r="4" spans="1:4" x14ac:dyDescent="0.3">
      <c r="A4" s="888" t="s">
        <v>18</v>
      </c>
      <c r="B4" s="888"/>
    </row>
    <row r="5" spans="1:4" x14ac:dyDescent="0.3">
      <c r="A5" s="44"/>
      <c r="B5" s="45"/>
    </row>
    <row r="6" spans="1:4" x14ac:dyDescent="0.3">
      <c r="A6" s="44" t="s">
        <v>569</v>
      </c>
      <c r="B6" s="45">
        <v>1500</v>
      </c>
    </row>
    <row r="7" spans="1:4" x14ac:dyDescent="0.3">
      <c r="A7" s="44" t="s">
        <v>570</v>
      </c>
      <c r="B7" s="45">
        <v>1650</v>
      </c>
    </row>
    <row r="8" spans="1:4" x14ac:dyDescent="0.3">
      <c r="A8" s="44" t="s">
        <v>571</v>
      </c>
      <c r="B8" s="45">
        <v>3500</v>
      </c>
    </row>
    <row r="9" spans="1:4" x14ac:dyDescent="0.3">
      <c r="A9" s="44" t="s">
        <v>572</v>
      </c>
      <c r="B9" s="45">
        <v>3238</v>
      </c>
    </row>
    <row r="10" spans="1:4" x14ac:dyDescent="0.3">
      <c r="A10" s="44" t="s">
        <v>573</v>
      </c>
      <c r="B10" s="45">
        <v>1347</v>
      </c>
    </row>
    <row r="11" spans="1:4" x14ac:dyDescent="0.3">
      <c r="A11" s="44"/>
      <c r="B11" s="45"/>
    </row>
    <row r="12" spans="1:4" x14ac:dyDescent="0.3">
      <c r="A12" s="46" t="s">
        <v>19</v>
      </c>
      <c r="B12" s="47">
        <f>SUM(B6:B11)</f>
        <v>11235</v>
      </c>
    </row>
    <row r="13" spans="1:4" x14ac:dyDescent="0.3">
      <c r="A13" s="465" t="s">
        <v>585</v>
      </c>
      <c r="B13" s="415">
        <f>7104.01+789.33</f>
        <v>7893.34</v>
      </c>
    </row>
    <row r="14" spans="1:4" x14ac:dyDescent="0.3">
      <c r="A14" s="261" t="s">
        <v>465</v>
      </c>
      <c r="B14" s="262">
        <f>B12-B13</f>
        <v>3341.66</v>
      </c>
    </row>
    <row r="15" spans="1:4" ht="18" thickBot="1" x14ac:dyDescent="0.35"/>
    <row r="16" spans="1:4" ht="173.25" customHeight="1" x14ac:dyDescent="0.3">
      <c r="A16" s="938" t="s">
        <v>283</v>
      </c>
      <c r="B16" s="939"/>
      <c r="C16" s="939"/>
      <c r="D16" s="940"/>
    </row>
    <row r="17" spans="1:4" x14ac:dyDescent="0.3">
      <c r="A17" s="296"/>
      <c r="B17" s="111"/>
      <c r="D17" s="297"/>
    </row>
    <row r="18" spans="1:4" x14ac:dyDescent="0.3">
      <c r="A18" s="464" t="s">
        <v>574</v>
      </c>
      <c r="B18" s="111"/>
      <c r="D18" s="297"/>
    </row>
    <row r="19" spans="1:4" x14ac:dyDescent="0.3">
      <c r="A19" s="296" t="s">
        <v>575</v>
      </c>
      <c r="B19" s="111">
        <v>3500</v>
      </c>
      <c r="D19" s="297"/>
    </row>
    <row r="20" spans="1:4" x14ac:dyDescent="0.3">
      <c r="A20" s="296" t="s">
        <v>576</v>
      </c>
      <c r="B20" s="111"/>
      <c r="D20" s="297"/>
    </row>
    <row r="21" spans="1:4" x14ac:dyDescent="0.3">
      <c r="A21" s="296"/>
      <c r="B21" s="111"/>
      <c r="D21" s="297"/>
    </row>
    <row r="22" spans="1:4" x14ac:dyDescent="0.3">
      <c r="A22" s="464" t="s">
        <v>577</v>
      </c>
      <c r="B22" s="111"/>
      <c r="D22" s="297"/>
    </row>
    <row r="23" spans="1:4" x14ac:dyDescent="0.3">
      <c r="A23" s="296" t="s">
        <v>578</v>
      </c>
      <c r="B23" s="111">
        <v>2369.11</v>
      </c>
      <c r="D23" s="297"/>
    </row>
    <row r="24" spans="1:4" x14ac:dyDescent="0.3">
      <c r="A24" s="296" t="s">
        <v>579</v>
      </c>
      <c r="B24" s="120"/>
      <c r="D24" s="297"/>
    </row>
    <row r="25" spans="1:4" x14ac:dyDescent="0.3">
      <c r="A25" s="394" t="s">
        <v>9</v>
      </c>
      <c r="B25" s="111">
        <f>B19-B23</f>
        <v>1130.8899999999999</v>
      </c>
      <c r="D25" s="297"/>
    </row>
    <row r="26" spans="1:4" ht="18" thickBot="1" x14ac:dyDescent="0.35">
      <c r="A26" s="967" t="s">
        <v>580</v>
      </c>
      <c r="B26" s="1023"/>
      <c r="C26" s="292"/>
      <c r="D26" s="293"/>
    </row>
    <row r="27" spans="1:4" ht="18" thickBot="1" x14ac:dyDescent="0.35">
      <c r="B27" s="111"/>
    </row>
    <row r="28" spans="1:4" ht="87.75" customHeight="1" x14ac:dyDescent="0.3">
      <c r="A28" s="938" t="s">
        <v>285</v>
      </c>
      <c r="B28" s="939"/>
      <c r="C28" s="939"/>
      <c r="D28" s="940"/>
    </row>
    <row r="29" spans="1:4" x14ac:dyDescent="0.3">
      <c r="A29" s="296"/>
      <c r="D29" s="297"/>
    </row>
    <row r="30" spans="1:4" x14ac:dyDescent="0.3">
      <c r="A30" s="464" t="s">
        <v>574</v>
      </c>
      <c r="B30" s="111"/>
      <c r="D30" s="297"/>
    </row>
    <row r="31" spans="1:4" x14ac:dyDescent="0.3">
      <c r="A31" s="296" t="s">
        <v>582</v>
      </c>
      <c r="B31" s="111">
        <v>1500</v>
      </c>
      <c r="D31" s="297"/>
    </row>
    <row r="32" spans="1:4" x14ac:dyDescent="0.3">
      <c r="A32" s="296"/>
      <c r="B32" s="111"/>
      <c r="D32" s="297"/>
    </row>
    <row r="33" spans="1:4" x14ac:dyDescent="0.3">
      <c r="A33" s="296"/>
      <c r="B33" s="111"/>
      <c r="D33" s="297"/>
    </row>
    <row r="34" spans="1:4" x14ac:dyDescent="0.3">
      <c r="A34" s="464" t="s">
        <v>577</v>
      </c>
      <c r="B34" s="111"/>
      <c r="D34" s="297"/>
    </row>
    <row r="35" spans="1:4" x14ac:dyDescent="0.3">
      <c r="A35" s="296" t="s">
        <v>582</v>
      </c>
      <c r="B35" s="111">
        <v>1420</v>
      </c>
      <c r="D35" s="297"/>
    </row>
    <row r="36" spans="1:4" x14ac:dyDescent="0.3">
      <c r="A36" s="296"/>
      <c r="B36" s="120"/>
      <c r="D36" s="297"/>
    </row>
    <row r="37" spans="1:4" x14ac:dyDescent="0.3">
      <c r="A37" s="394" t="s">
        <v>9</v>
      </c>
      <c r="B37" s="111">
        <f>B31-B35</f>
        <v>80</v>
      </c>
      <c r="D37" s="297"/>
    </row>
    <row r="38" spans="1:4" ht="18" thickBot="1" x14ac:dyDescent="0.35">
      <c r="A38" s="967" t="s">
        <v>580</v>
      </c>
      <c r="B38" s="1023"/>
      <c r="C38" s="292"/>
      <c r="D38" s="293"/>
    </row>
    <row r="39" spans="1:4" ht="18" thickBot="1" x14ac:dyDescent="0.35"/>
    <row r="40" spans="1:4" ht="78" customHeight="1" x14ac:dyDescent="0.3">
      <c r="A40" s="938" t="s">
        <v>286</v>
      </c>
      <c r="B40" s="939"/>
      <c r="C40" s="939"/>
      <c r="D40" s="940"/>
    </row>
    <row r="41" spans="1:4" x14ac:dyDescent="0.3">
      <c r="A41" s="296"/>
      <c r="D41" s="297"/>
    </row>
    <row r="42" spans="1:4" x14ac:dyDescent="0.3">
      <c r="A42" s="464" t="s">
        <v>574</v>
      </c>
      <c r="B42" s="111"/>
      <c r="D42" s="297"/>
    </row>
    <row r="43" spans="1:4" x14ac:dyDescent="0.3">
      <c r="A43" s="296" t="s">
        <v>583</v>
      </c>
      <c r="B43" s="111">
        <v>1650</v>
      </c>
      <c r="D43" s="297"/>
    </row>
    <row r="44" spans="1:4" x14ac:dyDescent="0.3">
      <c r="A44" s="296" t="s">
        <v>584</v>
      </c>
      <c r="B44" s="111"/>
      <c r="D44" s="297"/>
    </row>
    <row r="45" spans="1:4" x14ac:dyDescent="0.3">
      <c r="A45" s="296"/>
      <c r="B45" s="111"/>
      <c r="D45" s="297"/>
    </row>
    <row r="46" spans="1:4" x14ac:dyDescent="0.3">
      <c r="A46" s="464" t="s">
        <v>577</v>
      </c>
      <c r="B46" s="111"/>
      <c r="D46" s="297"/>
    </row>
    <row r="47" spans="1:4" x14ac:dyDescent="0.3">
      <c r="A47" s="296" t="s">
        <v>583</v>
      </c>
      <c r="B47" s="111">
        <v>1557.23</v>
      </c>
      <c r="D47" s="297"/>
    </row>
    <row r="48" spans="1:4" x14ac:dyDescent="0.3">
      <c r="A48" s="296" t="s">
        <v>584</v>
      </c>
      <c r="B48" s="120"/>
      <c r="D48" s="297"/>
    </row>
    <row r="49" spans="1:4" x14ac:dyDescent="0.3">
      <c r="A49" s="394" t="s">
        <v>9</v>
      </c>
      <c r="B49" s="111">
        <f>B43-B47</f>
        <v>92.769999999999982</v>
      </c>
      <c r="D49" s="297"/>
    </row>
    <row r="50" spans="1:4" ht="18" thickBot="1" x14ac:dyDescent="0.35">
      <c r="A50" s="967" t="s">
        <v>580</v>
      </c>
      <c r="B50" s="1023"/>
      <c r="C50" s="292"/>
      <c r="D50" s="293"/>
    </row>
  </sheetData>
  <mergeCells count="9">
    <mergeCell ref="A50:B50"/>
    <mergeCell ref="A1:D1"/>
    <mergeCell ref="A2:D2"/>
    <mergeCell ref="A4:B4"/>
    <mergeCell ref="A16:D16"/>
    <mergeCell ref="A28:D28"/>
    <mergeCell ref="A40:D40"/>
    <mergeCell ref="A26:B26"/>
    <mergeCell ref="A38:B38"/>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7527-8564-47CC-B195-9E1E95BB2418}">
  <dimension ref="A1:O86"/>
  <sheetViews>
    <sheetView topLeftCell="A8" workbookViewId="0">
      <selection activeCell="M10" sqref="M10"/>
    </sheetView>
  </sheetViews>
  <sheetFormatPr defaultRowHeight="15" x14ac:dyDescent="0.25"/>
  <cols>
    <col min="1" max="1" width="21.140625" customWidth="1"/>
    <col min="2" max="2" width="5.7109375" customWidth="1"/>
    <col min="8" max="8" width="0" hidden="1" customWidth="1"/>
    <col min="9" max="9" width="10.5703125" hidden="1" customWidth="1"/>
    <col min="10" max="10" width="11" hidden="1" customWidth="1"/>
    <col min="11" max="12" width="0" hidden="1" customWidth="1"/>
    <col min="13" max="13" width="10.5703125" bestFit="1" customWidth="1"/>
    <col min="14" max="14" width="15.42578125" customWidth="1"/>
    <col min="15" max="15" width="11.28515625" customWidth="1"/>
  </cols>
  <sheetData>
    <row r="1" spans="1:15" ht="19.5" x14ac:dyDescent="0.3">
      <c r="A1" s="1024" t="s">
        <v>476</v>
      </c>
      <c r="B1" s="1024"/>
      <c r="C1" s="1024"/>
      <c r="D1" s="1024"/>
      <c r="E1" s="1024"/>
      <c r="F1" s="1024"/>
      <c r="G1" s="1024"/>
      <c r="H1" s="1024"/>
      <c r="I1" s="1024"/>
      <c r="J1" s="1024"/>
      <c r="K1" s="1024"/>
      <c r="L1" s="1024"/>
      <c r="M1" s="1024"/>
      <c r="N1" s="1024"/>
      <c r="O1" s="1024"/>
    </row>
    <row r="3" spans="1:15" ht="21" x14ac:dyDescent="0.25">
      <c r="A3" s="1025" t="s">
        <v>477</v>
      </c>
      <c r="B3" s="1025"/>
      <c r="C3" s="1025"/>
      <c r="D3" s="1025"/>
      <c r="E3" s="1025"/>
      <c r="F3" s="1025"/>
      <c r="G3" s="1025"/>
      <c r="H3" s="1025"/>
      <c r="I3" s="1025"/>
      <c r="J3" s="1025"/>
      <c r="K3" s="1025"/>
    </row>
    <row r="4" spans="1:15" ht="15.75" x14ac:dyDescent="0.25">
      <c r="A4" s="434"/>
      <c r="B4" s="435"/>
      <c r="C4" s="435"/>
      <c r="D4" s="435"/>
      <c r="E4" s="435"/>
      <c r="F4" s="435"/>
      <c r="G4" s="435"/>
      <c r="O4" s="436" t="s">
        <v>478</v>
      </c>
    </row>
    <row r="5" spans="1:15" ht="15.75" x14ac:dyDescent="0.25">
      <c r="A5" s="434" t="s">
        <v>479</v>
      </c>
      <c r="B5" s="1026" t="s">
        <v>480</v>
      </c>
      <c r="C5" s="1027"/>
      <c r="D5" s="1027"/>
      <c r="E5" s="1027"/>
      <c r="F5" s="435"/>
      <c r="G5" s="435"/>
    </row>
    <row r="6" spans="1:15" ht="15.75" x14ac:dyDescent="0.25">
      <c r="A6" s="434" t="s">
        <v>481</v>
      </c>
      <c r="B6" s="1029" t="s">
        <v>482</v>
      </c>
      <c r="C6" s="1030"/>
      <c r="D6" s="1030"/>
      <c r="E6" s="1030"/>
      <c r="F6" s="1030"/>
      <c r="G6" s="1027"/>
      <c r="M6" s="439"/>
      <c r="O6" s="440">
        <v>2600</v>
      </c>
    </row>
    <row r="7" spans="1:15" ht="27.75" customHeight="1" x14ac:dyDescent="0.25">
      <c r="A7" s="441" t="s">
        <v>483</v>
      </c>
      <c r="B7" s="1031" t="s">
        <v>484</v>
      </c>
      <c r="C7" s="1032"/>
      <c r="D7" s="1032"/>
      <c r="E7" s="1032"/>
      <c r="F7" s="1032"/>
      <c r="G7" s="435"/>
    </row>
    <row r="8" spans="1:15" ht="15.75" x14ac:dyDescent="0.25">
      <c r="A8" s="434" t="s">
        <v>485</v>
      </c>
      <c r="B8" s="1029" t="s">
        <v>486</v>
      </c>
      <c r="C8" s="1030"/>
      <c r="D8" s="1030"/>
      <c r="E8" s="1030"/>
      <c r="F8" s="1030"/>
      <c r="G8" s="1030"/>
    </row>
    <row r="9" spans="1:15" ht="15.75" x14ac:dyDescent="0.25">
      <c r="A9" s="434" t="s">
        <v>487</v>
      </c>
      <c r="B9" s="437" t="s">
        <v>488</v>
      </c>
      <c r="C9" s="438"/>
      <c r="D9" s="438"/>
      <c r="E9" s="438"/>
      <c r="F9" s="438"/>
      <c r="G9" s="438"/>
    </row>
    <row r="10" spans="1:15" ht="15.75" x14ac:dyDescent="0.25">
      <c r="A10" s="434"/>
      <c r="B10" s="437"/>
      <c r="C10" s="438"/>
      <c r="D10" s="438"/>
      <c r="E10" s="438"/>
      <c r="F10" s="438"/>
      <c r="G10" s="438"/>
    </row>
    <row r="11" spans="1:15" ht="15.75" x14ac:dyDescent="0.25">
      <c r="A11" s="1028" t="s">
        <v>489</v>
      </c>
      <c r="B11" s="1028"/>
      <c r="C11" s="1028"/>
      <c r="D11" s="1028"/>
      <c r="E11" s="438"/>
      <c r="F11" s="438"/>
      <c r="G11" s="438"/>
    </row>
    <row r="12" spans="1:15" x14ac:dyDescent="0.25">
      <c r="A12" s="41" t="s">
        <v>490</v>
      </c>
      <c r="B12" s="442">
        <v>1</v>
      </c>
      <c r="C12" t="s">
        <v>491</v>
      </c>
      <c r="E12" s="438"/>
      <c r="F12" s="438"/>
      <c r="G12" s="438"/>
    </row>
    <row r="13" spans="1:15" x14ac:dyDescent="0.25">
      <c r="A13" s="41" t="s">
        <v>492</v>
      </c>
      <c r="B13" s="438"/>
      <c r="C13" s="438" t="s">
        <v>493</v>
      </c>
      <c r="D13" s="438"/>
      <c r="E13" s="438"/>
      <c r="F13" s="438"/>
      <c r="G13" s="438"/>
    </row>
    <row r="14" spans="1:15" x14ac:dyDescent="0.25">
      <c r="A14" s="41" t="s">
        <v>494</v>
      </c>
      <c r="B14" s="442"/>
      <c r="C14" s="438" t="s">
        <v>495</v>
      </c>
      <c r="E14" s="438"/>
      <c r="F14" s="438"/>
      <c r="G14" s="438"/>
    </row>
    <row r="15" spans="1:15" x14ac:dyDescent="0.25">
      <c r="A15" s="41" t="s">
        <v>496</v>
      </c>
      <c r="B15" s="442"/>
      <c r="C15" t="s">
        <v>497</v>
      </c>
      <c r="E15" s="438"/>
      <c r="F15" s="438"/>
      <c r="G15" s="438"/>
    </row>
    <row r="16" spans="1:15" x14ac:dyDescent="0.25">
      <c r="A16" s="41" t="s">
        <v>498</v>
      </c>
      <c r="B16" s="442">
        <v>1</v>
      </c>
      <c r="E16" s="438"/>
      <c r="F16" s="438"/>
      <c r="G16" s="438"/>
    </row>
    <row r="17" spans="1:15" x14ac:dyDescent="0.25">
      <c r="A17" s="41" t="s">
        <v>499</v>
      </c>
      <c r="B17" s="442">
        <v>1</v>
      </c>
      <c r="E17" s="438"/>
      <c r="F17" s="438"/>
      <c r="G17" s="438"/>
    </row>
    <row r="18" spans="1:15" x14ac:dyDescent="0.25">
      <c r="A18" s="41" t="s">
        <v>500</v>
      </c>
      <c r="B18" s="442">
        <v>4</v>
      </c>
      <c r="E18" s="438"/>
      <c r="F18" s="438"/>
      <c r="G18" s="438"/>
    </row>
    <row r="19" spans="1:15" x14ac:dyDescent="0.25">
      <c r="A19" s="41"/>
      <c r="B19" s="442"/>
      <c r="E19" s="438"/>
      <c r="F19" s="438"/>
      <c r="G19" s="438"/>
    </row>
    <row r="20" spans="1:15" x14ac:dyDescent="0.25">
      <c r="A20" s="41"/>
      <c r="B20" s="442"/>
      <c r="E20" s="438"/>
      <c r="F20" s="438"/>
      <c r="G20" s="438"/>
    </row>
    <row r="21" spans="1:15" ht="18.75" x14ac:dyDescent="0.25">
      <c r="A21" s="1033" t="s">
        <v>501</v>
      </c>
      <c r="B21" s="1033"/>
      <c r="C21" s="1033"/>
      <c r="D21" s="1033"/>
      <c r="E21" s="1033"/>
      <c r="F21" s="1033"/>
      <c r="G21" s="1033"/>
      <c r="H21" s="1033"/>
      <c r="I21" s="1033"/>
      <c r="J21" s="1033"/>
      <c r="K21" s="1033"/>
      <c r="O21" s="443" t="s">
        <v>366</v>
      </c>
    </row>
    <row r="22" spans="1:15" ht="15.75" x14ac:dyDescent="0.25">
      <c r="A22" s="1028" t="s">
        <v>120</v>
      </c>
      <c r="B22" s="1028"/>
      <c r="C22" s="1028"/>
      <c r="D22" s="1028"/>
      <c r="O22" s="453" t="s">
        <v>502</v>
      </c>
    </row>
    <row r="23" spans="1:15" ht="15.75" x14ac:dyDescent="0.25">
      <c r="A23" s="444"/>
      <c r="B23" s="444" t="s">
        <v>503</v>
      </c>
      <c r="C23" s="444"/>
      <c r="D23" s="444"/>
    </row>
    <row r="24" spans="1:15" x14ac:dyDescent="0.25">
      <c r="A24" s="41" t="s">
        <v>504</v>
      </c>
      <c r="B24" s="442">
        <v>1</v>
      </c>
      <c r="C24" t="s">
        <v>505</v>
      </c>
    </row>
    <row r="25" spans="1:15" x14ac:dyDescent="0.25">
      <c r="A25" s="41" t="s">
        <v>506</v>
      </c>
      <c r="B25" s="442">
        <v>1</v>
      </c>
      <c r="C25" t="s">
        <v>507</v>
      </c>
      <c r="O25" s="445">
        <f>459*1.07</f>
        <v>491.13000000000005</v>
      </c>
    </row>
    <row r="26" spans="1:15" x14ac:dyDescent="0.25">
      <c r="A26" s="41" t="s">
        <v>508</v>
      </c>
      <c r="B26" s="442">
        <v>1</v>
      </c>
      <c r="C26" t="s">
        <v>509</v>
      </c>
      <c r="O26" s="445">
        <f>154.23*1.07</f>
        <v>165.02609999999999</v>
      </c>
    </row>
    <row r="27" spans="1:15" x14ac:dyDescent="0.25">
      <c r="A27" s="41" t="s">
        <v>510</v>
      </c>
      <c r="B27" s="442"/>
      <c r="C27" t="s">
        <v>511</v>
      </c>
    </row>
    <row r="28" spans="1:15" x14ac:dyDescent="0.25">
      <c r="A28" s="41" t="s">
        <v>512</v>
      </c>
      <c r="B28" s="442"/>
      <c r="C28" t="s">
        <v>511</v>
      </c>
    </row>
    <row r="29" spans="1:15" x14ac:dyDescent="0.25">
      <c r="A29" s="41"/>
      <c r="B29" s="41"/>
    </row>
    <row r="30" spans="1:15" ht="15.75" x14ac:dyDescent="0.25">
      <c r="A30" s="1028" t="s">
        <v>513</v>
      </c>
      <c r="B30" s="1028"/>
      <c r="C30" s="1028"/>
      <c r="D30" s="1028"/>
    </row>
    <row r="31" spans="1:15" ht="15.75" x14ac:dyDescent="0.25">
      <c r="A31" s="444"/>
      <c r="B31" s="444" t="s">
        <v>503</v>
      </c>
      <c r="C31" s="444"/>
      <c r="D31" s="444"/>
    </row>
    <row r="32" spans="1:15" x14ac:dyDescent="0.25">
      <c r="A32" s="41" t="s">
        <v>514</v>
      </c>
      <c r="B32" s="442">
        <v>1</v>
      </c>
      <c r="C32" t="s">
        <v>515</v>
      </c>
    </row>
    <row r="33" spans="1:15" x14ac:dyDescent="0.25">
      <c r="A33" s="41" t="s">
        <v>506</v>
      </c>
      <c r="B33" s="442">
        <v>1</v>
      </c>
      <c r="C33" t="s">
        <v>507</v>
      </c>
      <c r="O33" s="445">
        <f>459*1.07</f>
        <v>491.13000000000005</v>
      </c>
    </row>
    <row r="34" spans="1:15" x14ac:dyDescent="0.25">
      <c r="A34" s="41"/>
      <c r="B34" s="41"/>
    </row>
    <row r="35" spans="1:15" ht="15.75" x14ac:dyDescent="0.25">
      <c r="A35" s="1028" t="s">
        <v>304</v>
      </c>
      <c r="B35" s="1028"/>
      <c r="C35" s="1028"/>
      <c r="D35" s="1028"/>
    </row>
    <row r="36" spans="1:15" ht="15.75" x14ac:dyDescent="0.25">
      <c r="A36" s="444"/>
      <c r="B36" s="444" t="s">
        <v>503</v>
      </c>
      <c r="C36" s="444"/>
      <c r="D36" s="444"/>
    </row>
    <row r="37" spans="1:15" x14ac:dyDescent="0.25">
      <c r="A37" s="41" t="s">
        <v>514</v>
      </c>
      <c r="B37" s="442">
        <v>1</v>
      </c>
      <c r="C37" t="s">
        <v>515</v>
      </c>
    </row>
    <row r="38" spans="1:15" x14ac:dyDescent="0.25">
      <c r="A38" s="41" t="s">
        <v>506</v>
      </c>
      <c r="B38" s="442">
        <v>1</v>
      </c>
      <c r="C38" t="s">
        <v>507</v>
      </c>
      <c r="O38" s="445">
        <f>459*1.07</f>
        <v>491.13000000000005</v>
      </c>
    </row>
    <row r="39" spans="1:15" x14ac:dyDescent="0.25">
      <c r="A39" s="41"/>
      <c r="B39" s="41"/>
    </row>
    <row r="40" spans="1:15" ht="15.75" x14ac:dyDescent="0.25">
      <c r="A40" s="1028" t="s">
        <v>516</v>
      </c>
      <c r="B40" s="1028"/>
      <c r="C40" s="1028"/>
      <c r="D40" s="1028"/>
    </row>
    <row r="41" spans="1:15" ht="15.75" x14ac:dyDescent="0.25">
      <c r="A41" s="444"/>
      <c r="B41" s="444" t="s">
        <v>503</v>
      </c>
      <c r="C41" s="444"/>
      <c r="D41" s="444"/>
    </row>
    <row r="42" spans="1:15" x14ac:dyDescent="0.25">
      <c r="A42" s="41" t="s">
        <v>514</v>
      </c>
      <c r="B42" s="442">
        <v>1</v>
      </c>
      <c r="C42" t="s">
        <v>515</v>
      </c>
    </row>
    <row r="43" spans="1:15" x14ac:dyDescent="0.25">
      <c r="A43" s="41" t="s">
        <v>506</v>
      </c>
      <c r="B43" s="442">
        <v>1</v>
      </c>
      <c r="C43" t="s">
        <v>507</v>
      </c>
      <c r="O43" s="445">
        <f>459*1.07</f>
        <v>491.13000000000005</v>
      </c>
    </row>
    <row r="44" spans="1:15" x14ac:dyDescent="0.25">
      <c r="A44" s="41"/>
      <c r="B44" s="41"/>
    </row>
    <row r="45" spans="1:15" ht="15.75" x14ac:dyDescent="0.25">
      <c r="A45" s="1028" t="s">
        <v>517</v>
      </c>
      <c r="B45" s="1028"/>
      <c r="C45" s="1028"/>
      <c r="D45" s="1028"/>
    </row>
    <row r="46" spans="1:15" ht="15.75" x14ac:dyDescent="0.25">
      <c r="A46" s="444"/>
      <c r="B46" s="444" t="s">
        <v>503</v>
      </c>
      <c r="C46" s="444"/>
      <c r="D46" s="444"/>
    </row>
    <row r="47" spans="1:15" x14ac:dyDescent="0.25">
      <c r="A47" s="41" t="s">
        <v>514</v>
      </c>
      <c r="B47" s="442">
        <v>2</v>
      </c>
      <c r="C47" t="s">
        <v>518</v>
      </c>
    </row>
    <row r="48" spans="1:15" x14ac:dyDescent="0.25">
      <c r="A48" s="41" t="s">
        <v>506</v>
      </c>
      <c r="B48" s="442">
        <v>2</v>
      </c>
      <c r="C48" t="s">
        <v>519</v>
      </c>
      <c r="O48" s="445">
        <f>600*1.07</f>
        <v>642</v>
      </c>
    </row>
    <row r="49" spans="1:15" x14ac:dyDescent="0.25">
      <c r="A49" s="41" t="s">
        <v>520</v>
      </c>
      <c r="B49" s="442">
        <v>1</v>
      </c>
      <c r="C49" t="s">
        <v>521</v>
      </c>
      <c r="O49" s="446">
        <f>225.72*1.07</f>
        <v>241.52040000000002</v>
      </c>
    </row>
    <row r="50" spans="1:15" x14ac:dyDescent="0.25">
      <c r="A50" s="41" t="s">
        <v>522</v>
      </c>
      <c r="B50" s="442">
        <v>1</v>
      </c>
      <c r="C50" t="s">
        <v>523</v>
      </c>
      <c r="O50" s="445">
        <f>494*1.07</f>
        <v>528.58000000000004</v>
      </c>
    </row>
    <row r="51" spans="1:15" x14ac:dyDescent="0.25">
      <c r="A51" s="41" t="s">
        <v>524</v>
      </c>
      <c r="B51" s="442">
        <v>1</v>
      </c>
      <c r="C51" s="1030" t="s">
        <v>525</v>
      </c>
      <c r="D51" s="1030"/>
      <c r="E51" s="1030"/>
      <c r="F51" s="1030"/>
      <c r="G51" s="1030"/>
      <c r="H51" s="1030"/>
      <c r="I51" s="1030"/>
      <c r="J51" s="1030"/>
      <c r="O51" s="445">
        <v>412</v>
      </c>
    </row>
    <row r="52" spans="1:15" x14ac:dyDescent="0.25">
      <c r="B52" s="442"/>
      <c r="C52" t="s">
        <v>526</v>
      </c>
    </row>
    <row r="53" spans="1:15" x14ac:dyDescent="0.25">
      <c r="A53" s="41" t="s">
        <v>527</v>
      </c>
      <c r="B53" s="442">
        <v>1</v>
      </c>
      <c r="C53" t="s">
        <v>528</v>
      </c>
      <c r="I53" s="439">
        <v>1200</v>
      </c>
      <c r="O53" s="445">
        <v>1500</v>
      </c>
    </row>
    <row r="54" spans="1:15" x14ac:dyDescent="0.25">
      <c r="A54" s="41" t="s">
        <v>529</v>
      </c>
      <c r="B54" s="442"/>
      <c r="C54" t="s">
        <v>530</v>
      </c>
    </row>
    <row r="56" spans="1:15" ht="15.75" x14ac:dyDescent="0.25">
      <c r="A56" s="1028" t="s">
        <v>531</v>
      </c>
      <c r="B56" s="1028"/>
      <c r="C56" s="1028"/>
      <c r="D56" s="1028"/>
    </row>
    <row r="57" spans="1:15" ht="15.75" x14ac:dyDescent="0.25">
      <c r="A57" s="444"/>
      <c r="B57" s="444" t="s">
        <v>503</v>
      </c>
      <c r="C57" s="444"/>
      <c r="D57" s="444"/>
    </row>
    <row r="58" spans="1:15" x14ac:dyDescent="0.25">
      <c r="A58" s="41" t="s">
        <v>514</v>
      </c>
      <c r="B58" s="442">
        <v>1</v>
      </c>
      <c r="C58" t="s">
        <v>518</v>
      </c>
    </row>
    <row r="59" spans="1:15" x14ac:dyDescent="0.25">
      <c r="A59" s="41" t="s">
        <v>506</v>
      </c>
      <c r="B59" s="442">
        <v>1</v>
      </c>
      <c r="C59" t="s">
        <v>519</v>
      </c>
      <c r="O59" s="445">
        <f>300*1.07</f>
        <v>321</v>
      </c>
    </row>
    <row r="60" spans="1:15" x14ac:dyDescent="0.25">
      <c r="A60" s="41" t="s">
        <v>520</v>
      </c>
      <c r="B60" s="442">
        <v>1</v>
      </c>
      <c r="C60" t="s">
        <v>532</v>
      </c>
      <c r="O60" s="446">
        <f>270*1.07</f>
        <v>288.90000000000003</v>
      </c>
    </row>
    <row r="61" spans="1:15" x14ac:dyDescent="0.25">
      <c r="A61" s="41" t="s">
        <v>524</v>
      </c>
      <c r="B61" s="442">
        <v>1</v>
      </c>
      <c r="C61" s="1030" t="s">
        <v>525</v>
      </c>
      <c r="D61" s="1030"/>
      <c r="E61" s="1030"/>
      <c r="F61" s="1030"/>
      <c r="G61" s="1030"/>
      <c r="H61" s="1030"/>
      <c r="I61" s="1030"/>
      <c r="J61" s="1030"/>
      <c r="O61" s="445">
        <v>412</v>
      </c>
    </row>
    <row r="62" spans="1:15" x14ac:dyDescent="0.25">
      <c r="B62" s="442"/>
      <c r="C62" t="s">
        <v>526</v>
      </c>
    </row>
    <row r="63" spans="1:15" x14ac:dyDescent="0.25">
      <c r="A63" s="41" t="s">
        <v>527</v>
      </c>
      <c r="B63" s="442">
        <v>1</v>
      </c>
      <c r="C63" t="s">
        <v>533</v>
      </c>
      <c r="O63" s="446">
        <v>700</v>
      </c>
    </row>
    <row r="64" spans="1:15" x14ac:dyDescent="0.25">
      <c r="C64" t="s">
        <v>534</v>
      </c>
    </row>
    <row r="66" spans="1:15" ht="15.75" x14ac:dyDescent="0.25">
      <c r="A66" s="1028" t="s">
        <v>535</v>
      </c>
      <c r="B66" s="1028"/>
      <c r="C66" s="1028"/>
      <c r="D66" s="1028"/>
    </row>
    <row r="67" spans="1:15" ht="15.75" x14ac:dyDescent="0.25">
      <c r="A67" s="444"/>
      <c r="B67" s="444" t="s">
        <v>503</v>
      </c>
      <c r="C67" s="444"/>
      <c r="D67" s="444"/>
    </row>
    <row r="68" spans="1:15" x14ac:dyDescent="0.25">
      <c r="A68" s="41" t="s">
        <v>514</v>
      </c>
      <c r="B68" s="442">
        <v>1</v>
      </c>
      <c r="C68" t="s">
        <v>518</v>
      </c>
    </row>
    <row r="69" spans="1:15" x14ac:dyDescent="0.25">
      <c r="A69" s="41" t="s">
        <v>506</v>
      </c>
      <c r="B69" s="442">
        <v>1</v>
      </c>
      <c r="C69" t="s">
        <v>519</v>
      </c>
      <c r="O69" s="445">
        <v>321</v>
      </c>
    </row>
    <row r="70" spans="1:15" x14ac:dyDescent="0.25">
      <c r="A70" s="41" t="s">
        <v>520</v>
      </c>
      <c r="B70" s="442">
        <v>1</v>
      </c>
      <c r="C70" t="s">
        <v>521</v>
      </c>
      <c r="O70" s="446">
        <v>288.89999999999998</v>
      </c>
    </row>
    <row r="71" spans="1:15" x14ac:dyDescent="0.25">
      <c r="A71" s="41" t="s">
        <v>524</v>
      </c>
      <c r="B71" s="442">
        <v>1</v>
      </c>
      <c r="C71" s="1030" t="s">
        <v>525</v>
      </c>
      <c r="D71" s="1030"/>
      <c r="E71" s="1030"/>
      <c r="F71" s="1030"/>
      <c r="G71" s="1030"/>
      <c r="H71" s="1030"/>
      <c r="I71" s="1030"/>
      <c r="J71" s="1030"/>
      <c r="O71" s="445">
        <v>412</v>
      </c>
    </row>
    <row r="72" spans="1:15" x14ac:dyDescent="0.25">
      <c r="B72" s="442"/>
      <c r="C72" t="s">
        <v>526</v>
      </c>
    </row>
    <row r="74" spans="1:15" ht="15.75" x14ac:dyDescent="0.25">
      <c r="A74" s="1028" t="s">
        <v>536</v>
      </c>
      <c r="B74" s="1028"/>
      <c r="C74" s="1028"/>
      <c r="D74" s="1028"/>
    </row>
    <row r="75" spans="1:15" ht="15.75" x14ac:dyDescent="0.25">
      <c r="A75" s="447" t="s">
        <v>537</v>
      </c>
      <c r="B75" s="447">
        <v>1</v>
      </c>
      <c r="C75" s="447" t="s">
        <v>538</v>
      </c>
      <c r="D75" s="444"/>
    </row>
    <row r="76" spans="1:15" ht="30" customHeight="1" x14ac:dyDescent="0.25">
      <c r="A76" s="41" t="s">
        <v>506</v>
      </c>
      <c r="B76" s="442">
        <v>1</v>
      </c>
      <c r="C76" s="1034" t="s">
        <v>539</v>
      </c>
      <c r="D76" s="1034"/>
      <c r="E76" s="1034"/>
      <c r="F76" s="1034"/>
      <c r="G76" s="1034"/>
      <c r="L76" s="448">
        <v>440.66</v>
      </c>
      <c r="O76" s="446">
        <v>510</v>
      </c>
    </row>
    <row r="78" spans="1:15" x14ac:dyDescent="0.25">
      <c r="N78" s="449" t="s">
        <v>540</v>
      </c>
      <c r="O78" s="450">
        <f>SUM(O6:O77)</f>
        <v>11307.4465</v>
      </c>
    </row>
    <row r="79" spans="1:15" x14ac:dyDescent="0.25">
      <c r="O79" s="440"/>
    </row>
    <row r="80" spans="1:15" x14ac:dyDescent="0.25">
      <c r="M80" t="s">
        <v>541</v>
      </c>
      <c r="O80" s="440">
        <v>16500</v>
      </c>
    </row>
    <row r="81" spans="13:15" x14ac:dyDescent="0.25">
      <c r="O81" s="440"/>
    </row>
    <row r="82" spans="13:15" x14ac:dyDescent="0.25">
      <c r="M82" s="443"/>
      <c r="N82" s="451" t="s">
        <v>542</v>
      </c>
      <c r="O82" s="452">
        <f>SUM(O78:O80)</f>
        <v>27807.446499999998</v>
      </c>
    </row>
    <row r="83" spans="13:15" x14ac:dyDescent="0.25">
      <c r="O83" s="440"/>
    </row>
    <row r="84" spans="13:15" x14ac:dyDescent="0.25">
      <c r="O84" s="440"/>
    </row>
    <row r="85" spans="13:15" x14ac:dyDescent="0.25">
      <c r="O85" s="440"/>
    </row>
    <row r="86" spans="13:15" x14ac:dyDescent="0.25">
      <c r="O86" s="440"/>
    </row>
  </sheetData>
  <mergeCells count="20">
    <mergeCell ref="C61:J61"/>
    <mergeCell ref="A66:D66"/>
    <mergeCell ref="C71:J71"/>
    <mergeCell ref="A74:D74"/>
    <mergeCell ref="C76:G76"/>
    <mergeCell ref="A1:O1"/>
    <mergeCell ref="A3:K3"/>
    <mergeCell ref="B5:E5"/>
    <mergeCell ref="A56:D56"/>
    <mergeCell ref="B6:G6"/>
    <mergeCell ref="B7:F7"/>
    <mergeCell ref="B8:G8"/>
    <mergeCell ref="A11:D11"/>
    <mergeCell ref="A21:K21"/>
    <mergeCell ref="A22:D22"/>
    <mergeCell ref="A30:D30"/>
    <mergeCell ref="A35:D35"/>
    <mergeCell ref="A40:D40"/>
    <mergeCell ref="A45:D45"/>
    <mergeCell ref="C51:J5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B670-9DD3-4FBB-95EC-069210F18B3E}">
  <dimension ref="A1:E14"/>
  <sheetViews>
    <sheetView workbookViewId="0">
      <selection activeCell="B11" sqref="B11"/>
    </sheetView>
  </sheetViews>
  <sheetFormatPr defaultColWidth="9.140625" defaultRowHeight="17.25" x14ac:dyDescent="0.3"/>
  <cols>
    <col min="1" max="1" width="31.85546875" style="42" customWidth="1"/>
    <col min="2" max="2" width="11.42578125" style="42" bestFit="1" customWidth="1"/>
    <col min="3" max="16384" width="9.140625" style="42"/>
  </cols>
  <sheetData>
    <row r="1" spans="1:5" ht="21.75" thickBot="1" x14ac:dyDescent="0.4">
      <c r="A1" s="878" t="str">
        <f>'DNU  Customer Option Cover Page'!C6</f>
        <v>Olsen Veranda Bay Model #2</v>
      </c>
      <c r="B1" s="879"/>
      <c r="C1" s="879"/>
      <c r="D1" s="879"/>
      <c r="E1" s="881"/>
    </row>
    <row r="2" spans="1:5" ht="18" thickBot="1" x14ac:dyDescent="0.35">
      <c r="A2" s="886" t="str">
        <f>'DNU  Customer Option Cover Page'!C7</f>
        <v xml:space="preserve">183 Stillwater Drive, Flagler Beach </v>
      </c>
      <c r="B2" s="887"/>
      <c r="C2" s="887"/>
      <c r="D2" s="887"/>
      <c r="E2" s="927"/>
    </row>
    <row r="3" spans="1:5" ht="18" thickBot="1" x14ac:dyDescent="0.35">
      <c r="A3" s="108"/>
      <c r="B3" s="108"/>
      <c r="C3" s="108"/>
      <c r="D3" s="108"/>
      <c r="E3" s="108"/>
    </row>
    <row r="4" spans="1:5" ht="160.5" customHeight="1" x14ac:dyDescent="0.3">
      <c r="A4" s="938" t="s">
        <v>87</v>
      </c>
      <c r="B4" s="939"/>
      <c r="C4" s="939"/>
      <c r="D4" s="939"/>
      <c r="E4" s="940"/>
    </row>
    <row r="5" spans="1:5" x14ac:dyDescent="0.3">
      <c r="A5" s="296"/>
      <c r="B5" s="111"/>
      <c r="E5" s="297"/>
    </row>
    <row r="6" spans="1:5" x14ac:dyDescent="0.3">
      <c r="A6" s="296" t="s">
        <v>131</v>
      </c>
      <c r="B6" s="111">
        <v>2227.54</v>
      </c>
      <c r="E6" s="297"/>
    </row>
    <row r="7" spans="1:5" x14ac:dyDescent="0.3">
      <c r="A7" s="296"/>
      <c r="B7" s="111"/>
      <c r="E7" s="297"/>
    </row>
    <row r="8" spans="1:5" x14ac:dyDescent="0.3">
      <c r="A8" s="296" t="s">
        <v>132</v>
      </c>
      <c r="B8" s="111">
        <v>2567.69</v>
      </c>
      <c r="E8" s="297"/>
    </row>
    <row r="9" spans="1:5" x14ac:dyDescent="0.3">
      <c r="A9" s="407"/>
      <c r="B9" s="120"/>
      <c r="E9" s="297"/>
    </row>
    <row r="10" spans="1:5" x14ac:dyDescent="0.3">
      <c r="A10" s="394" t="s">
        <v>133</v>
      </c>
      <c r="B10" s="111">
        <f>B8-B6</f>
        <v>340.15000000000009</v>
      </c>
      <c r="E10" s="297"/>
    </row>
    <row r="11" spans="1:5" x14ac:dyDescent="0.3">
      <c r="A11" s="410" t="s">
        <v>134</v>
      </c>
      <c r="B11" s="121">
        <f>B10/0.65</f>
        <v>523.30769230769238</v>
      </c>
      <c r="E11" s="297"/>
    </row>
    <row r="12" spans="1:5" ht="18" thickBot="1" x14ac:dyDescent="0.35">
      <c r="A12" s="389"/>
      <c r="B12" s="393"/>
      <c r="C12" s="292"/>
      <c r="D12" s="292"/>
      <c r="E12" s="293"/>
    </row>
    <row r="14" spans="1:5" x14ac:dyDescent="0.3">
      <c r="B14" s="728" t="s">
        <v>790</v>
      </c>
    </row>
  </sheetData>
  <mergeCells count="3">
    <mergeCell ref="A1:E1"/>
    <mergeCell ref="A2:E2"/>
    <mergeCell ref="A4:E4"/>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43B9-C007-4D14-A4BB-B570261EF19D}">
  <dimension ref="A1:F19"/>
  <sheetViews>
    <sheetView topLeftCell="A11" workbookViewId="0">
      <selection activeCell="B19" sqref="B19"/>
    </sheetView>
  </sheetViews>
  <sheetFormatPr defaultColWidth="9.140625" defaultRowHeight="17.25" x14ac:dyDescent="0.3"/>
  <cols>
    <col min="1" max="1" width="24.85546875" style="42" customWidth="1"/>
    <col min="2" max="2" width="11.42578125" style="42" bestFit="1" customWidth="1"/>
    <col min="3" max="16384" width="9.140625" style="42"/>
  </cols>
  <sheetData>
    <row r="1" spans="1:6" ht="21.75" thickBot="1" x14ac:dyDescent="0.4">
      <c r="A1" s="978" t="str">
        <f>'DNU  Customer Option Cover Page'!C6</f>
        <v>Olsen Veranda Bay Model #2</v>
      </c>
      <c r="B1" s="979"/>
      <c r="C1" s="979"/>
      <c r="D1" s="979"/>
      <c r="E1" s="979"/>
      <c r="F1" s="980"/>
    </row>
    <row r="2" spans="1:6" x14ac:dyDescent="0.3">
      <c r="A2" s="981" t="str">
        <f>'DNU  Customer Option Cover Page'!C7</f>
        <v xml:space="preserve">183 Stillwater Drive, Flagler Beach </v>
      </c>
      <c r="B2" s="982"/>
      <c r="C2" s="982"/>
      <c r="D2" s="982"/>
      <c r="E2" s="982"/>
      <c r="F2" s="983"/>
    </row>
    <row r="4" spans="1:6" ht="112.5" customHeight="1" x14ac:dyDescent="0.3">
      <c r="A4" s="1035" t="s">
        <v>67</v>
      </c>
      <c r="B4" s="1036"/>
      <c r="C4" s="1036"/>
      <c r="D4" s="1036"/>
      <c r="E4" s="1036"/>
      <c r="F4" s="1037"/>
    </row>
    <row r="5" spans="1:6" x14ac:dyDescent="0.3">
      <c r="A5" s="427"/>
      <c r="B5" s="111"/>
      <c r="F5" s="428"/>
    </row>
    <row r="6" spans="1:6" x14ac:dyDescent="0.3">
      <c r="A6" s="427" t="s">
        <v>428</v>
      </c>
      <c r="B6" s="111"/>
      <c r="F6" s="428"/>
    </row>
    <row r="7" spans="1:6" x14ac:dyDescent="0.3">
      <c r="A7" s="427" t="s">
        <v>429</v>
      </c>
      <c r="B7" s="111">
        <v>645</v>
      </c>
      <c r="F7" s="428"/>
    </row>
    <row r="8" spans="1:6" x14ac:dyDescent="0.3">
      <c r="A8" s="427" t="s">
        <v>430</v>
      </c>
      <c r="B8" s="111">
        <v>1080</v>
      </c>
      <c r="F8" s="428"/>
    </row>
    <row r="9" spans="1:6" x14ac:dyDescent="0.3">
      <c r="A9" s="427" t="s">
        <v>431</v>
      </c>
      <c r="B9" s="111">
        <v>1710</v>
      </c>
      <c r="F9" s="428"/>
    </row>
    <row r="10" spans="1:6" x14ac:dyDescent="0.3">
      <c r="A10" s="427" t="s">
        <v>432</v>
      </c>
      <c r="B10" s="111">
        <v>360</v>
      </c>
      <c r="F10" s="428"/>
    </row>
    <row r="11" spans="1:6" x14ac:dyDescent="0.3">
      <c r="A11" s="427" t="s">
        <v>433</v>
      </c>
      <c r="B11" s="111">
        <v>255</v>
      </c>
      <c r="F11" s="428"/>
    </row>
    <row r="12" spans="1:6" x14ac:dyDescent="0.3">
      <c r="A12" s="427" t="s">
        <v>434</v>
      </c>
      <c r="B12" s="111">
        <v>180</v>
      </c>
      <c r="F12" s="428"/>
    </row>
    <row r="13" spans="1:6" x14ac:dyDescent="0.3">
      <c r="A13" s="427" t="s">
        <v>435</v>
      </c>
      <c r="B13" s="111">
        <v>180</v>
      </c>
      <c r="F13" s="428"/>
    </row>
    <row r="14" spans="1:6" x14ac:dyDescent="0.3">
      <c r="A14" s="430" t="s">
        <v>344</v>
      </c>
      <c r="B14" s="372">
        <f>SUM(B7:B13)</f>
        <v>4410</v>
      </c>
      <c r="F14" s="428"/>
    </row>
    <row r="15" spans="1:6" x14ac:dyDescent="0.3">
      <c r="A15" s="431" t="s">
        <v>134</v>
      </c>
      <c r="B15" s="727">
        <f>B14/0.65</f>
        <v>6784.6153846153848</v>
      </c>
      <c r="F15" s="428"/>
    </row>
    <row r="16" spans="1:6" x14ac:dyDescent="0.3">
      <c r="A16" s="429"/>
      <c r="B16" s="120"/>
      <c r="C16" s="119"/>
      <c r="D16" s="119"/>
      <c r="E16" s="119"/>
      <c r="F16" s="432"/>
    </row>
    <row r="18" spans="1:6" x14ac:dyDescent="0.3">
      <c r="A18" s="429" t="s">
        <v>436</v>
      </c>
      <c r="B18" s="120">
        <v>1700</v>
      </c>
      <c r="F18" s="428"/>
    </row>
    <row r="19" spans="1:6" x14ac:dyDescent="0.3">
      <c r="A19" s="42" t="s">
        <v>791</v>
      </c>
      <c r="B19" s="728">
        <v>2000</v>
      </c>
    </row>
  </sheetData>
  <customSheetViews>
    <customSheetView guid="{26FE7078-0398-4426-AF83-8A5AF3F4232D}">
      <selection activeCell="J24" sqref="J23:J24"/>
      <pageMargins left="0.7" right="0.7" top="0.75" bottom="0.75" header="0.3" footer="0.3"/>
    </customSheetView>
    <customSheetView guid="{EF0F83D7-7255-463C-BAD8-00D44B99E347}">
      <selection sqref="A1:XFD1048576"/>
      <pageMargins left="0.7" right="0.7" top="0.75" bottom="0.75" header="0.3" footer="0.3"/>
    </customSheetView>
    <customSheetView guid="{1D143CF9-D561-438B-9881-64C8826F55C9}">
      <selection sqref="A1:XFD1048576"/>
      <pageMargins left="0.7" right="0.7" top="0.75" bottom="0.75" header="0.3" footer="0.3"/>
    </customSheetView>
  </customSheetViews>
  <mergeCells count="3">
    <mergeCell ref="A1:F1"/>
    <mergeCell ref="A2:F2"/>
    <mergeCell ref="A4:F4"/>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8E33-503F-4508-9077-A1663B175E0D}">
  <sheetPr>
    <pageSetUpPr fitToPage="1"/>
  </sheetPr>
  <dimension ref="A1:I21"/>
  <sheetViews>
    <sheetView topLeftCell="F5" workbookViewId="0">
      <selection activeCell="G14" sqref="G14"/>
    </sheetView>
  </sheetViews>
  <sheetFormatPr defaultColWidth="9.140625" defaultRowHeight="17.25" x14ac:dyDescent="0.3"/>
  <cols>
    <col min="1" max="1" width="37.42578125" style="42" customWidth="1"/>
    <col min="2" max="2" width="14.28515625" style="42" bestFit="1" customWidth="1"/>
    <col min="3" max="16384" width="9.140625" style="42"/>
  </cols>
  <sheetData>
    <row r="1" spans="1:9" ht="21.75" thickBot="1" x14ac:dyDescent="0.4">
      <c r="A1" s="878" t="str">
        <f>'DNU  Customer Option Cover Page'!C6</f>
        <v>Olsen Veranda Bay Model #2</v>
      </c>
      <c r="B1" s="879"/>
      <c r="C1" s="879"/>
      <c r="D1" s="879"/>
      <c r="E1" s="879"/>
      <c r="F1" s="879"/>
      <c r="G1" s="879"/>
      <c r="H1" s="879"/>
      <c r="I1" s="881"/>
    </row>
    <row r="2" spans="1:9" ht="18" thickBot="1" x14ac:dyDescent="0.35">
      <c r="A2" s="886" t="str">
        <f>'DNU  Customer Option Cover Page'!C7</f>
        <v xml:space="preserve">183 Stillwater Drive, Flagler Beach </v>
      </c>
      <c r="B2" s="887"/>
      <c r="C2" s="887"/>
      <c r="D2" s="887"/>
      <c r="E2" s="887"/>
      <c r="F2" s="887"/>
      <c r="G2" s="887"/>
      <c r="H2" s="887"/>
      <c r="I2" s="927"/>
    </row>
    <row r="3" spans="1:9" x14ac:dyDescent="0.3">
      <c r="A3" s="108"/>
      <c r="B3" s="108"/>
      <c r="C3" s="108"/>
      <c r="D3" s="108"/>
      <c r="E3" s="108"/>
      <c r="F3" s="108"/>
      <c r="G3" s="108"/>
      <c r="H3" s="108"/>
      <c r="I3" s="108"/>
    </row>
    <row r="4" spans="1:9" ht="389.25" customHeight="1" x14ac:dyDescent="0.3">
      <c r="A4" s="1039" t="s">
        <v>194</v>
      </c>
      <c r="B4" s="932"/>
      <c r="C4" s="932"/>
      <c r="D4" s="932"/>
      <c r="E4" s="932"/>
      <c r="F4" s="932"/>
      <c r="G4" s="932"/>
      <c r="H4" s="932"/>
    </row>
    <row r="6" spans="1:9" x14ac:dyDescent="0.3">
      <c r="A6" s="1041" t="s">
        <v>325</v>
      </c>
      <c r="B6" s="1041"/>
    </row>
    <row r="7" spans="1:9" x14ac:dyDescent="0.3">
      <c r="A7" s="44"/>
      <c r="B7" s="45"/>
    </row>
    <row r="8" spans="1:9" x14ac:dyDescent="0.3">
      <c r="A8" s="44" t="s">
        <v>327</v>
      </c>
      <c r="B8" s="45">
        <v>2517.98</v>
      </c>
    </row>
    <row r="9" spans="1:9" x14ac:dyDescent="0.3">
      <c r="A9" s="44" t="s">
        <v>326</v>
      </c>
      <c r="B9" s="45"/>
    </row>
    <row r="10" spans="1:9" x14ac:dyDescent="0.3">
      <c r="D10" s="42" t="s">
        <v>889</v>
      </c>
      <c r="E10" s="42">
        <v>2500</v>
      </c>
    </row>
    <row r="11" spans="1:9" x14ac:dyDescent="0.3">
      <c r="A11" s="1040" t="s">
        <v>323</v>
      </c>
      <c r="B11" s="1040"/>
      <c r="D11" s="42" t="s">
        <v>544</v>
      </c>
      <c r="E11" s="42">
        <v>1025</v>
      </c>
    </row>
    <row r="12" spans="1:9" x14ac:dyDescent="0.3">
      <c r="A12" s="44"/>
      <c r="B12" s="45"/>
      <c r="D12" s="42" t="s">
        <v>764</v>
      </c>
      <c r="E12" s="42">
        <v>1025</v>
      </c>
    </row>
    <row r="13" spans="1:9" x14ac:dyDescent="0.3">
      <c r="A13" s="44" t="s">
        <v>324</v>
      </c>
      <c r="B13" s="45">
        <v>24900</v>
      </c>
      <c r="E13" s="42">
        <f>SUM(E10:E12)</f>
        <v>4550</v>
      </c>
    </row>
    <row r="14" spans="1:9" x14ac:dyDescent="0.3">
      <c r="A14" s="44" t="s">
        <v>328</v>
      </c>
      <c r="B14" s="45">
        <f>22*50</f>
        <v>1100</v>
      </c>
    </row>
    <row r="16" spans="1:9" x14ac:dyDescent="0.3">
      <c r="A16" s="1038" t="s">
        <v>330</v>
      </c>
      <c r="B16" s="1038"/>
    </row>
    <row r="17" spans="1:2" x14ac:dyDescent="0.3">
      <c r="A17" s="44"/>
      <c r="B17" s="45"/>
    </row>
    <row r="18" spans="1:2" x14ac:dyDescent="0.3">
      <c r="A18" s="44" t="s">
        <v>331</v>
      </c>
      <c r="B18" s="710">
        <f>22*50</f>
        <v>1100</v>
      </c>
    </row>
    <row r="19" spans="1:2" x14ac:dyDescent="0.3">
      <c r="A19" s="44"/>
      <c r="B19" s="45"/>
    </row>
    <row r="20" spans="1:2" x14ac:dyDescent="0.3">
      <c r="B20" s="245"/>
    </row>
    <row r="21" spans="1:2" x14ac:dyDescent="0.3">
      <c r="A21" s="261" t="s">
        <v>329</v>
      </c>
      <c r="B21" s="262">
        <f>SUM(B8+B13+B14+B18)</f>
        <v>29617.98</v>
      </c>
    </row>
  </sheetData>
  <mergeCells count="6">
    <mergeCell ref="A16:B16"/>
    <mergeCell ref="A1:I1"/>
    <mergeCell ref="A2:I2"/>
    <mergeCell ref="A4:H4"/>
    <mergeCell ref="A11:B11"/>
    <mergeCell ref="A6:B6"/>
  </mergeCells>
  <pageMargins left="0.7" right="0.7" top="0.75" bottom="0.75" header="0.3" footer="0.3"/>
  <pageSetup scale="78"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B5E8-2F17-4E2C-8A7D-598F880294F5}">
  <dimension ref="A1:D24"/>
  <sheetViews>
    <sheetView topLeftCell="A15" workbookViewId="0">
      <selection activeCell="B23" sqref="B23"/>
    </sheetView>
  </sheetViews>
  <sheetFormatPr defaultColWidth="9.140625" defaultRowHeight="17.25" x14ac:dyDescent="0.3"/>
  <cols>
    <col min="1" max="1" width="43" style="42" customWidth="1"/>
    <col min="2" max="2" width="17.28515625" style="42" customWidth="1"/>
    <col min="3" max="16384" width="9.140625" style="42"/>
  </cols>
  <sheetData>
    <row r="1" spans="1:4" ht="21" x14ac:dyDescent="0.35">
      <c r="A1" s="1042" t="str">
        <f>'DNU  Customer Option Cover Page'!C6</f>
        <v>Olsen Veranda Bay Model #2</v>
      </c>
      <c r="B1" s="1043"/>
      <c r="C1" s="1043"/>
      <c r="D1" s="1044"/>
    </row>
    <row r="2" spans="1:4" x14ac:dyDescent="0.3">
      <c r="A2" s="1045" t="str">
        <f>'DNU  Customer Option Cover Page'!C7</f>
        <v xml:space="preserve">183 Stillwater Drive, Flagler Beach </v>
      </c>
      <c r="B2" s="1046"/>
      <c r="C2" s="1046"/>
      <c r="D2" s="1047"/>
    </row>
    <row r="3" spans="1:4" x14ac:dyDescent="0.3">
      <c r="A3" s="108"/>
      <c r="B3" s="108"/>
      <c r="C3" s="108"/>
      <c r="D3" s="108"/>
    </row>
    <row r="4" spans="1:4" x14ac:dyDescent="0.3">
      <c r="A4" s="888" t="s">
        <v>18</v>
      </c>
      <c r="B4" s="888"/>
    </row>
    <row r="5" spans="1:4" x14ac:dyDescent="0.3">
      <c r="A5" s="44"/>
      <c r="B5" s="45"/>
    </row>
    <row r="6" spans="1:4" x14ac:dyDescent="0.3">
      <c r="A6" s="44" t="s">
        <v>454</v>
      </c>
      <c r="B6" s="45">
        <v>4500</v>
      </c>
    </row>
    <row r="7" spans="1:4" x14ac:dyDescent="0.3">
      <c r="A7" s="44" t="s">
        <v>455</v>
      </c>
      <c r="B7" s="45">
        <v>5500</v>
      </c>
    </row>
    <row r="8" spans="1:4" x14ac:dyDescent="0.3">
      <c r="A8" s="44" t="s">
        <v>456</v>
      </c>
      <c r="B8" s="45">
        <v>1200</v>
      </c>
    </row>
    <row r="9" spans="1:4" x14ac:dyDescent="0.3">
      <c r="A9" s="44"/>
      <c r="B9" s="45"/>
    </row>
    <row r="10" spans="1:4" x14ac:dyDescent="0.3">
      <c r="A10" s="46" t="s">
        <v>19</v>
      </c>
      <c r="B10" s="47">
        <f>SUM(B5:B9)</f>
        <v>11200</v>
      </c>
    </row>
    <row r="12" spans="1:4" x14ac:dyDescent="0.3">
      <c r="A12" s="1048" t="s">
        <v>457</v>
      </c>
      <c r="B12" s="1048"/>
    </row>
    <row r="13" spans="1:4" x14ac:dyDescent="0.3">
      <c r="A13" s="44"/>
      <c r="B13" s="45"/>
    </row>
    <row r="14" spans="1:4" x14ac:dyDescent="0.3">
      <c r="A14" s="44" t="s">
        <v>458</v>
      </c>
      <c r="B14" s="45">
        <v>3452.31</v>
      </c>
    </row>
    <row r="15" spans="1:4" x14ac:dyDescent="0.3">
      <c r="A15" s="44" t="s">
        <v>459</v>
      </c>
      <c r="B15" s="45">
        <v>1253.8399999999999</v>
      </c>
    </row>
    <row r="16" spans="1:4" x14ac:dyDescent="0.3">
      <c r="A16" s="44" t="s">
        <v>460</v>
      </c>
      <c r="B16" s="45">
        <v>1253.8399999999999</v>
      </c>
    </row>
    <row r="17" spans="1:2" x14ac:dyDescent="0.3">
      <c r="A17" s="44" t="s">
        <v>461</v>
      </c>
      <c r="B17" s="45">
        <v>512.13</v>
      </c>
    </row>
    <row r="18" spans="1:2" x14ac:dyDescent="0.3">
      <c r="A18" s="44" t="s">
        <v>462</v>
      </c>
      <c r="B18" s="45">
        <v>384.46</v>
      </c>
    </row>
    <row r="19" spans="1:2" x14ac:dyDescent="0.3">
      <c r="A19" s="423" t="s">
        <v>463</v>
      </c>
      <c r="B19" s="45">
        <f>108.22+22.31+50.85+28.56+30.6</f>
        <v>240.54</v>
      </c>
    </row>
    <row r="20" spans="1:2" x14ac:dyDescent="0.3">
      <c r="A20" s="423" t="s">
        <v>464</v>
      </c>
      <c r="B20" s="45">
        <v>1100</v>
      </c>
    </row>
    <row r="21" spans="1:2" x14ac:dyDescent="0.3">
      <c r="A21" s="423" t="s">
        <v>390</v>
      </c>
      <c r="B21" s="45">
        <f>SUM(B14:B19)*0.07</f>
        <v>496.79840000000002</v>
      </c>
    </row>
    <row r="22" spans="1:2" x14ac:dyDescent="0.3">
      <c r="A22" s="424" t="s">
        <v>19</v>
      </c>
      <c r="B22" s="425">
        <f>SUM(B14:B21)</f>
        <v>8693.9183999999987</v>
      </c>
    </row>
    <row r="23" spans="1:2" x14ac:dyDescent="0.3">
      <c r="A23" s="46" t="s">
        <v>18</v>
      </c>
      <c r="B23" s="47">
        <v>8700</v>
      </c>
    </row>
    <row r="24" spans="1:2" x14ac:dyDescent="0.3">
      <c r="A24" s="114" t="s">
        <v>465</v>
      </c>
      <c r="B24" s="208">
        <f>B23-B22</f>
        <v>6.0816000000013446</v>
      </c>
    </row>
  </sheetData>
  <mergeCells count="4">
    <mergeCell ref="A1:D1"/>
    <mergeCell ref="A2:D2"/>
    <mergeCell ref="A4:B4"/>
    <mergeCell ref="A12:B1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CAB32-12F6-49C3-8660-C6865EEE96D3}">
  <dimension ref="A1:D20"/>
  <sheetViews>
    <sheetView topLeftCell="P14" workbookViewId="0">
      <selection activeCell="V24" sqref="V24"/>
    </sheetView>
  </sheetViews>
  <sheetFormatPr defaultColWidth="9.140625" defaultRowHeight="17.25" x14ac:dyDescent="0.3"/>
  <cols>
    <col min="1" max="1" width="24.85546875" style="42" customWidth="1"/>
    <col min="2" max="2" width="12.85546875" style="42" bestFit="1" customWidth="1"/>
    <col min="3" max="16384" width="9.140625" style="42"/>
  </cols>
  <sheetData>
    <row r="1" spans="1:4" ht="21" x14ac:dyDescent="0.35">
      <c r="A1" s="1042" t="str">
        <f>'DNU  Customer Option Cover Page'!C6</f>
        <v>Olsen Veranda Bay Model #2</v>
      </c>
      <c r="B1" s="1043"/>
      <c r="C1" s="1043"/>
      <c r="D1" s="1044"/>
    </row>
    <row r="2" spans="1:4" x14ac:dyDescent="0.3">
      <c r="A2" s="1045" t="str">
        <f>'DNU  Customer Option Cover Page'!C7</f>
        <v xml:space="preserve">183 Stillwater Drive, Flagler Beach </v>
      </c>
      <c r="B2" s="1046"/>
      <c r="C2" s="1046"/>
      <c r="D2" s="1047"/>
    </row>
    <row r="3" spans="1:4" x14ac:dyDescent="0.3">
      <c r="A3" s="108"/>
      <c r="B3" s="108"/>
      <c r="C3" s="108"/>
      <c r="D3" s="108"/>
    </row>
    <row r="4" spans="1:4" x14ac:dyDescent="0.3">
      <c r="A4" s="888" t="s">
        <v>18</v>
      </c>
      <c r="B4" s="888"/>
    </row>
    <row r="5" spans="1:4" x14ac:dyDescent="0.3">
      <c r="A5" s="44"/>
      <c r="B5" s="45"/>
    </row>
    <row r="6" spans="1:4" x14ac:dyDescent="0.3">
      <c r="A6" s="44" t="s">
        <v>467</v>
      </c>
      <c r="B6" s="45">
        <v>5600</v>
      </c>
    </row>
    <row r="7" spans="1:4" x14ac:dyDescent="0.3">
      <c r="A7" s="44"/>
      <c r="B7" s="45"/>
    </row>
    <row r="8" spans="1:4" x14ac:dyDescent="0.3">
      <c r="A8" s="46" t="s">
        <v>19</v>
      </c>
      <c r="B8" s="47">
        <f>SUM(B5:B7)</f>
        <v>5600</v>
      </c>
    </row>
    <row r="10" spans="1:4" x14ac:dyDescent="0.3">
      <c r="A10" s="1041" t="s">
        <v>468</v>
      </c>
      <c r="B10" s="1041"/>
    </row>
    <row r="11" spans="1:4" x14ac:dyDescent="0.3">
      <c r="A11" s="44"/>
      <c r="B11" s="45"/>
    </row>
    <row r="12" spans="1:4" x14ac:dyDescent="0.3">
      <c r="A12" s="44" t="s">
        <v>469</v>
      </c>
      <c r="B12" s="45">
        <v>2191</v>
      </c>
    </row>
    <row r="13" spans="1:4" x14ac:dyDescent="0.3">
      <c r="A13" s="44" t="s">
        <v>470</v>
      </c>
      <c r="B13" s="45">
        <v>1419</v>
      </c>
    </row>
    <row r="14" spans="1:4" x14ac:dyDescent="0.3">
      <c r="A14" s="44" t="s">
        <v>471</v>
      </c>
      <c r="B14" s="45">
        <f>479+307</f>
        <v>786</v>
      </c>
    </row>
    <row r="15" spans="1:4" x14ac:dyDescent="0.3">
      <c r="A15" s="44" t="s">
        <v>472</v>
      </c>
      <c r="B15" s="45">
        <v>1133</v>
      </c>
    </row>
    <row r="16" spans="1:4" x14ac:dyDescent="0.3">
      <c r="A16" s="44" t="s">
        <v>473</v>
      </c>
      <c r="B16" s="45">
        <v>65</v>
      </c>
    </row>
    <row r="17" spans="1:2" x14ac:dyDescent="0.3">
      <c r="A17" s="44"/>
      <c r="B17" s="45"/>
    </row>
    <row r="18" spans="1:2" x14ac:dyDescent="0.3">
      <c r="A18" s="424" t="s">
        <v>19</v>
      </c>
      <c r="B18" s="426">
        <f>SUM(B11:B17)</f>
        <v>5594</v>
      </c>
    </row>
    <row r="19" spans="1:2" x14ac:dyDescent="0.3">
      <c r="A19" s="46" t="s">
        <v>18</v>
      </c>
      <c r="B19" s="47">
        <v>5600</v>
      </c>
    </row>
    <row r="20" spans="1:2" x14ac:dyDescent="0.3">
      <c r="A20" s="114" t="s">
        <v>474</v>
      </c>
      <c r="B20" s="208">
        <f>B19-B18</f>
        <v>6</v>
      </c>
    </row>
  </sheetData>
  <mergeCells count="4">
    <mergeCell ref="A1:D1"/>
    <mergeCell ref="A2:D2"/>
    <mergeCell ref="A4:B4"/>
    <mergeCell ref="A10:B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1DB15D-EEAE-42E7-8D94-FA64DFF749F1}">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Customer Option Cover Page </vt:lpstr>
      <vt:lpstr>Allowances</vt:lpstr>
      <vt:lpstr>Options</vt:lpstr>
      <vt:lpstr>DNU  Customer Option Cover Page</vt:lpstr>
      <vt:lpstr>Pavers</vt:lpstr>
      <vt:lpstr>Summer Kitchen</vt:lpstr>
      <vt:lpstr>Stone</vt:lpstr>
      <vt:lpstr>Fireplace</vt:lpstr>
      <vt:lpstr>Plumbing</vt:lpstr>
      <vt:lpstr>HVAC</vt:lpstr>
      <vt:lpstr>Laundry dog crate location cost</vt:lpstr>
      <vt:lpstr>Cabinets modern me</vt:lpstr>
      <vt:lpstr>Cabinets VERNS</vt:lpstr>
      <vt:lpstr>Stop &amp; Drop</vt:lpstr>
      <vt:lpstr>Pantry</vt:lpstr>
      <vt:lpstr>WetBar</vt:lpstr>
      <vt:lpstr>Entertainment</vt:lpstr>
      <vt:lpstr>Closets</vt:lpstr>
      <vt:lpstr>Tile</vt:lpstr>
      <vt:lpstr>Shelving</vt:lpstr>
      <vt:lpstr>Beams</vt:lpstr>
      <vt:lpstr>Granite</vt:lpstr>
      <vt:lpstr>Bath Accessories</vt:lpstr>
      <vt:lpstr>Cabinets</vt:lpstr>
      <vt:lpstr>Specialties</vt:lpstr>
      <vt:lpstr>Base Plumbing</vt:lpstr>
      <vt:lpstr>Trim</vt:lpstr>
      <vt:lpstr>Propane</vt:lpstr>
      <vt:lpstr>Exterior Finish</vt:lpstr>
      <vt:lpstr>Exterior Doors</vt:lpstr>
      <vt:lpstr>Garage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dc:creator>
  <cp:lastModifiedBy>Estimates</cp:lastModifiedBy>
  <cp:lastPrinted>2026-07-02T18:14:31Z</cp:lastPrinted>
  <dcterms:created xsi:type="dcterms:W3CDTF">2023-02-06T17:45:56Z</dcterms:created>
  <dcterms:modified xsi:type="dcterms:W3CDTF">2026-08-06T12:28:23Z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{B71DB15D-EEAE-42E7-8D94-FA64DFF749F1}</vt:lpwstr>
  </property>
</Properties>
</file>