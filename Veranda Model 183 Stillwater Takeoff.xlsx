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LSEN CUSTOM HOMES\CONSTRUCTION FILES\OCH Customer Files\CURRENT OCH Customers\Veranda Bay Model #2-183 Stillwater Dr\Bids\"/>
    </mc:Choice>
  </mc:AlternateContent>
  <xr:revisionPtr revIDLastSave="0" documentId="13_ncr:1_{2DE9B68D-8742-4D5C-B5C3-A7A2B7E60FDB}" xr6:coauthVersionLast="47" xr6:coauthVersionMax="47" xr10:uidLastSave="{00000000-0000-0000-0000-000000000000}"/>
  <bookViews>
    <workbookView xWindow="-120" yWindow="-120" windowWidth="29040" windowHeight="15720" tabRatio="833" xr2:uid="{1731421A-2712-4DC2-8F91-10C6DDEA5D3F}"/>
  </bookViews>
  <sheets>
    <sheet name="Cover Page" sheetId="20" r:id="rId1"/>
    <sheet name="Slab" sheetId="1" r:id="rId2"/>
    <sheet name="Lintels &amp; Sills" sheetId="3" r:id="rId3"/>
    <sheet name="Block" sheetId="2" r:id="rId4"/>
    <sheet name="Framing Material" sheetId="11" r:id="rId5"/>
    <sheet name="Windows" sheetId="12" r:id="rId6"/>
    <sheet name="Ext. Doors" sheetId="13" r:id="rId7"/>
    <sheet name="Insulation" sheetId="14" r:id="rId8"/>
    <sheet name="Drywall" sheetId="4" r:id="rId9"/>
    <sheet name="Interior Doors &amp; Trim" sheetId="5" r:id="rId10"/>
    <sheet name="Pavers" sheetId="6" r:id="rId11"/>
    <sheet name="Stone" sheetId="15" r:id="rId12"/>
    <sheet name="Paint" sheetId="16" r:id="rId13"/>
    <sheet name="Flooring" sheetId="17" r:id="rId14"/>
    <sheet name="Plumbing" sheetId="10" r:id="rId15"/>
    <sheet name="Electric" sheetId="18" r:id="rId16"/>
    <sheet name="Cabinets" sheetId="9" r:id="rId17"/>
    <sheet name="Granite" sheetId="8" r:id="rId18"/>
    <sheet name="Summer Kitchen" sheetId="7" r:id="rId19"/>
    <sheet name="Specialty" sheetId="1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0" l="1"/>
  <c r="O60" i="10"/>
  <c r="O59" i="10"/>
  <c r="O48" i="10"/>
  <c r="O50" i="10"/>
  <c r="O49" i="10"/>
  <c r="O43" i="10"/>
  <c r="O33" i="10"/>
  <c r="O26" i="10"/>
  <c r="O25" i="10"/>
  <c r="O78" i="10" s="1"/>
  <c r="O82" i="10" s="1"/>
  <c r="E25" i="2"/>
  <c r="E24" i="2"/>
  <c r="E23" i="2"/>
  <c r="E22" i="2"/>
  <c r="E21" i="2"/>
  <c r="E20" i="2"/>
  <c r="E19" i="2"/>
  <c r="E18" i="2"/>
  <c r="E17" i="2"/>
  <c r="E16" i="2"/>
  <c r="D23" i="2"/>
  <c r="D22" i="2"/>
  <c r="H34" i="3" l="1"/>
  <c r="G33" i="3"/>
  <c r="G34" i="3" s="1"/>
  <c r="I34" i="3" s="1"/>
  <c r="D61" i="1"/>
  <c r="E51" i="1"/>
  <c r="D29" i="1"/>
  <c r="B8" i="1" l="1"/>
  <c r="E22" i="4"/>
  <c r="E21" i="4"/>
  <c r="E14" i="4"/>
  <c r="E15" i="4"/>
  <c r="E10" i="4"/>
  <c r="E11" i="4"/>
  <c r="E12" i="4"/>
  <c r="E9" i="4"/>
  <c r="E8" i="4"/>
  <c r="E7" i="4"/>
  <c r="E5" i="4"/>
  <c r="D13" i="20"/>
  <c r="D13" i="1" l="1"/>
  <c r="E32" i="3"/>
  <c r="F40" i="2" l="1"/>
  <c r="F39" i="2"/>
  <c r="H39" i="2"/>
  <c r="H38" i="2"/>
  <c r="H37" i="2"/>
  <c r="F37" i="2"/>
  <c r="A3" i="20"/>
  <c r="A2" i="19"/>
  <c r="A1" i="19"/>
  <c r="A2" i="7"/>
  <c r="A1" i="7"/>
  <c r="A2" i="8"/>
  <c r="A1" i="8"/>
  <c r="A2" i="9"/>
  <c r="A1" i="9"/>
  <c r="A2" i="18"/>
  <c r="A1" i="18"/>
  <c r="A2" i="17"/>
  <c r="A1" i="17"/>
  <c r="A2" i="16"/>
  <c r="A1" i="16"/>
  <c r="A2" i="15"/>
  <c r="A1" i="15"/>
  <c r="A2" i="6"/>
  <c r="A1" i="6"/>
  <c r="A2" i="5"/>
  <c r="A1" i="5"/>
  <c r="A2" i="4"/>
  <c r="A1" i="4"/>
  <c r="A2" i="14"/>
  <c r="A1" i="14"/>
  <c r="A2" i="13"/>
  <c r="A1" i="13"/>
  <c r="A2" i="12"/>
  <c r="A1" i="12"/>
  <c r="A2" i="11"/>
  <c r="A1" i="11"/>
  <c r="A2" i="2"/>
  <c r="A1" i="2"/>
  <c r="A2" i="3"/>
  <c r="A1" i="3"/>
  <c r="A2" i="1"/>
  <c r="A1" i="1"/>
  <c r="H41" i="2" l="1"/>
  <c r="H43" i="2" s="1"/>
  <c r="F38" i="2"/>
  <c r="F41" i="2" s="1"/>
  <c r="F43" i="2" s="1"/>
  <c r="D55" i="2"/>
  <c r="D56" i="2"/>
  <c r="D57" i="2"/>
  <c r="D61" i="2"/>
  <c r="D60" i="2"/>
  <c r="D49" i="2"/>
  <c r="D50" i="2"/>
  <c r="D51" i="2"/>
  <c r="D52" i="2"/>
  <c r="D48" i="2"/>
  <c r="N53" i="2"/>
  <c r="D75" i="2"/>
  <c r="D74" i="2"/>
  <c r="D73" i="2"/>
  <c r="D56" i="1"/>
  <c r="D57" i="1"/>
  <c r="D55" i="1"/>
  <c r="E47" i="3"/>
  <c r="E48" i="3"/>
  <c r="E49" i="3"/>
  <c r="E50" i="3"/>
  <c r="E51" i="3"/>
  <c r="E52" i="3"/>
  <c r="E53" i="3"/>
  <c r="E46" i="3"/>
  <c r="E40" i="3"/>
  <c r="E41" i="3"/>
  <c r="E42" i="3"/>
  <c r="E7" i="3"/>
  <c r="E9" i="3"/>
  <c r="E11" i="3"/>
  <c r="E13" i="3"/>
  <c r="E15" i="3"/>
  <c r="E17" i="3"/>
  <c r="E19" i="3"/>
  <c r="E22" i="3"/>
  <c r="E25" i="3"/>
  <c r="E27" i="3"/>
  <c r="E29" i="3"/>
  <c r="E31" i="3"/>
  <c r="E36" i="3"/>
  <c r="D17" i="2"/>
  <c r="D18" i="2"/>
  <c r="D19" i="2"/>
  <c r="D20" i="2"/>
  <c r="D21" i="2"/>
  <c r="D24" i="2"/>
  <c r="D25" i="2"/>
  <c r="D26" i="2"/>
  <c r="D27" i="2"/>
  <c r="D28" i="2"/>
  <c r="D16" i="2"/>
  <c r="E42" i="1"/>
  <c r="E43" i="1"/>
  <c r="E44" i="1"/>
  <c r="E45" i="1"/>
  <c r="E46" i="1"/>
  <c r="E47" i="1"/>
  <c r="E48" i="1"/>
  <c r="E41" i="1"/>
  <c r="D33" i="1"/>
  <c r="D32" i="1"/>
  <c r="D22" i="1"/>
  <c r="D28" i="1"/>
  <c r="D23" i="1"/>
  <c r="D24" i="1"/>
  <c r="D25" i="1"/>
  <c r="D26" i="1"/>
  <c r="D27" i="1"/>
  <c r="D30" i="1"/>
  <c r="D21" i="1"/>
  <c r="D8" i="1"/>
  <c r="D9" i="1"/>
  <c r="D10" i="1"/>
  <c r="D11" i="1"/>
  <c r="D12" i="1"/>
  <c r="D7" i="1"/>
  <c r="B31" i="1"/>
  <c r="D31" i="1" s="1"/>
  <c r="D30" i="2" l="1"/>
  <c r="D14" i="1"/>
  <c r="D15" i="1" s="1"/>
  <c r="D17" i="1" s="1"/>
  <c r="E54" i="3"/>
  <c r="E56" i="3" s="1"/>
  <c r="D29" i="2"/>
  <c r="D34" i="1"/>
  <c r="D35" i="1" s="1"/>
  <c r="D37" i="1" s="1"/>
  <c r="D58" i="1"/>
  <c r="D59" i="1" s="1"/>
  <c r="C59" i="2"/>
  <c r="D59" i="2" s="1"/>
  <c r="D77" i="2"/>
  <c r="E49" i="1"/>
  <c r="D62" i="2" l="1"/>
  <c r="B67" i="2" s="1"/>
  <c r="D67" i="2" s="1"/>
  <c r="B65" i="2" l="1"/>
  <c r="D65" i="2" s="1"/>
  <c r="B66" i="2"/>
  <c r="D66" i="2" s="1"/>
  <c r="D68" i="2" l="1"/>
  <c r="D69" i="2" s="1"/>
</calcChain>
</file>

<file path=xl/sharedStrings.xml><?xml version="1.0" encoding="utf-8"?>
<sst xmlns="http://schemas.openxmlformats.org/spreadsheetml/2006/main" count="599" uniqueCount="396">
  <si>
    <t>Slab Material</t>
  </si>
  <si>
    <t>Slab Concrete</t>
  </si>
  <si>
    <t>Slab Labor</t>
  </si>
  <si>
    <t>D541</t>
  </si>
  <si>
    <t>RE540</t>
  </si>
  <si>
    <t>RCE2</t>
  </si>
  <si>
    <t>RCE3</t>
  </si>
  <si>
    <t>620-VQ</t>
  </si>
  <si>
    <t>Rtape</t>
  </si>
  <si>
    <t>BT6</t>
  </si>
  <si>
    <t>Item</t>
  </si>
  <si>
    <t>Qty</t>
  </si>
  <si>
    <t>Unit $</t>
  </si>
  <si>
    <t>Ext $</t>
  </si>
  <si>
    <t xml:space="preserve">Order Date: </t>
  </si>
  <si>
    <t>C Footers</t>
  </si>
  <si>
    <t>A Footers</t>
  </si>
  <si>
    <t>Location</t>
  </si>
  <si>
    <t>QTY</t>
  </si>
  <si>
    <t>F Footers</t>
  </si>
  <si>
    <t>G Footers</t>
  </si>
  <si>
    <t>H Footers</t>
  </si>
  <si>
    <t>J Footers</t>
  </si>
  <si>
    <t>K Footers</t>
  </si>
  <si>
    <t>Monolith</t>
  </si>
  <si>
    <t xml:space="preserve">Slab  </t>
  </si>
  <si>
    <t>Interior Footers</t>
  </si>
  <si>
    <t>Unit</t>
  </si>
  <si>
    <t>sf</t>
  </si>
  <si>
    <t>lf</t>
  </si>
  <si>
    <t>Small Pad Column</t>
  </si>
  <si>
    <t>ea</t>
  </si>
  <si>
    <t>Large Pad Column</t>
  </si>
  <si>
    <t>Xlg Pad Column</t>
  </si>
  <si>
    <t>AC Wall Footer</t>
  </si>
  <si>
    <t>Stem Wall Footer</t>
  </si>
  <si>
    <t>2 Story stem wall footger</t>
  </si>
  <si>
    <t>Total</t>
  </si>
  <si>
    <t>Master Fiber</t>
  </si>
  <si>
    <t>Enviro Surcharge</t>
  </si>
  <si>
    <t>Fuel Surcharge</t>
  </si>
  <si>
    <t>Concrete Total</t>
  </si>
  <si>
    <t>Slab Material Total</t>
  </si>
  <si>
    <t>Labor Total</t>
  </si>
  <si>
    <t>Sales Tax 6.5%</t>
  </si>
  <si>
    <t xml:space="preserve">8' CMU Wall </t>
  </si>
  <si>
    <t>10' CMU Wall</t>
  </si>
  <si>
    <t>12' CMU Wall</t>
  </si>
  <si>
    <t>13'4" CMU Wall</t>
  </si>
  <si>
    <t>LF</t>
  </si>
  <si>
    <t>SF</t>
  </si>
  <si>
    <t>8816 bonbeam</t>
  </si>
  <si>
    <t>ED. ACT FU</t>
  </si>
  <si>
    <t>lbs</t>
  </si>
  <si>
    <t>Sand Bag</t>
  </si>
  <si>
    <t>HS Masonry Bag</t>
  </si>
  <si>
    <r>
      <t xml:space="preserve">Freigth Free Zone 6 </t>
    </r>
    <r>
      <rPr>
        <sz val="10"/>
        <color theme="1"/>
        <rFont val="Calibri"/>
        <family val="2"/>
        <scheme val="minor"/>
      </rPr>
      <t>(38,304 lbs)</t>
    </r>
  </si>
  <si>
    <t>Lintels</t>
  </si>
  <si>
    <t>Sills</t>
  </si>
  <si>
    <t>Recessed Door Headers</t>
  </si>
  <si>
    <t>6P4-0 (2680 &amp; 2880)</t>
  </si>
  <si>
    <t>P9-4</t>
  </si>
  <si>
    <t>P8-4</t>
  </si>
  <si>
    <t>P7-6</t>
  </si>
  <si>
    <t>P4-6</t>
  </si>
  <si>
    <t>P4-0</t>
  </si>
  <si>
    <t>P3-6</t>
  </si>
  <si>
    <t>P21-4</t>
  </si>
  <si>
    <t>P17-4</t>
  </si>
  <si>
    <t>P14-0</t>
  </si>
  <si>
    <t>P13-4</t>
  </si>
  <si>
    <t>P12-0</t>
  </si>
  <si>
    <t>P10-6</t>
  </si>
  <si>
    <t>WR26 1/2</t>
  </si>
  <si>
    <t>WR37</t>
  </si>
  <si>
    <t>WR74</t>
  </si>
  <si>
    <t>Miscellaneous</t>
  </si>
  <si>
    <t>DR98</t>
  </si>
  <si>
    <t>DR118</t>
  </si>
  <si>
    <t>10' wall</t>
  </si>
  <si>
    <t>12' wall</t>
  </si>
  <si>
    <t>lintels &amp; bondbeam</t>
  </si>
  <si>
    <t>LS</t>
  </si>
  <si>
    <t xml:space="preserve">Lintel </t>
  </si>
  <si>
    <t>AB8E</t>
  </si>
  <si>
    <t>SQ1802</t>
  </si>
  <si>
    <t>HETA20-0</t>
  </si>
  <si>
    <t>Slab Pump</t>
  </si>
  <si>
    <t>38 Meter Boom Pump 4 Hr Min</t>
  </si>
  <si>
    <t>Boom Pump Time per Hour</t>
  </si>
  <si>
    <t>8% Fuel Charge</t>
  </si>
  <si>
    <t>Per Cubic Yard Pump</t>
  </si>
  <si>
    <t>Pump Total</t>
  </si>
  <si>
    <t>Wall Height</t>
  </si>
  <si>
    <t>Block Material</t>
  </si>
  <si>
    <t>Block Labor</t>
  </si>
  <si>
    <t>Block</t>
  </si>
  <si>
    <t>Courses</t>
  </si>
  <si>
    <t>10'</t>
  </si>
  <si>
    <t>12'</t>
  </si>
  <si>
    <t>Total Block Labor</t>
  </si>
  <si>
    <t>Lintel Concrete</t>
  </si>
  <si>
    <t>Pump Lintel</t>
  </si>
  <si>
    <t>1st 10 Yards</t>
  </si>
  <si>
    <t>$25/yd after 10 yards</t>
  </si>
  <si>
    <t>Pump Lintel Labor Total</t>
  </si>
  <si>
    <t>12812 Column block</t>
  </si>
  <si>
    <t>CY Fill</t>
  </si>
  <si>
    <t>8816 Bondbeam</t>
  </si>
  <si>
    <t xml:space="preserve">Lintel  </t>
  </si>
  <si>
    <t>CY</t>
  </si>
  <si>
    <t>CF</t>
  </si>
  <si>
    <t>=</t>
  </si>
  <si>
    <t>multiplier</t>
  </si>
  <si>
    <t>CI</t>
  </si>
  <si>
    <t>10'  wall Course</t>
  </si>
  <si>
    <t>6' Wall Course</t>
  </si>
  <si>
    <t>12' Wall Course</t>
  </si>
  <si>
    <t>13' 4" Wall Course</t>
  </si>
  <si>
    <t>Lania 12 sq column</t>
  </si>
  <si>
    <t>Block/down</t>
  </si>
  <si>
    <t xml:space="preserve">CY </t>
  </si>
  <si>
    <t>8x24</t>
  </si>
  <si>
    <t>8x20</t>
  </si>
  <si>
    <t>7.625 X 7.625</t>
  </si>
  <si>
    <t>Total CY</t>
  </si>
  <si>
    <t>Boards = D541</t>
  </si>
  <si>
    <t>Fill Cells</t>
  </si>
  <si>
    <t>BAGX8PXY 3000 #8 PM</t>
  </si>
  <si>
    <t>Titan Order</t>
  </si>
  <si>
    <t>7% Tax</t>
  </si>
  <si>
    <t>Interior Doors/Trim material</t>
  </si>
  <si>
    <t>Interior trim</t>
  </si>
  <si>
    <t>CROWN MATL</t>
  </si>
  <si>
    <t>Attic stairs</t>
  </si>
  <si>
    <t>Barn door items</t>
  </si>
  <si>
    <t>extras trim</t>
  </si>
  <si>
    <t>Attic door</t>
  </si>
  <si>
    <t>Door Hardware</t>
  </si>
  <si>
    <t>Cedar shelving</t>
  </si>
  <si>
    <t>Beam material</t>
  </si>
  <si>
    <t>Trim Labor</t>
  </si>
  <si>
    <t>Pocket door</t>
  </si>
  <si>
    <t>Stair labor</t>
  </si>
  <si>
    <t>Crown Labor</t>
  </si>
  <si>
    <t>Extras casing bipass pocket doors</t>
  </si>
  <si>
    <t>Sills labor</t>
  </si>
  <si>
    <t>Int. Columns</t>
  </si>
  <si>
    <t>Int Columns install</t>
  </si>
  <si>
    <t>Extra trim</t>
  </si>
  <si>
    <t>Cedar shelves install</t>
  </si>
  <si>
    <t>Ship Lap</t>
  </si>
  <si>
    <t>Beams install</t>
  </si>
  <si>
    <t>Tile Floors matl</t>
  </si>
  <si>
    <t>Tile floor labor</t>
  </si>
  <si>
    <t>Woodfloors</t>
  </si>
  <si>
    <t>Carpet Install</t>
  </si>
  <si>
    <t xml:space="preserve">Master bathroom </t>
  </si>
  <si>
    <t>Shower flor</t>
  </si>
  <si>
    <t>Seat</t>
  </si>
  <si>
    <t>Bath 2 tile walls</t>
  </si>
  <si>
    <t>Bath 2 shower floor</t>
  </si>
  <si>
    <t>Bath 2 sills</t>
  </si>
  <si>
    <t>Bath 3 tiel walls</t>
  </si>
  <si>
    <t>Bath 3 shower floor</t>
  </si>
  <si>
    <t>Kitchen Backsplash</t>
  </si>
  <si>
    <t xml:space="preserve">Sills   </t>
  </si>
  <si>
    <t>Cermaic fixt</t>
  </si>
  <si>
    <t>Appliances</t>
  </si>
  <si>
    <t>Cabinet</t>
  </si>
  <si>
    <t>Granite</t>
  </si>
  <si>
    <t>Electric</t>
  </si>
  <si>
    <t>Faucet</t>
  </si>
  <si>
    <t>Estimate</t>
  </si>
  <si>
    <t>Contract</t>
  </si>
  <si>
    <t>Living SF.</t>
  </si>
  <si>
    <t>Total perimiter</t>
  </si>
  <si>
    <t>Driveway sf</t>
  </si>
  <si>
    <t>Total Slab SF.</t>
  </si>
  <si>
    <t>Total all areas</t>
  </si>
  <si>
    <t>Wall heights</t>
  </si>
  <si>
    <t>Tile sf floors</t>
  </si>
  <si>
    <t>Garage floor</t>
  </si>
  <si>
    <t>Appx Block</t>
  </si>
  <si>
    <t>Roof Pitch</t>
  </si>
  <si>
    <t>EA</t>
  </si>
  <si>
    <t>Sand 1 CY</t>
  </si>
  <si>
    <t>1 CY Sand</t>
  </si>
  <si>
    <t>block</t>
  </si>
  <si>
    <t>1 40 lb bag HS Msonry</t>
  </si>
  <si>
    <t>2x6x12 Spruce</t>
  </si>
  <si>
    <t>Budget</t>
  </si>
  <si>
    <t>Santana</t>
  </si>
  <si>
    <t>Masonry Concepts</t>
  </si>
  <si>
    <t>56"</t>
  </si>
  <si>
    <t>Drills</t>
  </si>
  <si>
    <t xml:space="preserve">Under </t>
  </si>
  <si>
    <t>7% tax</t>
  </si>
  <si>
    <t>N &amp; L Painting Pricing Sheet</t>
  </si>
  <si>
    <t>Acrylic Deck Labor</t>
  </si>
  <si>
    <t>Garage Floor Epoxy</t>
  </si>
  <si>
    <t>Paint Tinted walls &amp; Ceilings, Trim Std color</t>
  </si>
  <si>
    <t>Accent Paint all int doors over 2500 sf</t>
  </si>
  <si>
    <t>Lot</t>
  </si>
  <si>
    <t>Accent Paint all Int doors under 2500 SF</t>
  </si>
  <si>
    <t>Accent Paint Recess per ceiling</t>
  </si>
  <si>
    <t>Add for 2 story model</t>
  </si>
  <si>
    <t>Additional Ext Door</t>
  </si>
  <si>
    <t>Ea</t>
  </si>
  <si>
    <t>Add over 2500 sf, includes volume high ceilings</t>
  </si>
  <si>
    <t>Add Barn door</t>
  </si>
  <si>
    <t>Paint ceilings other color than walls - up to 2 story</t>
  </si>
  <si>
    <t>Paint columns</t>
  </si>
  <si>
    <t>Paint Corbels</t>
  </si>
  <si>
    <t>Paint Crown 5 1/4"</t>
  </si>
  <si>
    <t>Paint Crown Moulding A - 7 1/4" base</t>
  </si>
  <si>
    <t>Paint Crown Moulding B</t>
  </si>
  <si>
    <t>Paint Trim Diff Color</t>
  </si>
  <si>
    <t>Paint Door Stain Exterior</t>
  </si>
  <si>
    <t>Paint Caulk Exterior Front</t>
  </si>
  <si>
    <t>Paint French Doors per pair</t>
  </si>
  <si>
    <t>Paint Garage</t>
  </si>
  <si>
    <t>Stain 2 Car Garage Floor</t>
  </si>
  <si>
    <t>Stain 3 Car Garage Floor</t>
  </si>
  <si>
    <t>Stain 6080 Front Door</t>
  </si>
  <si>
    <t>Paint Ceilings white</t>
  </si>
  <si>
    <t>Paint Interior Beam</t>
  </si>
  <si>
    <t>Paint Iron Board</t>
  </si>
  <si>
    <t>Paint Mantle</t>
  </si>
  <si>
    <t>Paint Porch</t>
  </si>
  <si>
    <t>Paint Prep Ext. Siding for painting</t>
  </si>
  <si>
    <t>Paint Stair Pulldown</t>
  </si>
  <si>
    <t>Paint Satin Walls</t>
  </si>
  <si>
    <t>Scrubbable Paint</t>
  </si>
  <si>
    <t>Paint Shutters per pair</t>
  </si>
  <si>
    <t>Paint window sills only</t>
  </si>
  <si>
    <t>Paint Ship Lap</t>
  </si>
  <si>
    <t>TSF</t>
  </si>
  <si>
    <t>Paint Summer Kitchen</t>
  </si>
  <si>
    <t xml:space="preserve">Painting </t>
  </si>
  <si>
    <t>Paint/Stain Handrail/Stair (Stained Treads, risers, handrail)</t>
  </si>
  <si>
    <t>Paint Stair painted spindles with stain treads</t>
  </si>
  <si>
    <t>Paint Stair primed spindles with stain treads</t>
  </si>
  <si>
    <t>Paint Stucco Bands Sides and rear of home</t>
  </si>
  <si>
    <t>Paint Stucco Columns</t>
  </si>
  <si>
    <t>Paint stop n drop</t>
  </si>
  <si>
    <t>Paint stair skirt board and handrail</t>
  </si>
  <si>
    <t>Paint stair treads &amp; Risers</t>
  </si>
  <si>
    <t>Paitn stair spindles and stain handrail</t>
  </si>
  <si>
    <t>Paint Transom Glass</t>
  </si>
  <si>
    <t>Paint Window Seat</t>
  </si>
  <si>
    <t>Paint Window Wrap &amp; Sill</t>
  </si>
  <si>
    <t>Paint Wood Wall Cap any size</t>
  </si>
  <si>
    <t>paint wood columns 8' and over</t>
  </si>
  <si>
    <t>Stain/Paint  Box out</t>
  </si>
  <si>
    <t>Stain Chair Rail</t>
  </si>
  <si>
    <t>Stain Study French Doors</t>
  </si>
  <si>
    <t>Gel Stain Front Door</t>
  </si>
  <si>
    <t>Wood Shelfs on Niches</t>
  </si>
  <si>
    <t>Shoe Moulding</t>
  </si>
  <si>
    <t>Drywall Prep</t>
  </si>
  <si>
    <t>Shoe Moulding - Be A Plus</t>
  </si>
  <si>
    <t>Bi Fold Door</t>
  </si>
  <si>
    <t>Exterior Tongue &amp; Groove Stain</t>
  </si>
  <si>
    <t>Interior Tongue &amp; Groove Stain</t>
  </si>
  <si>
    <t>Quanity</t>
  </si>
  <si>
    <t>Cost</t>
  </si>
  <si>
    <t>Unit @</t>
  </si>
  <si>
    <t>Material</t>
  </si>
  <si>
    <t>L&amp;W</t>
  </si>
  <si>
    <t>1/2 Regular 4'x12'</t>
  </si>
  <si>
    <t>5/8" Fire Rate 4' x 12'</t>
  </si>
  <si>
    <t>Densglass 4'x8'</t>
  </si>
  <si>
    <t>1/2 Cement-Duro 4'x8'</t>
  </si>
  <si>
    <t>Ready Mix Joint Compound  4 g</t>
  </si>
  <si>
    <t>250 Tape</t>
  </si>
  <si>
    <t xml:space="preserve">90 minute </t>
  </si>
  <si>
    <t>1 1/8" Screws 10M/CTN</t>
  </si>
  <si>
    <t>1 1/4" Cement Sharp Wafer</t>
  </si>
  <si>
    <t>8' Metal Cornerbead - 63 per box</t>
  </si>
  <si>
    <t>10' Metal Cornerbead - 50 per box</t>
  </si>
  <si>
    <t>Bullnose Archway bead 3/4" x 10' 35/box</t>
  </si>
  <si>
    <t>Plastic Bullnose bead 3/4" x 10' 35/box</t>
  </si>
  <si>
    <t>Plastic Arch Bead  1 1/4" x 10'</t>
  </si>
  <si>
    <t>10' PVC Bullnose Corner - 35 per box</t>
  </si>
  <si>
    <t>10' Splayed PVC Bullnose Outside Corner</t>
  </si>
  <si>
    <t>Quantity</t>
  </si>
  <si>
    <t>Plumbing Selection Form</t>
  </si>
  <si>
    <t>Base</t>
  </si>
  <si>
    <t>Pipe material:</t>
  </si>
  <si>
    <t>CPVC all areas</t>
  </si>
  <si>
    <t>Water Heater:</t>
  </si>
  <si>
    <t xml:space="preserve"> 1 -Tankless heater RUR 199EP Rinnai</t>
  </si>
  <si>
    <t>Hot water heater system:</t>
  </si>
  <si>
    <t>Gas</t>
  </si>
  <si>
    <t>Reciruit system:</t>
  </si>
  <si>
    <t>built in recirculating pump with transfer valve</t>
  </si>
  <si>
    <t>Water meter notes:</t>
  </si>
  <si>
    <t>1" from water meter</t>
  </si>
  <si>
    <t>Utilities</t>
  </si>
  <si>
    <t>Washing machine:</t>
  </si>
  <si>
    <t>recessed box with hammer arrestors</t>
  </si>
  <si>
    <t>Sewer lines:</t>
  </si>
  <si>
    <t>4" 3034 sewer pipe</t>
  </si>
  <si>
    <t>Water lines:</t>
  </si>
  <si>
    <t>CPVC</t>
  </si>
  <si>
    <t>A/C chase:</t>
  </si>
  <si>
    <t>Include</t>
  </si>
  <si>
    <t>Fridge:</t>
  </si>
  <si>
    <t>Dishwasher:</t>
  </si>
  <si>
    <t>Hose bibs:</t>
  </si>
  <si>
    <t>Plumbing Fixtures</t>
  </si>
  <si>
    <t>Kitchen Island</t>
  </si>
  <si>
    <t>Brantford</t>
  </si>
  <si>
    <t>Sink:</t>
  </si>
  <si>
    <t>GSM-3218 Dakota-supplied by granite company-single bowl sink</t>
  </si>
  <si>
    <t>sink faucet:</t>
  </si>
  <si>
    <t>Moen Brantford 7185ORB</t>
  </si>
  <si>
    <t>Disposal:</t>
  </si>
  <si>
    <t>1/2 HP Insinkerator badger 5</t>
  </si>
  <si>
    <t>Air switch:</t>
  </si>
  <si>
    <t>None</t>
  </si>
  <si>
    <t>Pot filler:</t>
  </si>
  <si>
    <t>Laundry room</t>
  </si>
  <si>
    <t>sink:</t>
  </si>
  <si>
    <t>GSM-2318 Dakota-supplied by granite company</t>
  </si>
  <si>
    <t>Bar</t>
  </si>
  <si>
    <t>Master bathroom</t>
  </si>
  <si>
    <t xml:space="preserve"> sinks undermount-supplied by granite company</t>
  </si>
  <si>
    <t>Shower fixture:</t>
  </si>
  <si>
    <t>Moen Brantford T2152ORB with corresponding valve</t>
  </si>
  <si>
    <t>Roman Tub faucet:</t>
  </si>
  <si>
    <t>Moen Brantford T933ORB with corresponding valve</t>
  </si>
  <si>
    <t>Toilet:</t>
  </si>
  <si>
    <t xml:space="preserve"> Highline comfort 2 piece elongated chair height model# K-4636 seat model# K-3999</t>
  </si>
  <si>
    <t>match handle to fuacet colors</t>
  </si>
  <si>
    <t>Tub:</t>
  </si>
  <si>
    <t>Freestanding-Paloma from Royal bath</t>
  </si>
  <si>
    <t>Notes:</t>
  </si>
  <si>
    <t xml:space="preserve">3/4 inch to the master bathroom </t>
  </si>
  <si>
    <t>Bath #2</t>
  </si>
  <si>
    <t>Moen Brantford T2153ORB with corresponding valve</t>
  </si>
  <si>
    <t>American standard #2393 Princeton 60" shite porcelian enameled steel tub</t>
  </si>
  <si>
    <t>right hand drain alcove bathtub-olor White</t>
  </si>
  <si>
    <t>Bath #3</t>
  </si>
  <si>
    <t>Summer kitchen</t>
  </si>
  <si>
    <t>Preplumb only:</t>
  </si>
  <si>
    <t>yes</t>
  </si>
  <si>
    <t>5965SRS Align Spot Resist Stainless One-Handle Arce Pulldown Bar Faucet (Deck Plate or Sink Hole?)</t>
  </si>
  <si>
    <t>Base Total</t>
  </si>
  <si>
    <t>Veranda Bay Olsen Model</t>
  </si>
  <si>
    <t>183 Stillwater Drive</t>
  </si>
  <si>
    <t>Estimate File 183 Stillwater Drive</t>
  </si>
  <si>
    <t>NA</t>
  </si>
  <si>
    <t>Under</t>
  </si>
  <si>
    <t>L Footers</t>
  </si>
  <si>
    <t>Column Footers</t>
  </si>
  <si>
    <t>Over</t>
  </si>
  <si>
    <t>PO# 11</t>
  </si>
  <si>
    <t>PO# 10</t>
  </si>
  <si>
    <t>PO# 42</t>
  </si>
  <si>
    <t xml:space="preserve">Study </t>
  </si>
  <si>
    <t xml:space="preserve">Entry Middle </t>
  </si>
  <si>
    <t>Garage Door 2</t>
  </si>
  <si>
    <t>Garage Door, SK Hall</t>
  </si>
  <si>
    <t>SK Opening</t>
  </si>
  <si>
    <t xml:space="preserve">SK Opening </t>
  </si>
  <si>
    <t>Bath 2, Bath 3, SK Opening</t>
  </si>
  <si>
    <t>Lanai Opening</t>
  </si>
  <si>
    <t>Garage Door 2, SGD 1</t>
  </si>
  <si>
    <t xml:space="preserve">Master Toilet </t>
  </si>
  <si>
    <t>Bed 3, Lanai Opening</t>
  </si>
  <si>
    <t>Laundry, Hallway, Bed 2</t>
  </si>
  <si>
    <t>Entry Left/Right</t>
  </si>
  <si>
    <t xml:space="preserve">Front Door </t>
  </si>
  <si>
    <t>Master Bath (x2)</t>
  </si>
  <si>
    <t xml:space="preserve">Nook, Master Window </t>
  </si>
  <si>
    <t>Garage Window, SK</t>
  </si>
  <si>
    <t>Garage, SK, Master</t>
  </si>
  <si>
    <t>Lintel Box in feet then / 20</t>
  </si>
  <si>
    <t>Perimeter / 20 *1.05</t>
  </si>
  <si>
    <t>Garage gets 12</t>
  </si>
  <si>
    <t>Same as AB8E</t>
  </si>
  <si>
    <t xml:space="preserve">Ties truss to block </t>
  </si>
  <si>
    <t xml:space="preserve">Count beams </t>
  </si>
  <si>
    <t>Sq ft / 2000</t>
  </si>
  <si>
    <t>&gt; 2</t>
  </si>
  <si>
    <t>16" Sq Column Block</t>
  </si>
  <si>
    <t xml:space="preserve">12" Sq Column Block </t>
  </si>
  <si>
    <t xml:space="preserve">HS Masonry Bag 70 Lb </t>
  </si>
  <si>
    <t>Leading Edge Labor Only</t>
  </si>
  <si>
    <t>Builder Cost</t>
  </si>
  <si>
    <t>Moen Brantford TV6620ORB with corresponding valve</t>
  </si>
  <si>
    <t>Pantry</t>
  </si>
  <si>
    <t xml:space="preserve">Total Base Plumbing </t>
  </si>
  <si>
    <t>Model - 183 Stillwater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</si>
</sst>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_(&quot;$&quot;* #,##0.000_);_(&quot;$&quot;* \(#,##0.000\);_(&quot;$&quot;* &quot;-&quot;??_);_(@_)"/>
  </numFmts>
  <fonts count="2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4" fillId="0" borderId="1" xfId="0" applyFont="1" applyBorder="1"/>
    <xf numFmtId="164" fontId="4" fillId="0" borderId="1" xfId="0" applyNumberFormat="1" applyFont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0" fontId="0" fillId="0" borderId="1" xfId="0" applyBorder="1"/>
    <xf numFmtId="0" fontId="6" fillId="0" borderId="0" xfId="0" applyFont="1" applyAlignment="1">
      <alignment horizontal="right"/>
    </xf>
    <xf numFmtId="0" fontId="5" fillId="0" borderId="1" xfId="0" applyFont="1" applyBorder="1"/>
    <xf numFmtId="164" fontId="5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164" fontId="1" fillId="0" borderId="1" xfId="0" applyNumberFormat="1" applyFont="1" applyBorder="1"/>
    <xf numFmtId="0" fontId="2" fillId="2" borderId="0" xfId="0" applyFont="1" applyFill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5" fontId="1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164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5" fillId="0" borderId="0" xfId="0" applyFont="1"/>
    <xf numFmtId="0" fontId="13" fillId="5" borderId="2" xfId="0" applyFont="1" applyFill="1" applyBorder="1"/>
    <xf numFmtId="0" fontId="14" fillId="5" borderId="3" xfId="0" applyFont="1" applyFill="1" applyBorder="1"/>
    <xf numFmtId="0" fontId="14" fillId="5" borderId="4" xfId="0" applyFont="1" applyFill="1" applyBorder="1"/>
    <xf numFmtId="0" fontId="13" fillId="6" borderId="5" xfId="0" applyFont="1" applyFill="1" applyBorder="1"/>
    <xf numFmtId="0" fontId="14" fillId="6" borderId="6" xfId="0" applyFont="1" applyFill="1" applyBorder="1"/>
    <xf numFmtId="0" fontId="13" fillId="5" borderId="5" xfId="0" applyFont="1" applyFill="1" applyBorder="1"/>
    <xf numFmtId="0" fontId="14" fillId="5" borderId="6" xfId="0" applyFont="1" applyFill="1" applyBorder="1"/>
    <xf numFmtId="0" fontId="1" fillId="0" borderId="5" xfId="0" applyFont="1" applyBorder="1"/>
    <xf numFmtId="0" fontId="1" fillId="0" borderId="6" xfId="0" applyFont="1" applyBorder="1"/>
    <xf numFmtId="164" fontId="1" fillId="0" borderId="0" xfId="0" applyNumberFormat="1" applyFont="1" applyAlignment="1">
      <alignment horizontal="right"/>
    </xf>
    <xf numFmtId="0" fontId="2" fillId="10" borderId="0" xfId="0" applyFont="1" applyFill="1"/>
    <xf numFmtId="164" fontId="2" fillId="10" borderId="0" xfId="0" applyNumberFormat="1" applyFont="1" applyFill="1"/>
    <xf numFmtId="0" fontId="4" fillId="0" borderId="10" xfId="0" applyFont="1" applyBorder="1"/>
    <xf numFmtId="44" fontId="4" fillId="0" borderId="11" xfId="6" applyFont="1" applyFill="1" applyBorder="1"/>
    <xf numFmtId="0" fontId="5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7" fillId="11" borderId="0" xfId="0" applyFont="1" applyFill="1" applyAlignment="1">
      <alignment horizontal="center"/>
    </xf>
    <xf numFmtId="0" fontId="4" fillId="0" borderId="15" xfId="0" applyFont="1" applyBorder="1"/>
    <xf numFmtId="0" fontId="17" fillId="11" borderId="5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/>
    </xf>
    <xf numFmtId="44" fontId="4" fillId="0" borderId="15" xfId="6" applyFont="1" applyFill="1" applyBorder="1"/>
    <xf numFmtId="0" fontId="5" fillId="0" borderId="15" xfId="0" applyFont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1" fillId="12" borderId="13" xfId="0" applyFont="1" applyFill="1" applyBorder="1"/>
    <xf numFmtId="0" fontId="1" fillId="0" borderId="14" xfId="0" applyFont="1" applyBorder="1"/>
    <xf numFmtId="0" fontId="1" fillId="0" borderId="1" xfId="0" applyFont="1" applyBorder="1"/>
    <xf numFmtId="0" fontId="1" fillId="12" borderId="1" xfId="0" applyFont="1" applyFill="1" applyBorder="1"/>
    <xf numFmtId="0" fontId="0" fillId="0" borderId="0" xfId="0" applyAlignment="1">
      <alignment horizontal="center"/>
    </xf>
    <xf numFmtId="0" fontId="1" fillId="0" borderId="13" xfId="0" applyFont="1" applyBorder="1"/>
    <xf numFmtId="0" fontId="0" fillId="0" borderId="13" xfId="0" applyBorder="1"/>
    <xf numFmtId="166" fontId="1" fillId="0" borderId="16" xfId="6" applyNumberFormat="1" applyFont="1" applyBorder="1"/>
    <xf numFmtId="0" fontId="0" fillId="0" borderId="17" xfId="0" applyBorder="1"/>
    <xf numFmtId="44" fontId="1" fillId="0" borderId="16" xfId="6" applyFont="1" applyBorder="1"/>
    <xf numFmtId="44" fontId="1" fillId="0" borderId="18" xfId="6" applyFont="1" applyFill="1" applyBorder="1"/>
    <xf numFmtId="0" fontId="1" fillId="0" borderId="5" xfId="0" applyFont="1" applyBorder="1" applyAlignment="1">
      <alignment horizontal="right"/>
    </xf>
    <xf numFmtId="0" fontId="18" fillId="2" borderId="7" xfId="0" applyFont="1" applyFill="1" applyBorder="1" applyAlignment="1">
      <alignment horizontal="right"/>
    </xf>
    <xf numFmtId="0" fontId="18" fillId="2" borderId="8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0" fontId="19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44" fontId="0" fillId="0" borderId="0" xfId="6" applyFont="1"/>
    <xf numFmtId="0" fontId="5" fillId="0" borderId="0" xfId="0" applyFont="1" applyAlignment="1">
      <alignment horizontal="right" wrapText="1"/>
    </xf>
    <xf numFmtId="0" fontId="9" fillId="0" borderId="0" xfId="0" applyFont="1" applyAlignment="1">
      <alignment horizontal="center" vertical="center"/>
    </xf>
    <xf numFmtId="44" fontId="0" fillId="0" borderId="1" xfId="6" applyFont="1" applyBorder="1"/>
    <xf numFmtId="44" fontId="0" fillId="0" borderId="14" xfId="6" applyFont="1" applyBorder="1"/>
    <xf numFmtId="0" fontId="5" fillId="0" borderId="0" xfId="0" applyFont="1" applyAlignment="1">
      <alignment horizontal="center" vertical="center"/>
    </xf>
    <xf numFmtId="44" fontId="21" fillId="0" borderId="1" xfId="6" applyFont="1" applyBorder="1"/>
    <xf numFmtId="0" fontId="19" fillId="0" borderId="0" xfId="0" applyFont="1"/>
    <xf numFmtId="0" fontId="14" fillId="6" borderId="0" xfId="0" applyFont="1" applyFill="1"/>
    <xf numFmtId="0" fontId="14" fillId="5" borderId="0" xfId="0" applyFont="1" applyFill="1"/>
    <xf numFmtId="0" fontId="13" fillId="5" borderId="7" xfId="0" applyFont="1" applyFill="1" applyBorder="1"/>
    <xf numFmtId="0" fontId="14" fillId="5" borderId="8" xfId="0" applyFont="1" applyFill="1" applyBorder="1"/>
    <xf numFmtId="0" fontId="14" fillId="5" borderId="9" xfId="0" applyFont="1" applyFill="1" applyBorder="1"/>
    <xf numFmtId="44" fontId="1" fillId="0" borderId="6" xfId="0" applyNumberFormat="1" applyFont="1" applyBorder="1"/>
    <xf numFmtId="44" fontId="18" fillId="2" borderId="9" xfId="0" applyNumberFormat="1" applyFont="1" applyFill="1" applyBorder="1"/>
    <xf numFmtId="44" fontId="1" fillId="0" borderId="17" xfId="0" applyNumberFormat="1" applyFont="1" applyBorder="1"/>
    <xf numFmtId="0" fontId="1" fillId="0" borderId="17" xfId="0" applyFont="1" applyBorder="1"/>
    <xf numFmtId="164" fontId="6" fillId="13" borderId="0" xfId="0" applyNumberFormat="1" applyFont="1" applyFill="1"/>
    <xf numFmtId="164" fontId="6" fillId="14" borderId="0" xfId="0" applyNumberFormat="1" applyFont="1" applyFill="1"/>
    <xf numFmtId="0" fontId="0" fillId="15" borderId="0" xfId="0" applyFill="1"/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2" fillId="3" borderId="0" xfId="5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/>
    </xf>
    <xf numFmtId="0" fontId="11" fillId="5" borderId="0" xfId="5" applyFill="1" applyAlignment="1">
      <alignment horizontal="left"/>
    </xf>
    <xf numFmtId="0" fontId="12" fillId="3" borderId="2" xfId="5" applyFont="1" applyFill="1" applyBorder="1" applyAlignment="1">
      <alignment horizontal="center" vertical="center" wrapText="1"/>
    </xf>
    <xf numFmtId="0" fontId="12" fillId="3" borderId="3" xfId="5" applyFont="1" applyFill="1" applyBorder="1" applyAlignment="1">
      <alignment horizontal="center" vertical="center" wrapText="1"/>
    </xf>
    <xf numFmtId="0" fontId="12" fillId="3" borderId="4" xfId="5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4" fontId="1" fillId="7" borderId="7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0" borderId="0" xfId="0" applyFont="1"/>
    <xf numFmtId="0" fontId="0" fillId="0" borderId="0" xfId="0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22" fillId="0" borderId="0" xfId="0" applyFont="1"/>
    <xf numFmtId="164" fontId="19" fillId="0" borderId="0" xfId="0" applyNumberFormat="1" applyFont="1"/>
    <xf numFmtId="0" fontId="23" fillId="16" borderId="0" xfId="0" applyFont="1" applyFill="1" applyAlignment="1">
      <alignment horizontal="center"/>
    </xf>
    <xf numFmtId="0" fontId="19" fillId="15" borderId="0" xfId="0" applyFont="1" applyFill="1"/>
    <xf numFmtId="0" fontId="19" fillId="15" borderId="0" xfId="0" applyFont="1" applyFill="1" applyAlignment="1">
      <alignment horizontal="right"/>
    </xf>
    <xf numFmtId="164" fontId="19" fillId="15" borderId="0" xfId="0" applyNumberFormat="1" applyFont="1" applyFill="1"/>
  </cellXfs>
  <cellStyles count="7">
    <cellStyle name="Currency" xfId="6" builtinId="4"/>
    <cellStyle name="Currency 2" xfId="3" xr:uid="{34498302-8755-4D90-8B2F-C977AEAAF29F}"/>
    <cellStyle name="Currency 3" xfId="2" xr:uid="{97CC46D8-0783-4A3A-8D99-2F62A0308C1B}"/>
    <cellStyle name="Hyperlink" xfId="5" builtinId="8"/>
    <cellStyle name="Normal" xfId="0" builtinId="0"/>
    <cellStyle name="Normal 2" xfId="4" xr:uid="{E5AE86EF-A345-41BA-9A15-50B66EC76BA1}"/>
    <cellStyle name="Normal 3" xfId="1" xr:uid="{57CBBD9E-4AA4-48D5-B2F3-9B5AFF4B3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OCH%20Customer%20Files/CURRENT%20OCH%20Customers/Bennett-24%20Coronado%20Rd/Contract/Pricing.pdf" TargetMode="External"/><Relationship Id="rId1" Type="http://schemas.openxmlformats.org/officeDocument/2006/relationships/hyperlink" Target="..\Estimate%20Fi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2BAF-D998-4E95-AC0A-A9A422C61A59}">
  <dimension ref="A1:J20"/>
  <sheetViews>
    <sheetView tabSelected="1" workbookViewId="0">
      <selection activeCell="D12" sqref="D12"/>
    </sheetView>
  </sheetViews>
  <sheetFormatPr defaultRowHeight="18.75" x14ac:dyDescent="0.3"/>
  <cols>
    <col min="1" max="2" width="7.42578125" style="1" customWidth="1"/>
    <col min="3" max="3" width="19.7109375" style="1" customWidth="1"/>
    <col min="4" max="4" width="10.5703125" style="1" customWidth="1"/>
    <col min="5" max="10" width="7.42578125" style="1" customWidth="1"/>
    <col min="11" max="16384" width="9.140625" style="1"/>
  </cols>
  <sheetData>
    <row r="1" spans="1:10" ht="22.5" customHeight="1" x14ac:dyDescent="0.3">
      <c r="A1" s="105" t="s">
        <v>350</v>
      </c>
      <c r="B1" s="106"/>
      <c r="C1" s="106"/>
      <c r="D1" s="106"/>
      <c r="E1" s="106"/>
      <c r="F1" s="106"/>
      <c r="G1" s="106"/>
      <c r="H1" s="106"/>
      <c r="I1" s="106"/>
      <c r="J1" s="107"/>
    </row>
    <row r="2" spans="1:10" ht="22.5" customHeight="1" x14ac:dyDescent="0.3">
      <c r="A2" s="108" t="s">
        <v>351</v>
      </c>
      <c r="B2" s="102"/>
      <c r="C2" s="102"/>
      <c r="D2" s="102"/>
      <c r="E2" s="102"/>
      <c r="F2" s="102"/>
      <c r="G2" s="102"/>
      <c r="H2" s="102"/>
      <c r="I2" s="102"/>
      <c r="J2" s="109"/>
    </row>
    <row r="3" spans="1:10" ht="19.5" thickBot="1" x14ac:dyDescent="0.35">
      <c r="A3" s="110">
        <f ca="1">TODAY()</f>
        <v>46157</v>
      </c>
      <c r="B3" s="111"/>
      <c r="C3" s="111"/>
      <c r="D3" s="111"/>
      <c r="E3" s="111"/>
      <c r="F3" s="111"/>
      <c r="G3" s="111"/>
      <c r="H3" s="111"/>
      <c r="I3" s="111"/>
      <c r="J3" s="112"/>
    </row>
    <row r="4" spans="1:10" ht="11.25" customHeight="1" x14ac:dyDescent="0.3"/>
    <row r="5" spans="1:10" s="36" customFormat="1" ht="21" x14ac:dyDescent="0.35">
      <c r="A5" s="103" t="s">
        <v>173</v>
      </c>
      <c r="B5" s="103"/>
      <c r="C5" s="104" t="s">
        <v>352</v>
      </c>
      <c r="D5" s="104"/>
      <c r="E5" s="104"/>
      <c r="F5" s="104"/>
      <c r="G5" s="104"/>
      <c r="H5" s="104"/>
      <c r="I5" s="104"/>
      <c r="J5" s="104"/>
    </row>
    <row r="6" spans="1:10" ht="11.25" customHeight="1" x14ac:dyDescent="0.3"/>
    <row r="7" spans="1:10" s="36" customFormat="1" ht="21" x14ac:dyDescent="0.35">
      <c r="A7" s="103" t="s">
        <v>174</v>
      </c>
      <c r="B7" s="103"/>
      <c r="C7" s="104" t="s">
        <v>353</v>
      </c>
      <c r="D7" s="104"/>
      <c r="E7" s="104"/>
      <c r="F7" s="104"/>
      <c r="G7" s="104"/>
      <c r="H7" s="104"/>
      <c r="I7" s="104"/>
      <c r="J7" s="104"/>
    </row>
    <row r="8" spans="1:10" ht="11.25" customHeight="1" thickBot="1" x14ac:dyDescent="0.35"/>
    <row r="9" spans="1:10" x14ac:dyDescent="0.3">
      <c r="B9" s="37" t="s">
        <v>175</v>
      </c>
      <c r="C9" s="38"/>
      <c r="D9" s="38">
        <v>2961</v>
      </c>
      <c r="E9" s="39" t="s">
        <v>50</v>
      </c>
    </row>
    <row r="10" spans="1:10" x14ac:dyDescent="0.3">
      <c r="B10" s="42" t="s">
        <v>176</v>
      </c>
      <c r="C10" s="87"/>
      <c r="D10" s="87"/>
      <c r="E10" s="43" t="s">
        <v>49</v>
      </c>
    </row>
    <row r="11" spans="1:10" x14ac:dyDescent="0.3">
      <c r="B11" s="40" t="s">
        <v>177</v>
      </c>
      <c r="C11" s="86"/>
      <c r="D11" s="86">
        <v>1925</v>
      </c>
      <c r="E11" s="41" t="s">
        <v>50</v>
      </c>
    </row>
    <row r="12" spans="1:10" ht="11.25" customHeight="1" x14ac:dyDescent="0.3">
      <c r="B12" s="44"/>
      <c r="E12" s="45"/>
    </row>
    <row r="13" spans="1:10" x14ac:dyDescent="0.3">
      <c r="B13" s="42" t="s">
        <v>178</v>
      </c>
      <c r="C13" s="87"/>
      <c r="D13" s="87">
        <f>2961+957+602+178</f>
        <v>4698</v>
      </c>
      <c r="E13" s="43" t="s">
        <v>50</v>
      </c>
    </row>
    <row r="14" spans="1:10" x14ac:dyDescent="0.3">
      <c r="B14" s="40" t="s">
        <v>179</v>
      </c>
      <c r="C14" s="86"/>
      <c r="D14" s="86">
        <v>4698</v>
      </c>
      <c r="E14" s="41" t="s">
        <v>50</v>
      </c>
    </row>
    <row r="15" spans="1:10" x14ac:dyDescent="0.3">
      <c r="B15" s="42" t="s">
        <v>180</v>
      </c>
      <c r="C15" s="87"/>
      <c r="D15" s="87">
        <v>11</v>
      </c>
      <c r="E15" s="43" t="s">
        <v>49</v>
      </c>
    </row>
    <row r="16" spans="1:10" x14ac:dyDescent="0.3">
      <c r="B16" s="40" t="s">
        <v>181</v>
      </c>
      <c r="C16" s="86"/>
      <c r="D16" s="86">
        <v>2961</v>
      </c>
      <c r="E16" s="41" t="s">
        <v>50</v>
      </c>
    </row>
    <row r="17" spans="2:5" ht="11.25" customHeight="1" x14ac:dyDescent="0.3">
      <c r="B17" s="44"/>
      <c r="E17" s="45"/>
    </row>
    <row r="18" spans="2:5" x14ac:dyDescent="0.3">
      <c r="B18" s="42" t="s">
        <v>182</v>
      </c>
      <c r="C18" s="87"/>
      <c r="D18" s="87">
        <v>957</v>
      </c>
      <c r="E18" s="43" t="s">
        <v>50</v>
      </c>
    </row>
    <row r="19" spans="2:5" x14ac:dyDescent="0.3">
      <c r="B19" s="40" t="s">
        <v>183</v>
      </c>
      <c r="C19" s="86"/>
      <c r="D19" s="86">
        <v>6596</v>
      </c>
      <c r="E19" s="41" t="s">
        <v>185</v>
      </c>
    </row>
    <row r="20" spans="2:5" ht="19.5" thickBot="1" x14ac:dyDescent="0.35">
      <c r="B20" s="88" t="s">
        <v>184</v>
      </c>
      <c r="C20" s="89"/>
      <c r="D20" s="89">
        <v>1.6</v>
      </c>
      <c r="E20" s="90"/>
    </row>
  </sheetData>
  <mergeCells count="7">
    <mergeCell ref="A5:B5"/>
    <mergeCell ref="C5:J5"/>
    <mergeCell ref="A7:B7"/>
    <mergeCell ref="C7:J7"/>
    <mergeCell ref="A1:J1"/>
    <mergeCell ref="A2:J2"/>
    <mergeCell ref="A3:J3"/>
  </mergeCells>
  <hyperlinks>
    <hyperlink ref="C5:J5" r:id="rId1" display="Estimate File 183 Stillwater Drive" xr:uid="{E2273BBC-E3A5-4D22-9140-0787A4674369}"/>
    <hyperlink ref="C7:J7" r:id="rId2" display="Insert Link" xr:uid="{EB0A4FF5-B23E-4329-93D8-02F971C09E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62D6-59FA-4D60-82CA-4BE9F972D575}">
  <dimension ref="A1:G68"/>
  <sheetViews>
    <sheetView topLeftCell="A8" workbookViewId="0">
      <selection activeCell="A6" sqref="A6:B14"/>
    </sheetView>
  </sheetViews>
  <sheetFormatPr defaultRowHeight="15" x14ac:dyDescent="0.25"/>
  <cols>
    <col min="1" max="1" width="25.42578125" customWidth="1"/>
    <col min="2" max="2" width="11.7109375" customWidth="1"/>
    <col min="3" max="3" width="10" customWidth="1"/>
    <col min="4" max="4" width="16.28515625" customWidth="1"/>
    <col min="5" max="5" width="15.7109375" customWidth="1"/>
    <col min="6" max="6" width="8.42578125" customWidth="1"/>
    <col min="7" max="7" width="5.85546875" customWidth="1"/>
  </cols>
  <sheetData>
    <row r="1" spans="1:7" s="1" customFormat="1" ht="22.5" customHeight="1" x14ac:dyDescent="0.3">
      <c r="A1" s="101" t="str">
        <f>('Cover Page'!A1)</f>
        <v>Veranda Bay Olsen Model</v>
      </c>
      <c r="B1" s="101"/>
      <c r="C1" s="101"/>
      <c r="D1" s="101"/>
      <c r="E1" s="101"/>
      <c r="F1" s="101"/>
      <c r="G1" s="101"/>
    </row>
    <row r="2" spans="1:7" s="1" customFormat="1" ht="22.5" customHeight="1" x14ac:dyDescent="0.3">
      <c r="A2" s="102" t="str">
        <f>('Cover Page'!A2)</f>
        <v>183 Stillwater Drive</v>
      </c>
      <c r="B2" s="102"/>
      <c r="C2" s="102"/>
      <c r="D2" s="102"/>
      <c r="E2" s="102"/>
      <c r="F2" s="102"/>
      <c r="G2" s="102"/>
    </row>
    <row r="3" spans="1:7" s="1" customFormat="1" ht="10.5" customHeight="1" x14ac:dyDescent="0.3">
      <c r="A3"/>
      <c r="B3"/>
      <c r="C3"/>
      <c r="D3"/>
      <c r="E3"/>
      <c r="F3"/>
      <c r="G3"/>
    </row>
    <row r="4" spans="1:7" s="1" customFormat="1" ht="18.75" x14ac:dyDescent="0.3">
      <c r="A4"/>
      <c r="B4"/>
      <c r="C4"/>
      <c r="D4"/>
      <c r="E4"/>
      <c r="F4"/>
      <c r="G4"/>
    </row>
    <row r="5" spans="1:7" s="1" customFormat="1" ht="18.75" x14ac:dyDescent="0.3">
      <c r="A5" s="98" t="s">
        <v>0</v>
      </c>
      <c r="B5" s="98"/>
      <c r="C5" s="98"/>
      <c r="D5" s="98"/>
      <c r="E5"/>
      <c r="F5" s="2" t="s">
        <v>14</v>
      </c>
      <c r="G5" s="2"/>
    </row>
    <row r="6" spans="1:7" ht="17.25" x14ac:dyDescent="0.3">
      <c r="A6" s="2" t="s">
        <v>10</v>
      </c>
      <c r="B6" s="2" t="s">
        <v>11</v>
      </c>
      <c r="C6" s="2" t="s">
        <v>12</v>
      </c>
      <c r="D6" s="2" t="s">
        <v>13</v>
      </c>
    </row>
    <row r="7" spans="1:7" ht="17.25" x14ac:dyDescent="0.3">
      <c r="A7" s="3" t="s">
        <v>3</v>
      </c>
      <c r="B7" s="3">
        <v>160</v>
      </c>
      <c r="C7" s="4">
        <v>3.5</v>
      </c>
      <c r="D7" s="4">
        <f>C7*B7</f>
        <v>560</v>
      </c>
    </row>
    <row r="8" spans="1:7" ht="17.25" x14ac:dyDescent="0.3">
      <c r="A8" s="3" t="s">
        <v>4</v>
      </c>
      <c r="B8" s="3">
        <f>7+3+45+12</f>
        <v>67</v>
      </c>
      <c r="C8" s="4">
        <v>13.95</v>
      </c>
      <c r="D8" s="4">
        <f t="shared" ref="D8:D12" si="0">C8*B8</f>
        <v>934.65</v>
      </c>
    </row>
    <row r="9" spans="1:7" ht="17.25" x14ac:dyDescent="0.3">
      <c r="A9" s="3" t="s">
        <v>5</v>
      </c>
      <c r="B9" s="3">
        <v>100</v>
      </c>
      <c r="C9" s="4">
        <v>0.41</v>
      </c>
      <c r="D9" s="4">
        <f t="shared" si="0"/>
        <v>41</v>
      </c>
    </row>
    <row r="10" spans="1:7" ht="17.25" x14ac:dyDescent="0.3">
      <c r="A10" s="3" t="s">
        <v>6</v>
      </c>
      <c r="B10" s="3">
        <v>50</v>
      </c>
      <c r="C10" s="4">
        <v>0.42</v>
      </c>
      <c r="D10" s="4">
        <f t="shared" si="0"/>
        <v>21</v>
      </c>
    </row>
    <row r="11" spans="1:7" ht="17.25" x14ac:dyDescent="0.3">
      <c r="A11" s="3" t="s">
        <v>7</v>
      </c>
      <c r="B11" s="3">
        <v>3</v>
      </c>
      <c r="C11" s="4">
        <v>72</v>
      </c>
      <c r="D11" s="4">
        <f t="shared" si="0"/>
        <v>216</v>
      </c>
    </row>
    <row r="12" spans="1:7" ht="17.25" x14ac:dyDescent="0.3">
      <c r="A12" s="3" t="s">
        <v>8</v>
      </c>
      <c r="B12" s="3">
        <v>6</v>
      </c>
      <c r="C12" s="4">
        <v>6.55</v>
      </c>
      <c r="D12" s="4">
        <f t="shared" si="0"/>
        <v>39.299999999999997</v>
      </c>
    </row>
    <row r="13" spans="1:7" ht="17.25" x14ac:dyDescent="0.3">
      <c r="A13" s="3" t="s">
        <v>9</v>
      </c>
      <c r="B13" s="3">
        <v>1</v>
      </c>
      <c r="C13" s="4">
        <v>15.7</v>
      </c>
      <c r="D13" s="4">
        <f t="shared" ref="D13" si="1">C13*B13</f>
        <v>15.7</v>
      </c>
    </row>
    <row r="14" spans="1:7" ht="17.25" x14ac:dyDescent="0.3">
      <c r="A14" s="7"/>
      <c r="B14" s="7"/>
      <c r="C14" s="8" t="s">
        <v>130</v>
      </c>
      <c r="D14" s="8">
        <f>SUM(D7:D13)*0.07</f>
        <v>127.93550000000002</v>
      </c>
    </row>
    <row r="15" spans="1:7" ht="18" customHeight="1" x14ac:dyDescent="0.3">
      <c r="A15" s="3"/>
      <c r="B15" s="3"/>
      <c r="C15" s="9" t="s">
        <v>42</v>
      </c>
      <c r="D15" s="10">
        <f>SUM(D7:D14)</f>
        <v>1955.5855000000001</v>
      </c>
      <c r="E15" s="97" t="s">
        <v>360</v>
      </c>
    </row>
    <row r="16" spans="1:7" ht="17.25" x14ac:dyDescent="0.3">
      <c r="A16" s="3"/>
      <c r="B16" s="3"/>
      <c r="C16" s="4" t="s">
        <v>191</v>
      </c>
      <c r="D16" s="4">
        <v>2114.1</v>
      </c>
    </row>
    <row r="17" spans="1:4" ht="17.25" x14ac:dyDescent="0.3">
      <c r="A17" s="3"/>
      <c r="B17" s="3"/>
      <c r="C17" s="95" t="s">
        <v>354</v>
      </c>
      <c r="D17" s="95">
        <f>D16-D15</f>
        <v>158.51449999999977</v>
      </c>
    </row>
    <row r="18" spans="1:4" ht="17.25" x14ac:dyDescent="0.3">
      <c r="A18" s="3"/>
      <c r="B18" s="3"/>
      <c r="C18" s="4"/>
      <c r="D18" s="4"/>
    </row>
    <row r="19" spans="1:4" ht="18.75" x14ac:dyDescent="0.3">
      <c r="A19" s="98" t="s">
        <v>1</v>
      </c>
      <c r="B19" s="98"/>
      <c r="C19" s="98"/>
      <c r="D19" s="98"/>
    </row>
    <row r="20" spans="1:4" ht="17.25" x14ac:dyDescent="0.3">
      <c r="A20" s="2" t="s">
        <v>17</v>
      </c>
      <c r="B20" s="2" t="s">
        <v>18</v>
      </c>
      <c r="C20" s="2" t="s">
        <v>12</v>
      </c>
      <c r="D20" s="2" t="s">
        <v>13</v>
      </c>
    </row>
    <row r="21" spans="1:4" ht="17.25" x14ac:dyDescent="0.3">
      <c r="A21" s="3" t="s">
        <v>16</v>
      </c>
      <c r="B21" s="3">
        <v>13</v>
      </c>
      <c r="C21" s="4">
        <v>148</v>
      </c>
      <c r="D21" s="4">
        <f>C21*B21</f>
        <v>1924</v>
      </c>
    </row>
    <row r="22" spans="1:4" ht="17.25" x14ac:dyDescent="0.3">
      <c r="A22" s="3" t="s">
        <v>15</v>
      </c>
      <c r="B22" s="3">
        <v>3.2</v>
      </c>
      <c r="C22" s="4">
        <v>148</v>
      </c>
      <c r="D22" s="4">
        <f t="shared" ref="D22:D30" si="2">C22*B22</f>
        <v>473.6</v>
      </c>
    </row>
    <row r="23" spans="1:4" ht="17.25" x14ac:dyDescent="0.3">
      <c r="A23" s="3" t="s">
        <v>19</v>
      </c>
      <c r="B23" s="3">
        <v>1</v>
      </c>
      <c r="C23" s="4">
        <v>148</v>
      </c>
      <c r="D23" s="4">
        <f t="shared" si="2"/>
        <v>148</v>
      </c>
    </row>
    <row r="24" spans="1:4" ht="17.25" x14ac:dyDescent="0.3">
      <c r="A24" s="3" t="s">
        <v>20</v>
      </c>
      <c r="B24" s="3">
        <v>4</v>
      </c>
      <c r="C24" s="4">
        <v>148</v>
      </c>
      <c r="D24" s="4">
        <f t="shared" si="2"/>
        <v>592</v>
      </c>
    </row>
    <row r="25" spans="1:4" ht="17.25" x14ac:dyDescent="0.3">
      <c r="A25" s="3" t="s">
        <v>21</v>
      </c>
      <c r="B25" s="3">
        <v>14</v>
      </c>
      <c r="C25" s="4">
        <v>148</v>
      </c>
      <c r="D25" s="4">
        <f t="shared" si="2"/>
        <v>2072</v>
      </c>
    </row>
    <row r="26" spans="1:4" ht="17.25" x14ac:dyDescent="0.3">
      <c r="A26" s="3" t="s">
        <v>22</v>
      </c>
      <c r="B26" s="3">
        <v>1</v>
      </c>
      <c r="C26" s="4">
        <v>148</v>
      </c>
      <c r="D26" s="4">
        <f t="shared" si="2"/>
        <v>148</v>
      </c>
    </row>
    <row r="27" spans="1:4" ht="17.25" x14ac:dyDescent="0.3">
      <c r="A27" s="3" t="s">
        <v>23</v>
      </c>
      <c r="B27" s="3">
        <v>5.3</v>
      </c>
      <c r="C27" s="4">
        <v>148</v>
      </c>
      <c r="D27" s="4">
        <f t="shared" si="2"/>
        <v>784.4</v>
      </c>
    </row>
    <row r="28" spans="1:4" ht="17.25" x14ac:dyDescent="0.3">
      <c r="A28" s="3" t="s">
        <v>355</v>
      </c>
      <c r="B28" s="3">
        <v>8.5</v>
      </c>
      <c r="C28" s="4">
        <v>148</v>
      </c>
      <c r="D28" s="4">
        <f>C28*B28</f>
        <v>1258</v>
      </c>
    </row>
    <row r="29" spans="1:4" ht="17.25" x14ac:dyDescent="0.3">
      <c r="A29" s="3" t="s">
        <v>356</v>
      </c>
      <c r="B29" s="3">
        <v>3</v>
      </c>
      <c r="C29" s="4">
        <v>148</v>
      </c>
      <c r="D29" s="4">
        <f>C29*B29</f>
        <v>444</v>
      </c>
    </row>
    <row r="30" spans="1:4" ht="17.25" x14ac:dyDescent="0.3">
      <c r="A30" s="3" t="s">
        <v>24</v>
      </c>
      <c r="B30" s="3">
        <v>57</v>
      </c>
      <c r="C30" s="4">
        <v>148</v>
      </c>
      <c r="D30" s="4">
        <f t="shared" si="2"/>
        <v>8436</v>
      </c>
    </row>
    <row r="31" spans="1:4" ht="17.25" x14ac:dyDescent="0.3">
      <c r="A31" s="3" t="s">
        <v>38</v>
      </c>
      <c r="B31" s="3">
        <f>SUM(B21:B30)</f>
        <v>110</v>
      </c>
      <c r="C31" s="4">
        <v>7</v>
      </c>
      <c r="D31" s="4">
        <f>C31*B31</f>
        <v>770</v>
      </c>
    </row>
    <row r="32" spans="1:4" ht="17.25" x14ac:dyDescent="0.3">
      <c r="A32" s="3" t="s">
        <v>39</v>
      </c>
      <c r="B32" s="3">
        <v>11</v>
      </c>
      <c r="C32" s="4">
        <v>20</v>
      </c>
      <c r="D32" s="4">
        <f>C32*B32</f>
        <v>220</v>
      </c>
    </row>
    <row r="33" spans="1:5" ht="17.25" x14ac:dyDescent="0.3">
      <c r="A33" s="3" t="s">
        <v>40</v>
      </c>
      <c r="B33" s="3">
        <v>11</v>
      </c>
      <c r="C33" s="4">
        <v>26</v>
      </c>
      <c r="D33" s="4">
        <f>C33*B33</f>
        <v>286</v>
      </c>
    </row>
    <row r="34" spans="1:5" ht="17.25" x14ac:dyDescent="0.3">
      <c r="A34" s="11"/>
      <c r="B34" s="7"/>
      <c r="C34" s="15" t="s">
        <v>44</v>
      </c>
      <c r="D34" s="8">
        <f>SUM(D21:D33)*0.065</f>
        <v>1141.1400000000001</v>
      </c>
    </row>
    <row r="35" spans="1:5" ht="17.25" x14ac:dyDescent="0.3">
      <c r="A35" s="3"/>
      <c r="B35" s="3"/>
      <c r="C35" s="12" t="s">
        <v>41</v>
      </c>
      <c r="D35" s="10">
        <f>SUM(D21:D34)</f>
        <v>18697.14</v>
      </c>
      <c r="E35" s="97" t="s">
        <v>360</v>
      </c>
    </row>
    <row r="36" spans="1:5" ht="17.25" x14ac:dyDescent="0.3">
      <c r="A36" s="3"/>
      <c r="B36" s="3"/>
      <c r="C36" s="4" t="s">
        <v>191</v>
      </c>
      <c r="D36" s="4">
        <v>19966.5</v>
      </c>
    </row>
    <row r="37" spans="1:5" ht="17.25" x14ac:dyDescent="0.3">
      <c r="A37" s="3"/>
      <c r="B37" s="3"/>
      <c r="C37" s="95" t="s">
        <v>354</v>
      </c>
      <c r="D37" s="95">
        <f>D36-D35</f>
        <v>1269.3600000000006</v>
      </c>
    </row>
    <row r="38" spans="1:5" ht="17.25" x14ac:dyDescent="0.3">
      <c r="A38" s="3"/>
    </row>
    <row r="39" spans="1:5" ht="18.75" x14ac:dyDescent="0.3">
      <c r="A39" s="98" t="s">
        <v>2</v>
      </c>
      <c r="B39" s="98"/>
      <c r="C39" s="98"/>
      <c r="D39" s="98"/>
      <c r="E39" s="98"/>
    </row>
    <row r="40" spans="1:5" ht="17.25" x14ac:dyDescent="0.3">
      <c r="A40" s="2" t="s">
        <v>17</v>
      </c>
      <c r="B40" s="2" t="s">
        <v>18</v>
      </c>
      <c r="C40" s="2" t="s">
        <v>12</v>
      </c>
      <c r="D40" s="2" t="s">
        <v>27</v>
      </c>
      <c r="E40" s="2" t="s">
        <v>13</v>
      </c>
    </row>
    <row r="41" spans="1:5" ht="15.75" x14ac:dyDescent="0.25">
      <c r="A41" s="5" t="s">
        <v>25</v>
      </c>
      <c r="B41" s="5">
        <v>4698</v>
      </c>
      <c r="C41" s="6">
        <v>1.65</v>
      </c>
      <c r="D41" s="5" t="s">
        <v>28</v>
      </c>
      <c r="E41" s="6">
        <f>C41*B41</f>
        <v>7751.7</v>
      </c>
    </row>
    <row r="42" spans="1:5" ht="15.75" x14ac:dyDescent="0.25">
      <c r="A42" s="5" t="s">
        <v>26</v>
      </c>
      <c r="B42" s="5">
        <v>37</v>
      </c>
      <c r="C42" s="6">
        <v>7.5</v>
      </c>
      <c r="D42" s="5" t="s">
        <v>29</v>
      </c>
      <c r="E42" s="6">
        <f t="shared" ref="E42:E48" si="3">C42*B42</f>
        <v>277.5</v>
      </c>
    </row>
    <row r="43" spans="1:5" ht="15.75" x14ac:dyDescent="0.25">
      <c r="A43" s="5" t="s">
        <v>30</v>
      </c>
      <c r="B43" s="5"/>
      <c r="C43" s="6">
        <v>50</v>
      </c>
      <c r="D43" s="5" t="s">
        <v>31</v>
      </c>
      <c r="E43" s="6">
        <f t="shared" si="3"/>
        <v>0</v>
      </c>
    </row>
    <row r="44" spans="1:5" ht="15.75" x14ac:dyDescent="0.25">
      <c r="A44" s="5" t="s">
        <v>32</v>
      </c>
      <c r="B44" s="5">
        <v>7</v>
      </c>
      <c r="C44" s="6">
        <v>75</v>
      </c>
      <c r="D44" s="5" t="s">
        <v>31</v>
      </c>
      <c r="E44" s="6">
        <f t="shared" si="3"/>
        <v>525</v>
      </c>
    </row>
    <row r="45" spans="1:5" ht="15.75" x14ac:dyDescent="0.25">
      <c r="A45" s="5" t="s">
        <v>33</v>
      </c>
      <c r="B45" s="5"/>
      <c r="C45" s="6">
        <v>150</v>
      </c>
      <c r="D45" s="5" t="s">
        <v>31</v>
      </c>
      <c r="E45" s="6">
        <f t="shared" si="3"/>
        <v>0</v>
      </c>
    </row>
    <row r="46" spans="1:5" ht="15.75" x14ac:dyDescent="0.25">
      <c r="A46" s="5" t="s">
        <v>34</v>
      </c>
      <c r="B46" s="5"/>
      <c r="C46" s="6">
        <v>200</v>
      </c>
      <c r="D46" s="5" t="s">
        <v>31</v>
      </c>
      <c r="E46" s="6">
        <f t="shared" si="3"/>
        <v>0</v>
      </c>
    </row>
    <row r="47" spans="1:5" ht="15.75" x14ac:dyDescent="0.25">
      <c r="A47" s="5" t="s">
        <v>35</v>
      </c>
      <c r="B47" s="5"/>
      <c r="C47" s="6">
        <v>13.5</v>
      </c>
      <c r="D47" s="5" t="s">
        <v>29</v>
      </c>
      <c r="E47" s="6">
        <f t="shared" si="3"/>
        <v>0</v>
      </c>
    </row>
    <row r="48" spans="1:5" ht="15.75" x14ac:dyDescent="0.25">
      <c r="A48" s="13" t="s">
        <v>36</v>
      </c>
      <c r="B48" s="13"/>
      <c r="C48" s="14">
        <v>17.5</v>
      </c>
      <c r="D48" s="13" t="s">
        <v>29</v>
      </c>
      <c r="E48" s="14">
        <f t="shared" si="3"/>
        <v>0</v>
      </c>
    </row>
    <row r="49" spans="1:6" ht="17.25" x14ac:dyDescent="0.3">
      <c r="A49" s="5"/>
      <c r="B49" s="5"/>
      <c r="C49" s="5"/>
      <c r="D49" s="12" t="s">
        <v>43</v>
      </c>
      <c r="E49" s="10">
        <f>SUM(E41:E48)</f>
        <v>8554.2000000000007</v>
      </c>
      <c r="F49" s="97" t="s">
        <v>359</v>
      </c>
    </row>
    <row r="50" spans="1:6" ht="17.25" x14ac:dyDescent="0.3">
      <c r="A50" s="3"/>
      <c r="B50" s="3"/>
      <c r="D50" s="4" t="s">
        <v>191</v>
      </c>
      <c r="E50" s="4">
        <v>9396</v>
      </c>
    </row>
    <row r="51" spans="1:6" ht="17.25" x14ac:dyDescent="0.3">
      <c r="A51" s="3"/>
      <c r="B51" s="3"/>
      <c r="D51" s="95" t="s">
        <v>354</v>
      </c>
      <c r="E51" s="95">
        <f>E50-E49</f>
        <v>841.79999999999927</v>
      </c>
    </row>
    <row r="53" spans="1:6" ht="18.75" x14ac:dyDescent="0.3">
      <c r="A53" s="98" t="s">
        <v>87</v>
      </c>
      <c r="B53" s="98"/>
      <c r="C53" s="98"/>
      <c r="D53" s="98"/>
    </row>
    <row r="54" spans="1:6" ht="17.25" x14ac:dyDescent="0.3">
      <c r="B54" s="2" t="s">
        <v>18</v>
      </c>
      <c r="C54" s="2" t="s">
        <v>12</v>
      </c>
      <c r="D54" s="2" t="s">
        <v>13</v>
      </c>
    </row>
    <row r="55" spans="1:6" ht="15.75" x14ac:dyDescent="0.25">
      <c r="A55" s="5" t="s">
        <v>88</v>
      </c>
      <c r="B55" s="5">
        <v>1</v>
      </c>
      <c r="C55" s="6">
        <v>700</v>
      </c>
      <c r="D55" s="6">
        <f>C55*B55</f>
        <v>700</v>
      </c>
    </row>
    <row r="56" spans="1:6" ht="15.75" x14ac:dyDescent="0.25">
      <c r="A56" s="5" t="s">
        <v>89</v>
      </c>
      <c r="B56" s="5">
        <v>4</v>
      </c>
      <c r="C56" s="6">
        <v>175</v>
      </c>
      <c r="D56" s="6">
        <f t="shared" ref="D56:D57" si="4">C56*B56</f>
        <v>700</v>
      </c>
    </row>
    <row r="57" spans="1:6" ht="15.75" x14ac:dyDescent="0.25">
      <c r="A57" s="5" t="s">
        <v>91</v>
      </c>
      <c r="B57" s="5">
        <v>110</v>
      </c>
      <c r="C57" s="6">
        <v>3</v>
      </c>
      <c r="D57" s="6">
        <f t="shared" si="4"/>
        <v>330</v>
      </c>
    </row>
    <row r="58" spans="1:6" ht="15.75" x14ac:dyDescent="0.25">
      <c r="A58" s="23" t="s">
        <v>90</v>
      </c>
      <c r="B58" s="13"/>
      <c r="C58" s="14"/>
      <c r="D58" s="14">
        <f>SUM(D55:D57)*0.08</f>
        <v>138.4</v>
      </c>
    </row>
    <row r="59" spans="1:6" ht="15.75" x14ac:dyDescent="0.25">
      <c r="A59" s="5"/>
      <c r="B59" s="5"/>
      <c r="C59" s="24" t="s">
        <v>92</v>
      </c>
      <c r="D59" s="25">
        <f>SUM(D55:D58)</f>
        <v>1868.4</v>
      </c>
      <c r="E59" s="97" t="s">
        <v>358</v>
      </c>
    </row>
    <row r="60" spans="1:6" ht="17.25" x14ac:dyDescent="0.3">
      <c r="A60" s="5"/>
      <c r="B60" s="5"/>
      <c r="C60" s="4" t="s">
        <v>191</v>
      </c>
      <c r="D60" s="4">
        <v>1800</v>
      </c>
    </row>
    <row r="61" spans="1:6" ht="17.25" x14ac:dyDescent="0.3">
      <c r="A61" s="5"/>
      <c r="B61" s="5"/>
      <c r="C61" s="96" t="s">
        <v>357</v>
      </c>
      <c r="D61" s="96">
        <f>D60-D59</f>
        <v>-68.400000000000091</v>
      </c>
    </row>
    <row r="62" spans="1:6" ht="15.75" x14ac:dyDescent="0.25">
      <c r="A62" s="5"/>
      <c r="B62" s="5"/>
      <c r="C62" s="6"/>
      <c r="D62" s="6"/>
    </row>
    <row r="63" spans="1:6" ht="15.75" x14ac:dyDescent="0.25">
      <c r="A63" s="5"/>
      <c r="B63" s="5"/>
      <c r="C63" s="5"/>
      <c r="D63" s="5"/>
    </row>
    <row r="64" spans="1:6" ht="15.75" x14ac:dyDescent="0.25">
      <c r="A64" s="5"/>
      <c r="B64" s="5"/>
      <c r="C64" s="5"/>
      <c r="D64" s="5"/>
    </row>
    <row r="65" spans="1:4" ht="15.75" x14ac:dyDescent="0.25">
      <c r="A65" s="5"/>
      <c r="B65" s="5"/>
      <c r="C65" s="5"/>
      <c r="D65" s="5"/>
    </row>
    <row r="66" spans="1:4" ht="15.75" x14ac:dyDescent="0.25">
      <c r="A66" s="5"/>
      <c r="B66" s="5"/>
      <c r="C66" s="5"/>
      <c r="D66" s="5"/>
    </row>
    <row r="67" spans="1:4" ht="15.75" x14ac:dyDescent="0.25">
      <c r="A67" s="5"/>
      <c r="B67" s="5"/>
      <c r="C67" s="5"/>
      <c r="D67" s="5"/>
    </row>
    <row r="68" spans="1:4" ht="15.75" x14ac:dyDescent="0.25">
      <c r="A68" s="5"/>
      <c r="B68" s="5"/>
      <c r="C68" s="5"/>
      <c r="D68" s="5"/>
    </row>
  </sheetData>
  <mergeCells count="6">
    <mergeCell ref="A1:G1"/>
    <mergeCell ref="A5:D5"/>
    <mergeCell ref="A19:D19"/>
    <mergeCell ref="A39:E39"/>
    <mergeCell ref="A53:D53"/>
    <mergeCell ref="A2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1386-DC45-4135-9954-2A129E038D96}">
  <dimension ref="A1:I56"/>
  <sheetViews>
    <sheetView zoomScale="130" zoomScaleNormal="130" workbookViewId="0">
      <selection activeCell="A53" sqref="A4:C53"/>
    </sheetView>
  </sheetViews>
  <sheetFormatPr defaultColWidth="20.7109375" defaultRowHeight="18.75" x14ac:dyDescent="0.3"/>
  <cols>
    <col min="1" max="1" width="22.7109375" style="1" customWidth="1"/>
    <col min="2" max="2" width="28.5703125" style="1" hidden="1" customWidth="1"/>
    <col min="3" max="3" width="9.5703125" style="1" customWidth="1"/>
    <col min="4" max="5" width="15.7109375" style="1" customWidth="1"/>
    <col min="6" max="16384" width="20.7109375" style="1"/>
  </cols>
  <sheetData>
    <row r="1" spans="1:6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6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4" spans="1:6" x14ac:dyDescent="0.3">
      <c r="A4" s="98" t="s">
        <v>57</v>
      </c>
      <c r="B4" s="98"/>
    </row>
    <row r="5" spans="1:6" x14ac:dyDescent="0.3">
      <c r="A5" s="17" t="s">
        <v>10</v>
      </c>
      <c r="B5" s="17" t="s">
        <v>17</v>
      </c>
      <c r="C5" s="17" t="s">
        <v>11</v>
      </c>
      <c r="D5" s="17" t="s">
        <v>12</v>
      </c>
      <c r="E5" s="17" t="s">
        <v>13</v>
      </c>
    </row>
    <row r="7" spans="1:6" x14ac:dyDescent="0.3">
      <c r="A7" s="1" t="s">
        <v>66</v>
      </c>
      <c r="B7" s="1" t="s">
        <v>367</v>
      </c>
      <c r="C7" s="1">
        <v>4</v>
      </c>
      <c r="D7" s="19">
        <v>29.84</v>
      </c>
      <c r="E7" s="19">
        <f t="shared" ref="E7:E31" si="0">D7*C7</f>
        <v>119.36</v>
      </c>
      <c r="F7" s="1">
        <v>14</v>
      </c>
    </row>
    <row r="8" spans="1:6" x14ac:dyDescent="0.3">
      <c r="B8" s="1" t="s">
        <v>370</v>
      </c>
      <c r="D8" s="19"/>
      <c r="E8" s="19"/>
    </row>
    <row r="9" spans="1:6" x14ac:dyDescent="0.3">
      <c r="A9" s="1" t="s">
        <v>65</v>
      </c>
      <c r="B9" s="1" t="s">
        <v>364</v>
      </c>
      <c r="C9" s="1">
        <v>2</v>
      </c>
      <c r="D9" s="19">
        <v>35</v>
      </c>
      <c r="E9" s="19">
        <f t="shared" si="0"/>
        <v>70</v>
      </c>
      <c r="F9" s="1">
        <v>8</v>
      </c>
    </row>
    <row r="10" spans="1:6" x14ac:dyDescent="0.3">
      <c r="D10" s="19"/>
      <c r="E10" s="19"/>
    </row>
    <row r="11" spans="1:6" x14ac:dyDescent="0.3">
      <c r="A11" s="1" t="s">
        <v>64</v>
      </c>
      <c r="B11" s="1" t="s">
        <v>372</v>
      </c>
      <c r="C11" s="1">
        <v>10</v>
      </c>
      <c r="D11" s="19">
        <v>38.36</v>
      </c>
      <c r="E11" s="19">
        <f t="shared" si="0"/>
        <v>383.6</v>
      </c>
      <c r="F11" s="1">
        <v>45</v>
      </c>
    </row>
    <row r="12" spans="1:6" x14ac:dyDescent="0.3">
      <c r="B12" s="1" t="s">
        <v>371</v>
      </c>
      <c r="D12" s="19"/>
      <c r="E12" s="19"/>
    </row>
    <row r="13" spans="1:6" x14ac:dyDescent="0.3">
      <c r="A13" s="1" t="s">
        <v>63</v>
      </c>
      <c r="B13" s="1" t="s">
        <v>375</v>
      </c>
      <c r="C13" s="1">
        <v>3</v>
      </c>
      <c r="D13" s="19">
        <v>61</v>
      </c>
      <c r="E13" s="19">
        <f t="shared" si="0"/>
        <v>183</v>
      </c>
      <c r="F13" s="18">
        <v>22.5</v>
      </c>
    </row>
    <row r="14" spans="1:6" x14ac:dyDescent="0.3">
      <c r="B14" s="1" t="s">
        <v>374</v>
      </c>
      <c r="D14" s="19"/>
      <c r="E14" s="19"/>
    </row>
    <row r="15" spans="1:6" x14ac:dyDescent="0.3">
      <c r="A15" s="1" t="s">
        <v>62</v>
      </c>
      <c r="B15" s="1" t="s">
        <v>362</v>
      </c>
      <c r="C15" s="1">
        <v>1</v>
      </c>
      <c r="D15" s="19">
        <v>69</v>
      </c>
      <c r="E15" s="19">
        <f t="shared" si="0"/>
        <v>69</v>
      </c>
      <c r="F15" s="18">
        <v>8.3330000000000002</v>
      </c>
    </row>
    <row r="16" spans="1:6" x14ac:dyDescent="0.3">
      <c r="D16" s="19"/>
      <c r="E16" s="19"/>
    </row>
    <row r="17" spans="1:6" x14ac:dyDescent="0.3">
      <c r="A17" s="1" t="s">
        <v>61</v>
      </c>
      <c r="B17" s="1" t="s">
        <v>361</v>
      </c>
      <c r="C17" s="1">
        <v>1</v>
      </c>
      <c r="D17" s="19">
        <v>79.55</v>
      </c>
      <c r="E17" s="19">
        <f t="shared" si="0"/>
        <v>79.55</v>
      </c>
      <c r="F17" s="18">
        <v>9.3330000000000002</v>
      </c>
    </row>
    <row r="18" spans="1:6" x14ac:dyDescent="0.3">
      <c r="D18" s="19"/>
      <c r="E18" s="19"/>
    </row>
    <row r="19" spans="1:6" x14ac:dyDescent="0.3">
      <c r="A19" s="1" t="s">
        <v>72</v>
      </c>
      <c r="B19" s="1" t="s">
        <v>373</v>
      </c>
      <c r="C19" s="1">
        <v>3</v>
      </c>
      <c r="D19" s="19">
        <v>89.51</v>
      </c>
      <c r="E19" s="19">
        <f t="shared" si="0"/>
        <v>268.53000000000003</v>
      </c>
      <c r="F19" s="18">
        <v>31.5</v>
      </c>
    </row>
    <row r="20" spans="1:6" x14ac:dyDescent="0.3">
      <c r="B20" s="1" t="s">
        <v>363</v>
      </c>
      <c r="D20" s="19"/>
      <c r="E20" s="19"/>
    </row>
    <row r="21" spans="1:6" x14ac:dyDescent="0.3">
      <c r="D21" s="19"/>
      <c r="E21" s="19"/>
    </row>
    <row r="22" spans="1:6" x14ac:dyDescent="0.3">
      <c r="A22" s="1" t="s">
        <v>71</v>
      </c>
      <c r="B22" s="1" t="s">
        <v>377</v>
      </c>
      <c r="C22" s="1">
        <v>4</v>
      </c>
      <c r="D22" s="19">
        <v>102.3</v>
      </c>
      <c r="E22" s="19">
        <f t="shared" si="0"/>
        <v>409.2</v>
      </c>
      <c r="F22" s="1">
        <v>48</v>
      </c>
    </row>
    <row r="23" spans="1:6" x14ac:dyDescent="0.3">
      <c r="B23" s="1" t="s">
        <v>376</v>
      </c>
      <c r="D23" s="19"/>
      <c r="E23" s="19"/>
    </row>
    <row r="24" spans="1:6" x14ac:dyDescent="0.3">
      <c r="D24" s="19"/>
      <c r="E24" s="19"/>
    </row>
    <row r="25" spans="1:6" x14ac:dyDescent="0.3">
      <c r="A25" s="1" t="s">
        <v>70</v>
      </c>
      <c r="B25" s="1" t="s">
        <v>365</v>
      </c>
      <c r="C25" s="1">
        <v>1</v>
      </c>
      <c r="D25" s="19">
        <v>115</v>
      </c>
      <c r="E25" s="19">
        <f t="shared" si="0"/>
        <v>115</v>
      </c>
      <c r="F25" s="1">
        <v>13.33</v>
      </c>
    </row>
    <row r="26" spans="1:6" x14ac:dyDescent="0.3">
      <c r="D26" s="19"/>
      <c r="E26" s="19"/>
    </row>
    <row r="27" spans="1:6" x14ac:dyDescent="0.3">
      <c r="A27" s="1" t="s">
        <v>69</v>
      </c>
      <c r="B27" s="1" t="s">
        <v>366</v>
      </c>
      <c r="C27" s="1">
        <v>1</v>
      </c>
      <c r="D27" s="19">
        <v>120</v>
      </c>
      <c r="E27" s="19">
        <f t="shared" si="0"/>
        <v>120</v>
      </c>
      <c r="F27" s="1">
        <v>14</v>
      </c>
    </row>
    <row r="28" spans="1:6" x14ac:dyDescent="0.3">
      <c r="D28" s="19"/>
      <c r="E28" s="19"/>
    </row>
    <row r="29" spans="1:6" x14ac:dyDescent="0.3">
      <c r="A29" s="1" t="s">
        <v>68</v>
      </c>
      <c r="B29" s="1" t="s">
        <v>369</v>
      </c>
      <c r="C29" s="1">
        <v>2</v>
      </c>
      <c r="D29" s="19">
        <v>221</v>
      </c>
      <c r="E29" s="19">
        <f t="shared" si="0"/>
        <v>442</v>
      </c>
      <c r="F29" s="18">
        <v>34.67</v>
      </c>
    </row>
    <row r="30" spans="1:6" x14ac:dyDescent="0.3">
      <c r="D30" s="19"/>
      <c r="E30" s="19"/>
    </row>
    <row r="31" spans="1:6" x14ac:dyDescent="0.3">
      <c r="A31" s="1" t="s">
        <v>67</v>
      </c>
      <c r="B31" s="1" t="s">
        <v>368</v>
      </c>
      <c r="C31" s="1">
        <v>1</v>
      </c>
      <c r="D31" s="19">
        <v>280</v>
      </c>
      <c r="E31" s="19">
        <f t="shared" si="0"/>
        <v>280</v>
      </c>
      <c r="F31" s="18">
        <v>21.33</v>
      </c>
    </row>
    <row r="32" spans="1:6" x14ac:dyDescent="0.3">
      <c r="A32" s="1" t="s">
        <v>190</v>
      </c>
      <c r="C32" s="1">
        <v>20</v>
      </c>
      <c r="D32" s="19">
        <v>16.04</v>
      </c>
      <c r="E32" s="19">
        <f t="shared" ref="E32" si="1">D32*C32</f>
        <v>320.79999999999995</v>
      </c>
    </row>
    <row r="33" spans="1:9" x14ac:dyDescent="0.3">
      <c r="G33" s="1">
        <f>SUM(F7:F32)</f>
        <v>269.99599999999998</v>
      </c>
      <c r="H33" s="1">
        <v>451.6</v>
      </c>
    </row>
    <row r="34" spans="1:9" x14ac:dyDescent="0.3">
      <c r="A34" s="98" t="s">
        <v>59</v>
      </c>
      <c r="B34" s="98"/>
      <c r="G34" s="1">
        <f>G33/20</f>
        <v>13.499799999999999</v>
      </c>
      <c r="H34" s="1">
        <f>451.6/20</f>
        <v>22.580000000000002</v>
      </c>
      <c r="I34" s="1">
        <f>G34+H34</f>
        <v>36.079799999999999</v>
      </c>
    </row>
    <row r="35" spans="1:9" x14ac:dyDescent="0.3">
      <c r="A35" s="17" t="s">
        <v>10</v>
      </c>
      <c r="B35" s="17" t="s">
        <v>17</v>
      </c>
      <c r="C35" s="17" t="s">
        <v>11</v>
      </c>
      <c r="D35" s="17" t="s">
        <v>12</v>
      </c>
      <c r="E35" s="17" t="s">
        <v>13</v>
      </c>
    </row>
    <row r="36" spans="1:9" x14ac:dyDescent="0.3">
      <c r="A36" s="1" t="s">
        <v>60</v>
      </c>
      <c r="B36" s="1" t="s">
        <v>378</v>
      </c>
      <c r="C36" s="1">
        <v>3</v>
      </c>
      <c r="D36" s="19">
        <v>35</v>
      </c>
      <c r="E36" s="19">
        <f>D36*C36</f>
        <v>105</v>
      </c>
    </row>
    <row r="37" spans="1:9" x14ac:dyDescent="0.3">
      <c r="D37" s="19"/>
      <c r="E37" s="19"/>
    </row>
    <row r="38" spans="1:9" x14ac:dyDescent="0.3">
      <c r="A38" s="98" t="s">
        <v>58</v>
      </c>
      <c r="B38" s="98"/>
    </row>
    <row r="39" spans="1:9" x14ac:dyDescent="0.3">
      <c r="A39" s="17" t="s">
        <v>10</v>
      </c>
      <c r="B39" s="17" t="s">
        <v>17</v>
      </c>
      <c r="C39" s="17" t="s">
        <v>11</v>
      </c>
      <c r="D39" s="17" t="s">
        <v>12</v>
      </c>
      <c r="E39" s="17" t="s">
        <v>13</v>
      </c>
    </row>
    <row r="40" spans="1:9" x14ac:dyDescent="0.3">
      <c r="A40" s="1" t="s">
        <v>73</v>
      </c>
      <c r="C40" s="1">
        <v>3</v>
      </c>
      <c r="D40" s="19">
        <v>21.03</v>
      </c>
      <c r="E40" s="19">
        <f t="shared" ref="E40:E42" si="2">D40*C40</f>
        <v>63.09</v>
      </c>
    </row>
    <row r="41" spans="1:9" x14ac:dyDescent="0.3">
      <c r="A41" s="1" t="s">
        <v>74</v>
      </c>
      <c r="C41" s="1">
        <v>20</v>
      </c>
      <c r="D41" s="19">
        <v>30.68</v>
      </c>
      <c r="E41" s="19">
        <f t="shared" si="2"/>
        <v>613.6</v>
      </c>
    </row>
    <row r="42" spans="1:9" x14ac:dyDescent="0.3">
      <c r="A42" s="1" t="s">
        <v>75</v>
      </c>
      <c r="C42" s="1">
        <v>1</v>
      </c>
      <c r="D42" s="19">
        <v>78</v>
      </c>
      <c r="E42" s="19">
        <f t="shared" si="2"/>
        <v>78</v>
      </c>
    </row>
    <row r="44" spans="1:9" x14ac:dyDescent="0.3">
      <c r="A44" s="98" t="s">
        <v>76</v>
      </c>
      <c r="B44" s="98"/>
    </row>
    <row r="45" spans="1:9" x14ac:dyDescent="0.3">
      <c r="A45" s="17" t="s">
        <v>10</v>
      </c>
      <c r="B45" s="17" t="s">
        <v>17</v>
      </c>
      <c r="C45" s="17" t="s">
        <v>11</v>
      </c>
      <c r="D45" s="17" t="s">
        <v>12</v>
      </c>
      <c r="E45" s="17" t="s">
        <v>13</v>
      </c>
    </row>
    <row r="46" spans="1:9" x14ac:dyDescent="0.3">
      <c r="A46" s="1" t="s">
        <v>77</v>
      </c>
      <c r="B46" s="1" t="s">
        <v>79</v>
      </c>
      <c r="C46" s="1">
        <v>104</v>
      </c>
      <c r="D46" s="19">
        <v>7.47</v>
      </c>
      <c r="E46" s="19">
        <f>D46*C46</f>
        <v>776.88</v>
      </c>
    </row>
    <row r="47" spans="1:9" x14ac:dyDescent="0.3">
      <c r="A47" s="1" t="s">
        <v>78</v>
      </c>
      <c r="B47" s="1" t="s">
        <v>80</v>
      </c>
      <c r="C47" s="1">
        <v>40</v>
      </c>
      <c r="D47" s="19">
        <v>8.8699999999999992</v>
      </c>
      <c r="E47" s="19">
        <f t="shared" ref="E47:E53" si="3">D47*C47</f>
        <v>354.79999999999995</v>
      </c>
    </row>
    <row r="48" spans="1:9" x14ac:dyDescent="0.3">
      <c r="A48" s="1" t="s">
        <v>4</v>
      </c>
      <c r="B48" s="1" t="s">
        <v>81</v>
      </c>
      <c r="C48" s="1">
        <v>37</v>
      </c>
      <c r="D48" s="19">
        <v>13.95</v>
      </c>
      <c r="E48" s="19">
        <f t="shared" si="3"/>
        <v>516.15</v>
      </c>
      <c r="F48" s="1" t="s">
        <v>379</v>
      </c>
    </row>
    <row r="49" spans="1:9" x14ac:dyDescent="0.3">
      <c r="A49" s="1" t="s">
        <v>82</v>
      </c>
      <c r="B49" s="1" t="s">
        <v>83</v>
      </c>
      <c r="C49" s="1">
        <v>2</v>
      </c>
      <c r="D49" s="19">
        <v>14.55</v>
      </c>
      <c r="E49" s="19">
        <f t="shared" si="3"/>
        <v>29.1</v>
      </c>
      <c r="F49" s="1" t="s">
        <v>380</v>
      </c>
      <c r="H49" s="1" t="s">
        <v>385</v>
      </c>
      <c r="I49" s="1" t="s">
        <v>386</v>
      </c>
    </row>
    <row r="50" spans="1:9" x14ac:dyDescent="0.3">
      <c r="A50" s="1" t="s">
        <v>9</v>
      </c>
      <c r="C50" s="1">
        <v>1</v>
      </c>
      <c r="D50" s="19">
        <v>15.7</v>
      </c>
      <c r="E50" s="19">
        <f t="shared" si="3"/>
        <v>15.7</v>
      </c>
    </row>
    <row r="51" spans="1:9" x14ac:dyDescent="0.3">
      <c r="A51" s="1" t="s">
        <v>84</v>
      </c>
      <c r="C51" s="1">
        <v>22</v>
      </c>
      <c r="D51" s="19">
        <v>0.87</v>
      </c>
      <c r="E51" s="19">
        <f t="shared" si="3"/>
        <v>19.14</v>
      </c>
      <c r="F51" s="1" t="s">
        <v>381</v>
      </c>
    </row>
    <row r="52" spans="1:9" x14ac:dyDescent="0.3">
      <c r="A52" s="1" t="s">
        <v>85</v>
      </c>
      <c r="C52" s="1">
        <v>22</v>
      </c>
      <c r="D52" s="19">
        <v>0.73</v>
      </c>
      <c r="E52" s="19">
        <f t="shared" si="3"/>
        <v>16.059999999999999</v>
      </c>
      <c r="F52" s="1" t="s">
        <v>382</v>
      </c>
    </row>
    <row r="53" spans="1:9" x14ac:dyDescent="0.3">
      <c r="A53" s="1" t="s">
        <v>86</v>
      </c>
      <c r="C53" s="1">
        <v>300</v>
      </c>
      <c r="D53" s="19">
        <v>2.0499999999999998</v>
      </c>
      <c r="E53" s="19">
        <f t="shared" si="3"/>
        <v>615</v>
      </c>
      <c r="F53" s="1" t="s">
        <v>383</v>
      </c>
      <c r="G53" s="1" t="s">
        <v>384</v>
      </c>
    </row>
    <row r="54" spans="1:9" x14ac:dyDescent="0.3">
      <c r="D54" s="18" t="s">
        <v>197</v>
      </c>
      <c r="E54" s="19">
        <f>SUM(E28:E53)*0.07</f>
        <v>297.17239999999998</v>
      </c>
    </row>
    <row r="56" spans="1:9" x14ac:dyDescent="0.3">
      <c r="D56" s="22" t="s">
        <v>37</v>
      </c>
      <c r="E56" s="21">
        <f>SUM(E7:E54)</f>
        <v>6359.7324000000008</v>
      </c>
    </row>
  </sheetData>
  <sortState xmlns:xlrd2="http://schemas.microsoft.com/office/spreadsheetml/2017/richdata2" ref="A19:A31">
    <sortCondition ref="A19:A31"/>
  </sortState>
  <mergeCells count="6">
    <mergeCell ref="A4:B4"/>
    <mergeCell ref="A38:B38"/>
    <mergeCell ref="A34:B34"/>
    <mergeCell ref="A44:B44"/>
    <mergeCell ref="A1:E1"/>
    <mergeCell ref="A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228B-64D4-4B06-BC20-A0297328E2D0}">
  <dimension ref="A1:O77"/>
  <sheetViews>
    <sheetView topLeftCell="A61" workbookViewId="0">
      <selection activeCell="I74" sqref="I74"/>
    </sheetView>
  </sheetViews>
  <sheetFormatPr defaultRowHeight="18.75" x14ac:dyDescent="0.3"/>
  <cols>
    <col min="1" max="1" width="33.28515625" style="1" customWidth="1"/>
    <col min="2" max="2" width="12.140625" style="1" customWidth="1"/>
    <col min="3" max="3" width="17.42578125" style="1" customWidth="1"/>
    <col min="4" max="4" width="17.28515625" style="1" customWidth="1"/>
    <col min="5" max="5" width="12.140625" style="1" customWidth="1"/>
    <col min="6" max="6" width="15.140625" style="1" customWidth="1"/>
    <col min="7" max="8" width="14.85546875" style="1" customWidth="1"/>
    <col min="9" max="9" width="20.85546875" style="1" customWidth="1"/>
    <col min="10" max="13" width="9.140625" style="1"/>
    <col min="14" max="14" width="11.42578125" style="1" customWidth="1"/>
    <col min="15" max="15" width="14.28515625" style="1" customWidth="1"/>
    <col min="16" max="16384" width="9.140625" style="1"/>
  </cols>
  <sheetData>
    <row r="1" spans="1:10" ht="42.75" customHeight="1" x14ac:dyDescent="0.3">
      <c r="A1" s="101" t="str">
        <f>('Cover Page'!A1)</f>
        <v>Veranda Bay Olsen Model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39" customHeight="1" x14ac:dyDescent="0.3">
      <c r="A2" s="102" t="str">
        <f>('Cover Page'!A2)</f>
        <v>183 Stillwater Drive</v>
      </c>
      <c r="B2" s="102"/>
      <c r="C2" s="102"/>
      <c r="D2" s="102"/>
      <c r="E2" s="102"/>
      <c r="F2" s="102"/>
      <c r="G2" s="102"/>
      <c r="H2" s="102"/>
      <c r="I2" s="102"/>
      <c r="J2" s="102"/>
    </row>
    <row r="4" spans="1:10" x14ac:dyDescent="0.3">
      <c r="A4" s="98" t="s">
        <v>94</v>
      </c>
      <c r="B4" s="98"/>
      <c r="C4" s="98"/>
      <c r="D4" s="98"/>
      <c r="E4" s="98"/>
      <c r="F4" s="98"/>
      <c r="G4" s="98"/>
      <c r="H4" s="98"/>
      <c r="I4" s="98"/>
    </row>
    <row r="6" spans="1:10" x14ac:dyDescent="0.3">
      <c r="A6" s="16" t="s">
        <v>93</v>
      </c>
      <c r="B6" s="17" t="s">
        <v>49</v>
      </c>
    </row>
    <row r="7" spans="1:10" x14ac:dyDescent="0.3">
      <c r="A7" s="18" t="s">
        <v>45</v>
      </c>
    </row>
    <row r="8" spans="1:10" x14ac:dyDescent="0.3">
      <c r="A8" s="18" t="s">
        <v>46</v>
      </c>
    </row>
    <row r="9" spans="1:10" x14ac:dyDescent="0.3">
      <c r="A9" s="18" t="s">
        <v>47</v>
      </c>
    </row>
    <row r="10" spans="1:10" x14ac:dyDescent="0.3">
      <c r="A10" s="18" t="s">
        <v>48</v>
      </c>
    </row>
    <row r="15" spans="1:10" x14ac:dyDescent="0.3">
      <c r="A15" s="17" t="s">
        <v>10</v>
      </c>
      <c r="B15" s="17" t="s">
        <v>11</v>
      </c>
      <c r="C15" s="17" t="s">
        <v>12</v>
      </c>
      <c r="D15" s="17" t="s">
        <v>13</v>
      </c>
      <c r="G15" s="16"/>
      <c r="I15" s="16" t="s">
        <v>10</v>
      </c>
      <c r="J15" s="16" t="s">
        <v>53</v>
      </c>
    </row>
    <row r="16" spans="1:10" x14ac:dyDescent="0.3">
      <c r="A16" s="1">
        <v>8816</v>
      </c>
      <c r="B16" s="1">
        <v>3396</v>
      </c>
      <c r="C16" s="19">
        <v>1.75</v>
      </c>
      <c r="D16" s="19">
        <f>C16*B16</f>
        <v>5943</v>
      </c>
      <c r="E16" s="1">
        <f>B16*28</f>
        <v>95088</v>
      </c>
      <c r="I16" s="18" t="s">
        <v>54</v>
      </c>
      <c r="J16" s="1">
        <v>2204</v>
      </c>
    </row>
    <row r="17" spans="1:11" x14ac:dyDescent="0.3">
      <c r="A17" s="1">
        <v>8814</v>
      </c>
      <c r="B17" s="1">
        <v>90</v>
      </c>
      <c r="C17" s="19">
        <v>2</v>
      </c>
      <c r="D17" s="19">
        <f t="shared" ref="D17:D28" si="0">C17*B17</f>
        <v>180</v>
      </c>
      <c r="E17" s="1">
        <f>B17*25</f>
        <v>2250</v>
      </c>
      <c r="I17" s="18" t="s">
        <v>55</v>
      </c>
      <c r="J17" s="1">
        <v>40</v>
      </c>
    </row>
    <row r="18" spans="1:11" x14ac:dyDescent="0.3">
      <c r="A18" s="1">
        <v>8812</v>
      </c>
      <c r="B18" s="1">
        <v>250</v>
      </c>
      <c r="C18" s="19">
        <v>2.35</v>
      </c>
      <c r="D18" s="19">
        <f t="shared" si="0"/>
        <v>587.5</v>
      </c>
      <c r="E18" s="1">
        <f>B18*22</f>
        <v>5500</v>
      </c>
      <c r="I18" s="18">
        <v>8816</v>
      </c>
      <c r="J18" s="1">
        <v>28</v>
      </c>
    </row>
    <row r="19" spans="1:11" x14ac:dyDescent="0.3">
      <c r="A19" s="1">
        <v>888</v>
      </c>
      <c r="B19" s="1">
        <v>325</v>
      </c>
      <c r="C19" s="19">
        <v>1.85</v>
      </c>
      <c r="D19" s="19">
        <f t="shared" si="0"/>
        <v>601.25</v>
      </c>
      <c r="E19" s="1">
        <f>B19*14</f>
        <v>4550</v>
      </c>
      <c r="I19" s="1">
        <v>888</v>
      </c>
      <c r="J19" s="1">
        <v>14</v>
      </c>
    </row>
    <row r="20" spans="1:11" x14ac:dyDescent="0.3">
      <c r="A20" s="1">
        <v>8416</v>
      </c>
      <c r="B20" s="1">
        <v>72</v>
      </c>
      <c r="C20" s="19">
        <v>1.9</v>
      </c>
      <c r="D20" s="19">
        <f t="shared" si="0"/>
        <v>136.79999999999998</v>
      </c>
      <c r="E20" s="1">
        <f>B20*14</f>
        <v>1008</v>
      </c>
    </row>
    <row r="21" spans="1:11" x14ac:dyDescent="0.3">
      <c r="A21" s="18" t="s">
        <v>51</v>
      </c>
      <c r="B21" s="1">
        <v>350</v>
      </c>
      <c r="C21" s="19">
        <v>1.95</v>
      </c>
      <c r="D21" s="19">
        <f t="shared" si="0"/>
        <v>682.5</v>
      </c>
      <c r="E21" s="1">
        <f>B21*30</f>
        <v>10500</v>
      </c>
    </row>
    <row r="22" spans="1:11" x14ac:dyDescent="0.3">
      <c r="A22" s="18" t="s">
        <v>388</v>
      </c>
      <c r="B22" s="1">
        <v>24</v>
      </c>
      <c r="C22" s="19">
        <v>2</v>
      </c>
      <c r="D22" s="19">
        <f t="shared" si="0"/>
        <v>48</v>
      </c>
      <c r="E22" s="1">
        <f>B22*28</f>
        <v>672</v>
      </c>
    </row>
    <row r="23" spans="1:11" x14ac:dyDescent="0.3">
      <c r="A23" s="18" t="s">
        <v>387</v>
      </c>
      <c r="B23" s="1">
        <v>90</v>
      </c>
      <c r="C23" s="19">
        <v>2</v>
      </c>
      <c r="D23" s="19">
        <f t="shared" si="0"/>
        <v>180</v>
      </c>
      <c r="E23" s="1">
        <f>B23*30</f>
        <v>2700</v>
      </c>
    </row>
    <row r="24" spans="1:11" x14ac:dyDescent="0.3">
      <c r="A24" s="18" t="s">
        <v>186</v>
      </c>
      <c r="B24" s="1">
        <v>6</v>
      </c>
      <c r="C24" s="46">
        <v>60</v>
      </c>
      <c r="D24" s="19">
        <f t="shared" si="0"/>
        <v>360</v>
      </c>
      <c r="E24" s="1">
        <f>B24*2204</f>
        <v>13224</v>
      </c>
      <c r="I24" s="18" t="s">
        <v>187</v>
      </c>
      <c r="J24" s="1">
        <v>800</v>
      </c>
      <c r="K24" s="1" t="s">
        <v>188</v>
      </c>
    </row>
    <row r="25" spans="1:11" s="18" customFormat="1" x14ac:dyDescent="0.3">
      <c r="A25" s="18" t="s">
        <v>389</v>
      </c>
      <c r="B25" s="18">
        <v>43</v>
      </c>
      <c r="C25" s="19">
        <v>9.6</v>
      </c>
      <c r="D25" s="46">
        <f t="shared" si="0"/>
        <v>412.8</v>
      </c>
      <c r="E25" s="18">
        <f>B25*70</f>
        <v>3010</v>
      </c>
      <c r="I25" s="18" t="s">
        <v>189</v>
      </c>
      <c r="J25" s="18">
        <v>100</v>
      </c>
      <c r="K25" s="18" t="s">
        <v>188</v>
      </c>
    </row>
    <row r="26" spans="1:11" x14ac:dyDescent="0.3">
      <c r="A26" s="18" t="s">
        <v>56</v>
      </c>
      <c r="B26" s="1">
        <v>4</v>
      </c>
      <c r="C26" s="19">
        <v>384.18</v>
      </c>
      <c r="D26" s="19">
        <f t="shared" si="0"/>
        <v>1536.72</v>
      </c>
    </row>
    <row r="27" spans="1:11" x14ac:dyDescent="0.3">
      <c r="A27" s="18" t="s">
        <v>40</v>
      </c>
      <c r="B27" s="1">
        <v>4</v>
      </c>
      <c r="C27" s="19">
        <v>25</v>
      </c>
      <c r="D27" s="19">
        <f t="shared" si="0"/>
        <v>100</v>
      </c>
    </row>
    <row r="28" spans="1:11" x14ac:dyDescent="0.3">
      <c r="A28" s="18" t="s">
        <v>52</v>
      </c>
      <c r="B28" s="1">
        <v>4</v>
      </c>
      <c r="C28" s="19">
        <v>12</v>
      </c>
      <c r="D28" s="19">
        <f t="shared" si="0"/>
        <v>48</v>
      </c>
    </row>
    <row r="29" spans="1:11" x14ac:dyDescent="0.3">
      <c r="C29" s="18" t="s">
        <v>130</v>
      </c>
      <c r="D29" s="19">
        <f>SUM(D16:D28)*0.07</f>
        <v>757.15989999999988</v>
      </c>
    </row>
    <row r="30" spans="1:11" x14ac:dyDescent="0.3">
      <c r="C30" s="22" t="s">
        <v>37</v>
      </c>
      <c r="D30" s="21">
        <f>SUM(D16:D29)</f>
        <v>11573.729899999998</v>
      </c>
    </row>
    <row r="31" spans="1:11" x14ac:dyDescent="0.3">
      <c r="C31" s="18" t="s">
        <v>191</v>
      </c>
      <c r="D31" s="19"/>
    </row>
    <row r="32" spans="1:11" x14ac:dyDescent="0.3">
      <c r="C32" s="18"/>
      <c r="D32" s="19"/>
    </row>
    <row r="33" spans="1:15" x14ac:dyDescent="0.3">
      <c r="D33" s="19"/>
    </row>
    <row r="34" spans="1:15" x14ac:dyDescent="0.3">
      <c r="A34" s="98" t="s">
        <v>95</v>
      </c>
      <c r="B34" s="98"/>
      <c r="C34" s="98"/>
      <c r="D34" s="98"/>
      <c r="E34" s="98"/>
      <c r="F34" s="98"/>
      <c r="G34" s="98"/>
      <c r="H34" s="98"/>
    </row>
    <row r="35" spans="1:15" x14ac:dyDescent="0.3">
      <c r="E35" s="99" t="s">
        <v>192</v>
      </c>
      <c r="F35" s="99"/>
      <c r="G35" s="100" t="s">
        <v>193</v>
      </c>
      <c r="H35" s="100"/>
    </row>
    <row r="36" spans="1:15" x14ac:dyDescent="0.3">
      <c r="A36" s="17" t="s">
        <v>93</v>
      </c>
      <c r="B36" s="17" t="s">
        <v>96</v>
      </c>
      <c r="C36" s="17" t="s">
        <v>97</v>
      </c>
      <c r="D36" s="17" t="s">
        <v>37</v>
      </c>
      <c r="E36" s="17" t="s">
        <v>12</v>
      </c>
      <c r="F36" s="17" t="s">
        <v>13</v>
      </c>
      <c r="G36" s="17" t="s">
        <v>12</v>
      </c>
      <c r="H36" s="17" t="s">
        <v>13</v>
      </c>
    </row>
    <row r="37" spans="1:15" x14ac:dyDescent="0.3">
      <c r="A37" s="18" t="s">
        <v>194</v>
      </c>
      <c r="E37" s="19">
        <v>1.75</v>
      </c>
      <c r="F37" s="19">
        <f>E37*D37</f>
        <v>0</v>
      </c>
      <c r="G37" s="19">
        <v>2</v>
      </c>
      <c r="H37" s="19">
        <f>G37*D37</f>
        <v>0</v>
      </c>
    </row>
    <row r="38" spans="1:15" x14ac:dyDescent="0.3">
      <c r="A38" s="18" t="s">
        <v>98</v>
      </c>
      <c r="E38" s="19">
        <v>1.75</v>
      </c>
      <c r="F38" s="19">
        <f t="shared" ref="F38:F40" si="1">E38*D38</f>
        <v>0</v>
      </c>
      <c r="G38" s="19">
        <v>2</v>
      </c>
      <c r="H38" s="19">
        <f t="shared" ref="H38:H39" si="2">G38*D38</f>
        <v>0</v>
      </c>
    </row>
    <row r="39" spans="1:15" x14ac:dyDescent="0.3">
      <c r="A39" s="18" t="s">
        <v>99</v>
      </c>
      <c r="E39" s="19">
        <v>1.95</v>
      </c>
      <c r="F39" s="19">
        <f t="shared" si="1"/>
        <v>0</v>
      </c>
      <c r="G39" s="19">
        <v>2.25</v>
      </c>
      <c r="H39" s="19">
        <f t="shared" si="2"/>
        <v>0</v>
      </c>
    </row>
    <row r="40" spans="1:15" x14ac:dyDescent="0.3">
      <c r="A40" s="18" t="s">
        <v>195</v>
      </c>
      <c r="E40" s="19">
        <v>15</v>
      </c>
      <c r="F40" s="19">
        <f t="shared" si="1"/>
        <v>0</v>
      </c>
      <c r="G40" s="19"/>
      <c r="H40" s="19"/>
    </row>
    <row r="41" spans="1:15" x14ac:dyDescent="0.3">
      <c r="A41" s="18"/>
      <c r="D41" s="20"/>
      <c r="E41" s="22" t="s">
        <v>100</v>
      </c>
      <c r="F41" s="21">
        <f>SUM(F37:F40)</f>
        <v>0</v>
      </c>
      <c r="G41" s="19"/>
      <c r="H41" s="21">
        <f>SUM(H37:H40)</f>
        <v>0</v>
      </c>
    </row>
    <row r="42" spans="1:15" x14ac:dyDescent="0.3">
      <c r="A42" s="18"/>
      <c r="E42" s="1" t="s">
        <v>191</v>
      </c>
      <c r="F42" s="19"/>
      <c r="G42" s="19"/>
      <c r="H42" s="19"/>
    </row>
    <row r="43" spans="1:15" x14ac:dyDescent="0.3">
      <c r="A43" s="18"/>
      <c r="E43" s="47" t="s">
        <v>196</v>
      </c>
      <c r="F43" s="48">
        <f>F42-F41</f>
        <v>0</v>
      </c>
      <c r="G43" s="19"/>
      <c r="H43" s="48">
        <f>H42-H41</f>
        <v>0</v>
      </c>
    </row>
    <row r="44" spans="1:15" x14ac:dyDescent="0.3">
      <c r="A44" s="18"/>
      <c r="F44" s="19"/>
    </row>
    <row r="45" spans="1:15" x14ac:dyDescent="0.3">
      <c r="A45" s="18"/>
    </row>
    <row r="46" spans="1:15" x14ac:dyDescent="0.3">
      <c r="A46" s="27" t="s">
        <v>101</v>
      </c>
      <c r="O46" s="1" t="s">
        <v>113</v>
      </c>
    </row>
    <row r="47" spans="1:15" x14ac:dyDescent="0.3">
      <c r="A47" s="18"/>
      <c r="B47" s="20" t="s">
        <v>127</v>
      </c>
      <c r="C47" s="29" t="s">
        <v>120</v>
      </c>
      <c r="D47" s="20" t="s">
        <v>11</v>
      </c>
    </row>
    <row r="48" spans="1:15" x14ac:dyDescent="0.3">
      <c r="A48" s="18" t="s">
        <v>116</v>
      </c>
      <c r="C48" s="1">
        <v>9</v>
      </c>
      <c r="D48" s="1">
        <f>C48*B48</f>
        <v>0</v>
      </c>
    </row>
    <row r="49" spans="1:14" x14ac:dyDescent="0.3">
      <c r="A49" s="18" t="s">
        <v>115</v>
      </c>
      <c r="C49" s="1">
        <v>15</v>
      </c>
      <c r="D49" s="1">
        <f t="shared" ref="D49:D52" si="3">C49*B49</f>
        <v>0</v>
      </c>
    </row>
    <row r="50" spans="1:14" x14ac:dyDescent="0.3">
      <c r="A50" s="18" t="s">
        <v>117</v>
      </c>
      <c r="C50" s="1">
        <v>18</v>
      </c>
      <c r="D50" s="1">
        <f t="shared" si="3"/>
        <v>0</v>
      </c>
    </row>
    <row r="51" spans="1:14" x14ac:dyDescent="0.3">
      <c r="A51" s="18" t="s">
        <v>118</v>
      </c>
      <c r="C51" s="1">
        <v>20</v>
      </c>
      <c r="D51" s="1">
        <f t="shared" si="3"/>
        <v>0</v>
      </c>
    </row>
    <row r="52" spans="1:14" x14ac:dyDescent="0.3">
      <c r="A52" s="18" t="s">
        <v>119</v>
      </c>
      <c r="C52" s="1">
        <v>15</v>
      </c>
      <c r="D52" s="1">
        <f t="shared" si="3"/>
        <v>0</v>
      </c>
      <c r="J52" s="16" t="s">
        <v>110</v>
      </c>
      <c r="K52" s="16"/>
      <c r="L52" s="16" t="s">
        <v>111</v>
      </c>
    </row>
    <row r="53" spans="1:14" x14ac:dyDescent="0.3">
      <c r="A53" s="18"/>
      <c r="J53" s="16">
        <v>1</v>
      </c>
      <c r="K53" s="16" t="s">
        <v>112</v>
      </c>
      <c r="L53" s="16">
        <v>27</v>
      </c>
      <c r="N53" s="1">
        <f>J53/L53</f>
        <v>3.7037037037037035E-2</v>
      </c>
    </row>
    <row r="54" spans="1:14" x14ac:dyDescent="0.3">
      <c r="A54" s="29" t="s">
        <v>109</v>
      </c>
      <c r="B54" s="17" t="s">
        <v>50</v>
      </c>
      <c r="C54" s="17" t="s">
        <v>49</v>
      </c>
      <c r="D54" s="17" t="s">
        <v>110</v>
      </c>
      <c r="E54" s="17"/>
      <c r="F54" s="17"/>
    </row>
    <row r="55" spans="1:14" x14ac:dyDescent="0.3">
      <c r="A55" s="18" t="s">
        <v>124</v>
      </c>
      <c r="B55" s="1">
        <v>0.40300000000000002</v>
      </c>
      <c r="D55" s="31">
        <f>C55*B55*0.03704</f>
        <v>0</v>
      </c>
      <c r="E55" s="4"/>
      <c r="F55" s="19"/>
      <c r="J55" s="16" t="s">
        <v>114</v>
      </c>
      <c r="K55" s="16"/>
      <c r="L55" s="16" t="s">
        <v>111</v>
      </c>
    </row>
    <row r="56" spans="1:14" x14ac:dyDescent="0.3">
      <c r="A56" s="18" t="s">
        <v>123</v>
      </c>
      <c r="B56" s="1">
        <v>1.111</v>
      </c>
      <c r="D56" s="31">
        <f>C56*B56*0.03704</f>
        <v>0</v>
      </c>
      <c r="E56" s="4"/>
      <c r="F56" s="19"/>
      <c r="J56" s="16"/>
      <c r="K56" s="16"/>
      <c r="L56" s="16"/>
    </row>
    <row r="57" spans="1:14" x14ac:dyDescent="0.3">
      <c r="A57" s="18" t="s">
        <v>122</v>
      </c>
      <c r="B57" s="1">
        <v>1.333</v>
      </c>
      <c r="C57" s="30"/>
      <c r="D57" s="31">
        <f>C57*B57*0.03704</f>
        <v>0</v>
      </c>
      <c r="E57" s="4"/>
      <c r="F57" s="19"/>
      <c r="J57" s="16">
        <v>1728</v>
      </c>
      <c r="K57" s="16" t="s">
        <v>112</v>
      </c>
      <c r="L57" s="16">
        <v>1</v>
      </c>
    </row>
    <row r="58" spans="1:14" x14ac:dyDescent="0.3">
      <c r="A58" s="29" t="s">
        <v>96</v>
      </c>
      <c r="B58" s="17" t="s">
        <v>107</v>
      </c>
      <c r="C58" s="17" t="s">
        <v>11</v>
      </c>
      <c r="D58" s="17" t="s">
        <v>121</v>
      </c>
      <c r="E58" s="17"/>
      <c r="F58" s="17"/>
      <c r="J58" s="16"/>
      <c r="K58" s="16"/>
      <c r="L58" s="16"/>
    </row>
    <row r="59" spans="1:14" x14ac:dyDescent="0.3">
      <c r="A59" s="1">
        <v>888</v>
      </c>
      <c r="B59" s="1">
        <v>6.0000000000000001E-3</v>
      </c>
      <c r="C59" s="1">
        <f>SUM(D48:D51)</f>
        <v>0</v>
      </c>
      <c r="D59" s="1">
        <f>C59*B59</f>
        <v>0</v>
      </c>
      <c r="E59" s="4"/>
      <c r="F59" s="19"/>
    </row>
    <row r="60" spans="1:14" x14ac:dyDescent="0.3">
      <c r="A60" s="18" t="s">
        <v>108</v>
      </c>
      <c r="B60" s="1">
        <v>1.4E-2</v>
      </c>
      <c r="D60" s="1">
        <f>C60*B60</f>
        <v>0</v>
      </c>
      <c r="E60" s="4"/>
      <c r="F60" s="19"/>
    </row>
    <row r="61" spans="1:14" x14ac:dyDescent="0.3">
      <c r="A61" s="18" t="s">
        <v>106</v>
      </c>
      <c r="B61" s="1">
        <v>1.4999999999999999E-2</v>
      </c>
      <c r="D61" s="1">
        <f>C61*B61</f>
        <v>0</v>
      </c>
      <c r="E61" s="4"/>
      <c r="F61" s="19"/>
    </row>
    <row r="62" spans="1:14" x14ac:dyDescent="0.3">
      <c r="A62" s="18"/>
      <c r="C62" s="22" t="s">
        <v>125</v>
      </c>
      <c r="D62" s="32">
        <f>SUM(D55:D61)</f>
        <v>0</v>
      </c>
    </row>
    <row r="63" spans="1:14" x14ac:dyDescent="0.3">
      <c r="A63" s="18"/>
      <c r="C63" s="22"/>
      <c r="D63" s="32"/>
    </row>
    <row r="64" spans="1:14" x14ac:dyDescent="0.3">
      <c r="A64" s="18" t="s">
        <v>129</v>
      </c>
      <c r="B64" s="17" t="s">
        <v>18</v>
      </c>
      <c r="C64" s="17" t="s">
        <v>12</v>
      </c>
      <c r="D64" s="17" t="s">
        <v>13</v>
      </c>
    </row>
    <row r="65" spans="1:4" x14ac:dyDescent="0.3">
      <c r="A65" s="18" t="s">
        <v>128</v>
      </c>
      <c r="B65" s="1">
        <f>D62/10</f>
        <v>0</v>
      </c>
      <c r="C65" s="19">
        <v>158</v>
      </c>
      <c r="D65" s="19">
        <f>C65*B65</f>
        <v>0</v>
      </c>
    </row>
    <row r="66" spans="1:4" x14ac:dyDescent="0.3">
      <c r="A66" s="18" t="s">
        <v>40</v>
      </c>
      <c r="B66" s="1">
        <f>D62/10</f>
        <v>0</v>
      </c>
      <c r="C66" s="19">
        <v>26</v>
      </c>
      <c r="D66" s="19">
        <f>C66*B66</f>
        <v>0</v>
      </c>
    </row>
    <row r="67" spans="1:4" x14ac:dyDescent="0.3">
      <c r="A67" s="18" t="s">
        <v>39</v>
      </c>
      <c r="B67" s="1">
        <f>D62/10</f>
        <v>0</v>
      </c>
      <c r="C67" s="19">
        <v>20</v>
      </c>
      <c r="D67" s="19">
        <f>C67*B67</f>
        <v>0</v>
      </c>
    </row>
    <row r="68" spans="1:4" x14ac:dyDescent="0.3">
      <c r="A68" s="18"/>
      <c r="C68" s="33" t="s">
        <v>130</v>
      </c>
      <c r="D68" s="26">
        <f>SUM(D65:D67)*0.07</f>
        <v>0</v>
      </c>
    </row>
    <row r="69" spans="1:4" x14ac:dyDescent="0.3">
      <c r="C69" s="22" t="s">
        <v>41</v>
      </c>
      <c r="D69" s="21">
        <f>SUM(D65:D68)</f>
        <v>0</v>
      </c>
    </row>
    <row r="71" spans="1:4" x14ac:dyDescent="0.3">
      <c r="A71" s="27" t="s">
        <v>102</v>
      </c>
    </row>
    <row r="72" spans="1:4" x14ac:dyDescent="0.3">
      <c r="B72" s="17" t="s">
        <v>11</v>
      </c>
      <c r="C72" s="17" t="s">
        <v>12</v>
      </c>
      <c r="D72" s="17" t="s">
        <v>13</v>
      </c>
    </row>
    <row r="73" spans="1:4" x14ac:dyDescent="0.3">
      <c r="A73" s="1" t="s">
        <v>103</v>
      </c>
      <c r="B73" s="1">
        <v>1</v>
      </c>
      <c r="C73" s="19">
        <v>450</v>
      </c>
      <c r="D73" s="19">
        <f>C73*B73</f>
        <v>450</v>
      </c>
    </row>
    <row r="74" spans="1:4" x14ac:dyDescent="0.3">
      <c r="A74" s="1" t="s">
        <v>104</v>
      </c>
      <c r="C74" s="19">
        <v>25</v>
      </c>
      <c r="D74" s="19">
        <f>C74*B74</f>
        <v>0</v>
      </c>
    </row>
    <row r="75" spans="1:4" x14ac:dyDescent="0.3">
      <c r="A75" s="1" t="s">
        <v>126</v>
      </c>
      <c r="C75" s="19">
        <v>3</v>
      </c>
      <c r="D75" s="19">
        <f>C75*B75</f>
        <v>0</v>
      </c>
    </row>
    <row r="76" spans="1:4" x14ac:dyDescent="0.3">
      <c r="C76" s="19"/>
      <c r="D76" s="19"/>
    </row>
    <row r="77" spans="1:4" x14ac:dyDescent="0.3">
      <c r="B77" s="20"/>
      <c r="C77" s="28" t="s">
        <v>105</v>
      </c>
      <c r="D77" s="21">
        <f>SUM(D73:D76)</f>
        <v>450</v>
      </c>
    </row>
  </sheetData>
  <mergeCells count="8">
    <mergeCell ref="A34:H34"/>
    <mergeCell ref="E35:F35"/>
    <mergeCell ref="G35:H35"/>
    <mergeCell ref="A4:I4"/>
    <mergeCell ref="A1:E1"/>
    <mergeCell ref="F1:J1"/>
    <mergeCell ref="A2:E2"/>
    <mergeCell ref="F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1133-8575-404E-837B-C2FCA2C9D9CC}">
  <dimension ref="A1:E2"/>
  <sheetViews>
    <sheetView workbookViewId="0">
      <selection activeCell="K25" sqref="K25"/>
    </sheetView>
  </sheetViews>
  <sheetFormatPr defaultRowHeight="15" x14ac:dyDescent="0.25"/>
  <cols>
    <col min="1" max="5" width="14.285156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B9E1-A390-4DF0-A6FA-F960E8D01564}">
  <dimension ref="A1:E2"/>
  <sheetViews>
    <sheetView workbookViewId="0">
      <selection sqref="A1:E1"/>
    </sheetView>
  </sheetViews>
  <sheetFormatPr defaultRowHeight="15" x14ac:dyDescent="0.25"/>
  <cols>
    <col min="1" max="5" width="16.1406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17B2-BFE7-48EC-9486-422C07CD0889}">
  <dimension ref="A1:E2"/>
  <sheetViews>
    <sheetView workbookViewId="0">
      <selection sqref="A1:E1"/>
    </sheetView>
  </sheetViews>
  <sheetFormatPr defaultRowHeight="15" x14ac:dyDescent="0.25"/>
  <cols>
    <col min="1" max="5" width="16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9715-602A-4FF9-BF08-BBCE6808D94C}">
  <dimension ref="A1:E2"/>
  <sheetViews>
    <sheetView workbookViewId="0">
      <selection sqref="A1:E1"/>
    </sheetView>
  </sheetViews>
  <sheetFormatPr defaultRowHeight="15" x14ac:dyDescent="0.25"/>
  <cols>
    <col min="1" max="5" width="13.425781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E822-A5FF-4572-AB8F-7BF8BACDE2FB}">
  <dimension ref="A1:E26"/>
  <sheetViews>
    <sheetView workbookViewId="0">
      <selection activeCell="N18" sqref="N18"/>
    </sheetView>
  </sheetViews>
  <sheetFormatPr defaultRowHeight="15" x14ac:dyDescent="0.25"/>
  <cols>
    <col min="1" max="1" width="51.28515625" customWidth="1"/>
    <col min="2" max="3" width="17.7109375" customWidth="1"/>
    <col min="4" max="4" width="5.5703125" customWidth="1"/>
    <col min="5" max="5" width="17.7109375" customWidth="1"/>
  </cols>
  <sheetData>
    <row r="1" spans="1:5" s="1" customFormat="1" ht="30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19.5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3" spans="1:5" ht="15.75" thickBot="1" x14ac:dyDescent="0.3">
      <c r="D3" s="64"/>
    </row>
    <row r="4" spans="1:5" ht="21" x14ac:dyDescent="0.35">
      <c r="A4" s="59" t="s">
        <v>268</v>
      </c>
      <c r="B4" s="59" t="s">
        <v>286</v>
      </c>
      <c r="C4" s="113" t="s">
        <v>269</v>
      </c>
      <c r="D4" s="114"/>
      <c r="E4" s="115"/>
    </row>
    <row r="5" spans="1:5" ht="18.75" x14ac:dyDescent="0.3">
      <c r="A5" s="60" t="s">
        <v>270</v>
      </c>
      <c r="B5" s="65">
        <v>310</v>
      </c>
      <c r="C5" s="67">
        <v>0.41499999999999998</v>
      </c>
      <c r="D5" s="16" t="s">
        <v>28</v>
      </c>
      <c r="E5" s="93">
        <f>310*48*C5</f>
        <v>6175.2</v>
      </c>
    </row>
    <row r="6" spans="1:5" ht="18.75" x14ac:dyDescent="0.3">
      <c r="A6" s="60" t="s">
        <v>271</v>
      </c>
      <c r="B6" s="65"/>
      <c r="C6" s="67">
        <v>0.495</v>
      </c>
      <c r="D6" s="16" t="s">
        <v>28</v>
      </c>
      <c r="E6" s="94"/>
    </row>
    <row r="7" spans="1:5" ht="18.75" x14ac:dyDescent="0.3">
      <c r="A7" s="60" t="s">
        <v>272</v>
      </c>
      <c r="B7" s="65">
        <v>27</v>
      </c>
      <c r="C7" s="67">
        <v>1.2250000000000001</v>
      </c>
      <c r="D7" s="16" t="s">
        <v>28</v>
      </c>
      <c r="E7" s="93">
        <f>32*27*C7</f>
        <v>1058.4000000000001</v>
      </c>
    </row>
    <row r="8" spans="1:5" ht="18.75" x14ac:dyDescent="0.3">
      <c r="A8" s="60" t="s">
        <v>273</v>
      </c>
      <c r="B8" s="65">
        <v>28</v>
      </c>
      <c r="C8" s="67">
        <v>1.165</v>
      </c>
      <c r="D8" s="16" t="s">
        <v>28</v>
      </c>
      <c r="E8" s="93">
        <f>32*B8*C8</f>
        <v>1043.8400000000001</v>
      </c>
    </row>
    <row r="9" spans="1:5" ht="18.75" x14ac:dyDescent="0.3">
      <c r="A9" s="60" t="s">
        <v>274</v>
      </c>
      <c r="B9" s="65">
        <v>45</v>
      </c>
      <c r="C9" s="69">
        <v>11.45</v>
      </c>
      <c r="D9" s="16" t="s">
        <v>31</v>
      </c>
      <c r="E9" s="93">
        <f>B9*C9</f>
        <v>515.25</v>
      </c>
    </row>
    <row r="10" spans="1:5" ht="18.75" x14ac:dyDescent="0.3">
      <c r="A10" s="60" t="s">
        <v>275</v>
      </c>
      <c r="B10" s="65">
        <v>24</v>
      </c>
      <c r="C10" s="69">
        <v>2.75</v>
      </c>
      <c r="D10" s="16" t="s">
        <v>31</v>
      </c>
      <c r="E10" s="93">
        <f t="shared" ref="E10:E12" si="0">B10*C10</f>
        <v>66</v>
      </c>
    </row>
    <row r="11" spans="1:5" ht="18.75" x14ac:dyDescent="0.3">
      <c r="A11" s="60" t="s">
        <v>276</v>
      </c>
      <c r="B11" s="65">
        <v>1</v>
      </c>
      <c r="C11" s="69">
        <v>11.9</v>
      </c>
      <c r="D11" s="16" t="s">
        <v>31</v>
      </c>
      <c r="E11" s="93">
        <f t="shared" si="0"/>
        <v>11.9</v>
      </c>
    </row>
    <row r="12" spans="1:5" ht="18.75" x14ac:dyDescent="0.3">
      <c r="A12" s="60" t="s">
        <v>277</v>
      </c>
      <c r="B12" s="65">
        <v>2</v>
      </c>
      <c r="C12" s="69">
        <v>85</v>
      </c>
      <c r="D12" s="16" t="s">
        <v>31</v>
      </c>
      <c r="E12" s="93">
        <f t="shared" si="0"/>
        <v>170</v>
      </c>
    </row>
    <row r="13" spans="1:5" ht="18.75" x14ac:dyDescent="0.3">
      <c r="A13" s="60" t="s">
        <v>278</v>
      </c>
      <c r="B13" s="65"/>
      <c r="C13" s="69">
        <v>35</v>
      </c>
      <c r="D13" s="16" t="s">
        <v>31</v>
      </c>
      <c r="E13" s="94"/>
    </row>
    <row r="14" spans="1:5" ht="18.75" x14ac:dyDescent="0.3">
      <c r="A14" s="60" t="s">
        <v>279</v>
      </c>
      <c r="B14" s="65">
        <v>63</v>
      </c>
      <c r="C14" s="67">
        <v>0.28499999999999998</v>
      </c>
      <c r="D14" s="16" t="s">
        <v>29</v>
      </c>
      <c r="E14" s="93">
        <f>63*8*C14</f>
        <v>143.63999999999999</v>
      </c>
    </row>
    <row r="15" spans="1:5" ht="18.75" x14ac:dyDescent="0.3">
      <c r="A15" s="60" t="s">
        <v>280</v>
      </c>
      <c r="B15" s="65">
        <v>50</v>
      </c>
      <c r="C15" s="67">
        <v>0.28499999999999998</v>
      </c>
      <c r="D15" s="16" t="s">
        <v>29</v>
      </c>
      <c r="E15" s="93">
        <f>10*B15*C15</f>
        <v>142.5</v>
      </c>
    </row>
    <row r="16" spans="1:5" ht="18.75" x14ac:dyDescent="0.3">
      <c r="A16" s="60" t="s">
        <v>281</v>
      </c>
      <c r="B16" s="65"/>
      <c r="C16" s="67">
        <v>0.25</v>
      </c>
      <c r="D16" s="16" t="s">
        <v>29</v>
      </c>
      <c r="E16" s="94"/>
    </row>
    <row r="17" spans="1:5" ht="18.75" x14ac:dyDescent="0.3">
      <c r="A17" s="60" t="s">
        <v>282</v>
      </c>
      <c r="B17" s="65"/>
      <c r="C17" s="67">
        <v>0.22500000000000001</v>
      </c>
      <c r="D17" s="16" t="s">
        <v>29</v>
      </c>
      <c r="E17" s="94"/>
    </row>
    <row r="18" spans="1:5" ht="18.75" x14ac:dyDescent="0.3">
      <c r="A18" s="61" t="s">
        <v>283</v>
      </c>
      <c r="B18" s="65"/>
      <c r="C18" s="69">
        <v>0.22</v>
      </c>
      <c r="D18" s="16" t="s">
        <v>29</v>
      </c>
      <c r="E18" s="68"/>
    </row>
    <row r="19" spans="1:5" ht="18.75" x14ac:dyDescent="0.3">
      <c r="A19" s="62" t="s">
        <v>284</v>
      </c>
      <c r="B19" s="65"/>
      <c r="C19" s="69">
        <v>0.23</v>
      </c>
      <c r="D19" s="16" t="s">
        <v>29</v>
      </c>
      <c r="E19" s="68"/>
    </row>
    <row r="20" spans="1:5" ht="18.75" x14ac:dyDescent="0.3">
      <c r="A20" s="63" t="s">
        <v>285</v>
      </c>
      <c r="B20" s="66"/>
      <c r="C20" s="70">
        <v>0.25</v>
      </c>
      <c r="D20" s="16" t="s">
        <v>29</v>
      </c>
      <c r="E20" s="68"/>
    </row>
    <row r="21" spans="1:5" s="1" customFormat="1" ht="18.75" x14ac:dyDescent="0.3">
      <c r="C21" s="71" t="s">
        <v>130</v>
      </c>
      <c r="D21" s="16"/>
      <c r="E21" s="91">
        <f>SUM(E5:E20)*0.07</f>
        <v>652.87110000000007</v>
      </c>
    </row>
    <row r="22" spans="1:5" s="1" customFormat="1" ht="21.75" thickBot="1" x14ac:dyDescent="0.4">
      <c r="C22" s="72" t="s">
        <v>37</v>
      </c>
      <c r="D22" s="73"/>
      <c r="E22" s="92">
        <f>SUM(E5:E21)</f>
        <v>9979.6010999999999</v>
      </c>
    </row>
    <row r="23" spans="1:5" s="1" customFormat="1" ht="18.75" x14ac:dyDescent="0.3">
      <c r="C23" s="22" t="s">
        <v>191</v>
      </c>
      <c r="D23" s="29"/>
      <c r="E23" s="21">
        <v>11000</v>
      </c>
    </row>
    <row r="24" spans="1:5" s="1" customFormat="1" ht="18.75" x14ac:dyDescent="0.3"/>
    <row r="25" spans="1:5" s="1" customFormat="1" ht="18.75" x14ac:dyDescent="0.3"/>
    <row r="26" spans="1:5" s="1" customFormat="1" ht="18.75" x14ac:dyDescent="0.3"/>
  </sheetData>
  <mergeCells count="3">
    <mergeCell ref="C4:E4"/>
    <mergeCell ref="A1:E1"/>
    <mergeCell ref="A2:E2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A531-DC6F-4AFA-A220-A2463C1EC9E6}">
  <dimension ref="A1:E38"/>
  <sheetViews>
    <sheetView workbookViewId="0">
      <selection sqref="A1:E1"/>
    </sheetView>
  </sheetViews>
  <sheetFormatPr defaultRowHeight="17.25" x14ac:dyDescent="0.3"/>
  <cols>
    <col min="1" max="1" width="39.28515625" style="3" customWidth="1"/>
    <col min="2" max="16384" width="9.140625" style="3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15" spans="1:5" x14ac:dyDescent="0.3">
      <c r="A15" s="3" t="s">
        <v>131</v>
      </c>
    </row>
    <row r="16" spans="1:5" x14ac:dyDescent="0.3">
      <c r="A16" s="3" t="s">
        <v>132</v>
      </c>
    </row>
    <row r="17" spans="1:1" x14ac:dyDescent="0.3">
      <c r="A17" s="3" t="s">
        <v>133</v>
      </c>
    </row>
    <row r="18" spans="1:1" x14ac:dyDescent="0.3">
      <c r="A18" s="3" t="s">
        <v>134</v>
      </c>
    </row>
    <row r="19" spans="1:1" x14ac:dyDescent="0.3">
      <c r="A19" s="3" t="s">
        <v>135</v>
      </c>
    </row>
    <row r="20" spans="1:1" x14ac:dyDescent="0.3">
      <c r="A20" s="3" t="s">
        <v>136</v>
      </c>
    </row>
    <row r="21" spans="1:1" x14ac:dyDescent="0.3">
      <c r="A21" s="3" t="s">
        <v>137</v>
      </c>
    </row>
    <row r="22" spans="1:1" x14ac:dyDescent="0.3">
      <c r="A22" s="3" t="s">
        <v>138</v>
      </c>
    </row>
    <row r="23" spans="1:1" x14ac:dyDescent="0.3">
      <c r="A23" s="3" t="s">
        <v>139</v>
      </c>
    </row>
    <row r="24" spans="1:1" x14ac:dyDescent="0.3">
      <c r="A24" s="3" t="s">
        <v>140</v>
      </c>
    </row>
    <row r="27" spans="1:1" x14ac:dyDescent="0.3">
      <c r="A27" s="3" t="s">
        <v>141</v>
      </c>
    </row>
    <row r="28" spans="1:1" x14ac:dyDescent="0.3">
      <c r="A28" s="3" t="s">
        <v>142</v>
      </c>
    </row>
    <row r="29" spans="1:1" x14ac:dyDescent="0.3">
      <c r="A29" s="3" t="s">
        <v>143</v>
      </c>
    </row>
    <row r="30" spans="1:1" x14ac:dyDescent="0.3">
      <c r="A30" s="3" t="s">
        <v>144</v>
      </c>
    </row>
    <row r="31" spans="1:1" x14ac:dyDescent="0.3">
      <c r="A31" s="3" t="s">
        <v>145</v>
      </c>
    </row>
    <row r="32" spans="1:1" x14ac:dyDescent="0.3">
      <c r="A32" s="3" t="s">
        <v>146</v>
      </c>
    </row>
    <row r="33" spans="1:1" x14ac:dyDescent="0.3">
      <c r="A33" s="3" t="s">
        <v>147</v>
      </c>
    </row>
    <row r="34" spans="1:1" x14ac:dyDescent="0.3">
      <c r="A34" s="3" t="s">
        <v>148</v>
      </c>
    </row>
    <row r="35" spans="1:1" x14ac:dyDescent="0.3">
      <c r="A35" s="3" t="s">
        <v>149</v>
      </c>
    </row>
    <row r="36" spans="1:1" x14ac:dyDescent="0.3">
      <c r="A36" s="3" t="s">
        <v>150</v>
      </c>
    </row>
    <row r="37" spans="1:1" x14ac:dyDescent="0.3">
      <c r="A37" s="3" t="s">
        <v>151</v>
      </c>
    </row>
    <row r="38" spans="1:1" x14ac:dyDescent="0.3">
      <c r="A38" s="3" t="s">
        <v>152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A7E4-DEF0-4E1A-B646-3565A0E68ADF}">
  <dimension ref="A1:E2"/>
  <sheetViews>
    <sheetView workbookViewId="0">
      <selection sqref="A1:E1"/>
    </sheetView>
  </sheetViews>
  <sheetFormatPr defaultRowHeight="15" x14ac:dyDescent="0.25"/>
  <cols>
    <col min="1" max="5" width="14.425781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83A1-78D8-41B7-A9A8-D9A9BDF02AEC}">
  <dimension ref="A1:E2"/>
  <sheetViews>
    <sheetView workbookViewId="0">
      <selection sqref="A1:E1"/>
    </sheetView>
  </sheetViews>
  <sheetFormatPr defaultRowHeight="15" x14ac:dyDescent="0.25"/>
  <cols>
    <col min="1" max="5" width="16.57031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935C-5655-4B85-8B78-5A60E5457495}">
  <dimension ref="A1:E68"/>
  <sheetViews>
    <sheetView workbookViewId="0">
      <selection activeCell="L14" sqref="L14"/>
    </sheetView>
  </sheetViews>
  <sheetFormatPr defaultRowHeight="17.25" x14ac:dyDescent="0.3"/>
  <cols>
    <col min="1" max="1" width="48.7109375" style="3" customWidth="1"/>
    <col min="2" max="2" width="15.28515625" style="3" customWidth="1"/>
    <col min="3" max="3" width="9" style="52" customWidth="1"/>
    <col min="4" max="5" width="14" style="3" customWidth="1"/>
    <col min="6" max="16384" width="9.140625" style="3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4" spans="1:5" customFormat="1" ht="18.75" x14ac:dyDescent="0.3">
      <c r="A4" s="55" t="s">
        <v>198</v>
      </c>
      <c r="B4" s="53" t="s">
        <v>267</v>
      </c>
      <c r="C4" s="56" t="s">
        <v>27</v>
      </c>
      <c r="D4" s="53" t="s">
        <v>265</v>
      </c>
      <c r="E4" s="53" t="s">
        <v>266</v>
      </c>
    </row>
    <row r="5" spans="1:5" customFormat="1" x14ac:dyDescent="0.3">
      <c r="A5" s="54" t="s">
        <v>199</v>
      </c>
      <c r="B5" s="57">
        <v>2</v>
      </c>
      <c r="C5" s="58" t="s">
        <v>50</v>
      </c>
      <c r="D5" s="54"/>
      <c r="E5" s="57"/>
    </row>
    <row r="6" spans="1:5" customFormat="1" x14ac:dyDescent="0.3">
      <c r="A6" s="54" t="s">
        <v>200</v>
      </c>
      <c r="B6" s="57">
        <v>2.85</v>
      </c>
      <c r="C6" s="58" t="s">
        <v>50</v>
      </c>
      <c r="D6" s="54"/>
      <c r="E6" s="57"/>
    </row>
    <row r="7" spans="1:5" customFormat="1" x14ac:dyDescent="0.3">
      <c r="A7" s="54" t="s">
        <v>201</v>
      </c>
      <c r="B7" s="57">
        <v>195</v>
      </c>
      <c r="C7" s="58" t="s">
        <v>31</v>
      </c>
      <c r="D7" s="54"/>
      <c r="E7" s="57"/>
    </row>
    <row r="8" spans="1:5" customFormat="1" x14ac:dyDescent="0.3">
      <c r="A8" s="54" t="s">
        <v>202</v>
      </c>
      <c r="B8" s="57">
        <v>775</v>
      </c>
      <c r="C8" s="58" t="s">
        <v>203</v>
      </c>
      <c r="D8" s="54"/>
      <c r="E8" s="57"/>
    </row>
    <row r="9" spans="1:5" customFormat="1" x14ac:dyDescent="0.3">
      <c r="A9" s="54" t="s">
        <v>204</v>
      </c>
      <c r="B9" s="57">
        <v>550</v>
      </c>
      <c r="C9" s="58" t="s">
        <v>203</v>
      </c>
      <c r="D9" s="54"/>
      <c r="E9" s="57"/>
    </row>
    <row r="10" spans="1:5" customFormat="1" x14ac:dyDescent="0.3">
      <c r="A10" s="54" t="s">
        <v>205</v>
      </c>
      <c r="B10" s="57">
        <v>50</v>
      </c>
      <c r="C10" s="58" t="s">
        <v>31</v>
      </c>
      <c r="D10" s="54"/>
      <c r="E10" s="57"/>
    </row>
    <row r="11" spans="1:5" customFormat="1" x14ac:dyDescent="0.3">
      <c r="A11" s="54" t="s">
        <v>206</v>
      </c>
      <c r="B11" s="57">
        <v>0.2</v>
      </c>
      <c r="C11" s="58" t="s">
        <v>28</v>
      </c>
      <c r="D11" s="54"/>
      <c r="E11" s="57"/>
    </row>
    <row r="12" spans="1:5" customFormat="1" x14ac:dyDescent="0.3">
      <c r="A12" s="54" t="s">
        <v>207</v>
      </c>
      <c r="B12" s="57">
        <v>50</v>
      </c>
      <c r="C12" s="58" t="s">
        <v>208</v>
      </c>
      <c r="D12" s="54"/>
      <c r="E12" s="57"/>
    </row>
    <row r="13" spans="1:5" customFormat="1" x14ac:dyDescent="0.3">
      <c r="A13" s="54" t="s">
        <v>209</v>
      </c>
      <c r="B13" s="57">
        <v>0.25</v>
      </c>
      <c r="C13" s="58" t="s">
        <v>28</v>
      </c>
      <c r="D13" s="54"/>
      <c r="E13" s="57"/>
    </row>
    <row r="14" spans="1:5" customFormat="1" x14ac:dyDescent="0.3">
      <c r="A14" s="54" t="s">
        <v>210</v>
      </c>
      <c r="B14" s="57">
        <v>60</v>
      </c>
      <c r="C14" s="58" t="s">
        <v>31</v>
      </c>
      <c r="D14" s="54"/>
      <c r="E14" s="57"/>
    </row>
    <row r="15" spans="1:5" customFormat="1" x14ac:dyDescent="0.3">
      <c r="A15" s="54" t="s">
        <v>211</v>
      </c>
      <c r="B15" s="57">
        <v>500</v>
      </c>
      <c r="C15" s="58" t="s">
        <v>31</v>
      </c>
      <c r="D15" s="54"/>
      <c r="E15" s="57"/>
    </row>
    <row r="16" spans="1:5" customFormat="1" x14ac:dyDescent="0.3">
      <c r="A16" s="54" t="s">
        <v>212</v>
      </c>
      <c r="B16" s="57">
        <v>65</v>
      </c>
      <c r="C16" s="58" t="s">
        <v>31</v>
      </c>
      <c r="D16" s="54"/>
      <c r="E16" s="57"/>
    </row>
    <row r="17" spans="1:5" customFormat="1" x14ac:dyDescent="0.3">
      <c r="A17" s="54" t="s">
        <v>213</v>
      </c>
      <c r="B17" s="57">
        <v>2.25</v>
      </c>
      <c r="C17" s="58" t="s">
        <v>31</v>
      </c>
      <c r="D17" s="54"/>
      <c r="E17" s="57"/>
    </row>
    <row r="18" spans="1:5" customFormat="1" x14ac:dyDescent="0.3">
      <c r="A18" s="54" t="s">
        <v>214</v>
      </c>
      <c r="B18" s="57">
        <v>2.25</v>
      </c>
      <c r="C18" s="58" t="s">
        <v>29</v>
      </c>
      <c r="D18" s="54"/>
      <c r="E18" s="57"/>
    </row>
    <row r="19" spans="1:5" customFormat="1" x14ac:dyDescent="0.3">
      <c r="A19" s="54" t="s">
        <v>215</v>
      </c>
      <c r="B19" s="57">
        <v>2.75</v>
      </c>
      <c r="C19" s="58" t="s">
        <v>29</v>
      </c>
      <c r="D19" s="54"/>
      <c r="E19" s="57"/>
    </row>
    <row r="20" spans="1:5" customFormat="1" x14ac:dyDescent="0.3">
      <c r="A20" s="54" t="s">
        <v>216</v>
      </c>
      <c r="B20" s="57">
        <v>2.75</v>
      </c>
      <c r="C20" s="58" t="s">
        <v>29</v>
      </c>
      <c r="D20" s="54"/>
      <c r="E20" s="57"/>
    </row>
    <row r="21" spans="1:5" customFormat="1" x14ac:dyDescent="0.3">
      <c r="A21" s="54" t="s">
        <v>217</v>
      </c>
      <c r="B21" s="57">
        <v>150</v>
      </c>
      <c r="C21" s="58" t="s">
        <v>31</v>
      </c>
      <c r="D21" s="54"/>
      <c r="E21" s="57"/>
    </row>
    <row r="22" spans="1:5" customFormat="1" x14ac:dyDescent="0.3">
      <c r="A22" s="54" t="s">
        <v>218</v>
      </c>
      <c r="B22" s="57">
        <v>350</v>
      </c>
      <c r="C22" s="58" t="s">
        <v>31</v>
      </c>
      <c r="D22" s="54"/>
      <c r="E22" s="57"/>
    </row>
    <row r="23" spans="1:5" customFormat="1" x14ac:dyDescent="0.3">
      <c r="A23" s="54" t="s">
        <v>219</v>
      </c>
      <c r="B23" s="57">
        <v>200</v>
      </c>
      <c r="C23" s="58" t="s">
        <v>31</v>
      </c>
      <c r="D23" s="54"/>
      <c r="E23" s="57"/>
    </row>
    <row r="24" spans="1:5" customFormat="1" x14ac:dyDescent="0.3">
      <c r="A24" s="54" t="s">
        <v>220</v>
      </c>
      <c r="B24" s="57">
        <v>50</v>
      </c>
      <c r="C24" s="58" t="s">
        <v>31</v>
      </c>
      <c r="D24" s="54"/>
      <c r="E24" s="57"/>
    </row>
    <row r="25" spans="1:5" customFormat="1" x14ac:dyDescent="0.3">
      <c r="A25" s="54" t="s">
        <v>221</v>
      </c>
      <c r="B25" s="57">
        <v>3.15</v>
      </c>
      <c r="C25" s="58" t="s">
        <v>28</v>
      </c>
      <c r="D25" s="54"/>
      <c r="E25" s="57"/>
    </row>
    <row r="26" spans="1:5" customFormat="1" x14ac:dyDescent="0.3">
      <c r="A26" s="54" t="s">
        <v>222</v>
      </c>
      <c r="B26" s="57">
        <v>500</v>
      </c>
      <c r="C26" s="58" t="s">
        <v>31</v>
      </c>
      <c r="D26" s="54"/>
      <c r="E26" s="57"/>
    </row>
    <row r="27" spans="1:5" customFormat="1" x14ac:dyDescent="0.3">
      <c r="A27" s="54" t="s">
        <v>223</v>
      </c>
      <c r="B27" s="57">
        <v>750</v>
      </c>
      <c r="C27" s="58" t="s">
        <v>31</v>
      </c>
      <c r="D27" s="54"/>
      <c r="E27" s="57"/>
    </row>
    <row r="28" spans="1:5" customFormat="1" x14ac:dyDescent="0.3">
      <c r="A28" s="54" t="s">
        <v>224</v>
      </c>
      <c r="B28" s="57">
        <v>500</v>
      </c>
      <c r="C28" s="58" t="s">
        <v>31</v>
      </c>
      <c r="D28" s="54"/>
      <c r="E28" s="57"/>
    </row>
    <row r="29" spans="1:5" customFormat="1" x14ac:dyDescent="0.3">
      <c r="A29" s="54" t="s">
        <v>225</v>
      </c>
      <c r="B29" s="57">
        <v>0.25</v>
      </c>
      <c r="C29" s="58" t="s">
        <v>28</v>
      </c>
      <c r="D29" s="54"/>
      <c r="E29" s="57"/>
    </row>
    <row r="30" spans="1:5" customFormat="1" x14ac:dyDescent="0.3">
      <c r="A30" s="54" t="s">
        <v>226</v>
      </c>
      <c r="B30" s="57">
        <v>4.5</v>
      </c>
      <c r="C30" s="58" t="s">
        <v>29</v>
      </c>
      <c r="D30" s="54"/>
      <c r="E30" s="57"/>
    </row>
    <row r="31" spans="1:5" customFormat="1" x14ac:dyDescent="0.3">
      <c r="A31" s="54" t="s">
        <v>227</v>
      </c>
      <c r="B31" s="57">
        <v>25</v>
      </c>
      <c r="C31" s="58" t="s">
        <v>31</v>
      </c>
      <c r="D31" s="54"/>
      <c r="E31" s="57"/>
    </row>
    <row r="32" spans="1:5" customFormat="1" x14ac:dyDescent="0.3">
      <c r="A32" s="54" t="s">
        <v>228</v>
      </c>
      <c r="B32" s="57">
        <v>75</v>
      </c>
      <c r="C32" s="58" t="s">
        <v>31</v>
      </c>
      <c r="D32" s="54"/>
      <c r="E32" s="57"/>
    </row>
    <row r="33" spans="1:5" customFormat="1" x14ac:dyDescent="0.3">
      <c r="A33" s="54" t="s">
        <v>229</v>
      </c>
      <c r="B33" s="57">
        <v>3.15</v>
      </c>
      <c r="C33" s="58" t="s">
        <v>28</v>
      </c>
      <c r="D33" s="54"/>
      <c r="E33" s="57"/>
    </row>
    <row r="34" spans="1:5" customFormat="1" x14ac:dyDescent="0.3">
      <c r="A34" s="54" t="s">
        <v>230</v>
      </c>
      <c r="B34" s="57">
        <v>200</v>
      </c>
      <c r="C34" s="58" t="s">
        <v>31</v>
      </c>
      <c r="D34" s="54"/>
      <c r="E34" s="57"/>
    </row>
    <row r="35" spans="1:5" customFormat="1" x14ac:dyDescent="0.3">
      <c r="A35" s="54" t="s">
        <v>231</v>
      </c>
      <c r="B35" s="57">
        <v>25</v>
      </c>
      <c r="C35" s="58"/>
      <c r="D35" s="54"/>
      <c r="E35" s="57"/>
    </row>
    <row r="36" spans="1:5" customFormat="1" x14ac:dyDescent="0.3">
      <c r="A36" s="54" t="s">
        <v>232</v>
      </c>
      <c r="B36" s="57">
        <v>0.3</v>
      </c>
      <c r="C36" s="58" t="s">
        <v>28</v>
      </c>
      <c r="D36" s="54"/>
      <c r="E36" s="57"/>
    </row>
    <row r="37" spans="1:5" customFormat="1" x14ac:dyDescent="0.3">
      <c r="A37" s="54" t="s">
        <v>233</v>
      </c>
      <c r="B37" s="57">
        <v>0.35</v>
      </c>
      <c r="C37" s="58" t="s">
        <v>28</v>
      </c>
      <c r="D37" s="54"/>
      <c r="E37" s="57"/>
    </row>
    <row r="38" spans="1:5" customFormat="1" x14ac:dyDescent="0.3">
      <c r="A38" s="54" t="s">
        <v>234</v>
      </c>
      <c r="B38" s="57">
        <v>50</v>
      </c>
      <c r="C38" s="58" t="s">
        <v>31</v>
      </c>
      <c r="D38" s="54"/>
      <c r="E38" s="57"/>
    </row>
    <row r="39" spans="1:5" customFormat="1" x14ac:dyDescent="0.3">
      <c r="A39" s="54" t="s">
        <v>235</v>
      </c>
      <c r="B39" s="57">
        <v>10</v>
      </c>
      <c r="C39" s="58" t="s">
        <v>31</v>
      </c>
      <c r="D39" s="54"/>
      <c r="E39" s="57"/>
    </row>
    <row r="40" spans="1:5" customFormat="1" x14ac:dyDescent="0.3">
      <c r="A40" s="54" t="s">
        <v>236</v>
      </c>
      <c r="B40" s="57">
        <v>2</v>
      </c>
      <c r="C40" s="58" t="s">
        <v>237</v>
      </c>
      <c r="D40" s="54"/>
      <c r="E40" s="57"/>
    </row>
    <row r="41" spans="1:5" customFormat="1" x14ac:dyDescent="0.3">
      <c r="A41" s="54" t="s">
        <v>238</v>
      </c>
      <c r="B41" s="57">
        <v>50</v>
      </c>
      <c r="C41" s="58" t="s">
        <v>31</v>
      </c>
      <c r="D41" s="54"/>
      <c r="E41" s="57"/>
    </row>
    <row r="42" spans="1:5" customFormat="1" x14ac:dyDescent="0.3">
      <c r="A42" s="54" t="s">
        <v>239</v>
      </c>
      <c r="B42" s="57">
        <v>3.15</v>
      </c>
      <c r="C42" s="58" t="s">
        <v>28</v>
      </c>
      <c r="D42" s="54"/>
      <c r="E42" s="57"/>
    </row>
    <row r="43" spans="1:5" customFormat="1" x14ac:dyDescent="0.3">
      <c r="A43" s="54" t="s">
        <v>240</v>
      </c>
      <c r="B43" s="57">
        <v>7</v>
      </c>
      <c r="C43" s="58" t="s">
        <v>29</v>
      </c>
      <c r="D43" s="54"/>
      <c r="E43" s="57"/>
    </row>
    <row r="44" spans="1:5" customFormat="1" x14ac:dyDescent="0.3">
      <c r="A44" s="54" t="s">
        <v>241</v>
      </c>
      <c r="B44" s="57">
        <v>10</v>
      </c>
      <c r="C44" s="58" t="s">
        <v>31</v>
      </c>
      <c r="D44" s="54"/>
      <c r="E44" s="57"/>
    </row>
    <row r="45" spans="1:5" customFormat="1" x14ac:dyDescent="0.3">
      <c r="A45" s="54" t="s">
        <v>242</v>
      </c>
      <c r="B45" s="57">
        <v>325</v>
      </c>
      <c r="C45" s="58" t="s">
        <v>31</v>
      </c>
      <c r="D45" s="54"/>
      <c r="E45" s="57"/>
    </row>
    <row r="46" spans="1:5" customFormat="1" x14ac:dyDescent="0.3">
      <c r="A46" s="54" t="s">
        <v>243</v>
      </c>
      <c r="B46" s="57">
        <v>0</v>
      </c>
      <c r="C46" s="58"/>
      <c r="D46" s="54"/>
      <c r="E46" s="57"/>
    </row>
    <row r="47" spans="1:5" customFormat="1" x14ac:dyDescent="0.3">
      <c r="A47" s="54" t="s">
        <v>244</v>
      </c>
      <c r="B47" s="57">
        <v>65</v>
      </c>
      <c r="C47" s="58" t="s">
        <v>31</v>
      </c>
      <c r="D47" s="54"/>
      <c r="E47" s="57"/>
    </row>
    <row r="48" spans="1:5" customFormat="1" x14ac:dyDescent="0.3">
      <c r="A48" s="54" t="s">
        <v>245</v>
      </c>
      <c r="B48" s="57">
        <v>150</v>
      </c>
      <c r="C48" s="58" t="s">
        <v>31</v>
      </c>
      <c r="D48" s="54"/>
      <c r="E48" s="57"/>
    </row>
    <row r="49" spans="1:5" customFormat="1" x14ac:dyDescent="0.3">
      <c r="A49" s="54" t="s">
        <v>246</v>
      </c>
      <c r="B49" s="57">
        <v>150</v>
      </c>
      <c r="C49" s="58" t="s">
        <v>31</v>
      </c>
      <c r="D49" s="54"/>
      <c r="E49" s="57"/>
    </row>
    <row r="50" spans="1:5" customFormat="1" x14ac:dyDescent="0.3">
      <c r="A50" s="54" t="s">
        <v>247</v>
      </c>
      <c r="B50" s="57">
        <v>70</v>
      </c>
      <c r="C50" s="58" t="s">
        <v>31</v>
      </c>
      <c r="D50" s="54"/>
      <c r="E50" s="57"/>
    </row>
    <row r="51" spans="1:5" customFormat="1" x14ac:dyDescent="0.3">
      <c r="A51" s="54" t="s">
        <v>248</v>
      </c>
      <c r="B51" s="57">
        <v>7</v>
      </c>
      <c r="C51" s="58" t="s">
        <v>31</v>
      </c>
      <c r="D51" s="54"/>
      <c r="E51" s="57"/>
    </row>
    <row r="52" spans="1:5" customFormat="1" x14ac:dyDescent="0.3">
      <c r="A52" s="54" t="s">
        <v>249</v>
      </c>
      <c r="B52" s="57">
        <v>5</v>
      </c>
      <c r="C52" s="58" t="s">
        <v>31</v>
      </c>
      <c r="D52" s="54"/>
      <c r="E52" s="57"/>
    </row>
    <row r="53" spans="1:5" customFormat="1" x14ac:dyDescent="0.3">
      <c r="A53" s="54" t="s">
        <v>250</v>
      </c>
      <c r="B53" s="57">
        <v>175</v>
      </c>
      <c r="C53" s="58" t="s">
        <v>31</v>
      </c>
      <c r="D53" s="54"/>
      <c r="E53" s="57"/>
    </row>
    <row r="54" spans="1:5" customFormat="1" x14ac:dyDescent="0.3">
      <c r="A54" s="54" t="s">
        <v>251</v>
      </c>
      <c r="B54" s="57">
        <v>2.2000000000000002</v>
      </c>
      <c r="C54" s="58" t="s">
        <v>31</v>
      </c>
      <c r="D54" s="54"/>
      <c r="E54" s="57"/>
    </row>
    <row r="55" spans="1:5" customFormat="1" x14ac:dyDescent="0.3">
      <c r="A55" s="54" t="s">
        <v>252</v>
      </c>
      <c r="B55" s="57">
        <v>15</v>
      </c>
      <c r="C55" s="58" t="s">
        <v>31</v>
      </c>
      <c r="D55" s="54"/>
      <c r="E55" s="57"/>
    </row>
    <row r="56" spans="1:5" customFormat="1" x14ac:dyDescent="0.3">
      <c r="A56" s="54" t="s">
        <v>253</v>
      </c>
      <c r="B56" s="57">
        <v>25</v>
      </c>
      <c r="C56" s="58" t="s">
        <v>31</v>
      </c>
      <c r="D56" s="54"/>
      <c r="E56" s="57"/>
    </row>
    <row r="57" spans="1:5" customFormat="1" x14ac:dyDescent="0.3">
      <c r="A57" s="54" t="s">
        <v>254</v>
      </c>
      <c r="B57" s="57">
        <v>75</v>
      </c>
      <c r="C57" s="58" t="s">
        <v>31</v>
      </c>
      <c r="D57" s="54"/>
      <c r="E57" s="57"/>
    </row>
    <row r="58" spans="1:5" customFormat="1" x14ac:dyDescent="0.3">
      <c r="A58" s="54" t="s">
        <v>255</v>
      </c>
      <c r="B58" s="57">
        <v>3</v>
      </c>
      <c r="C58" s="58" t="s">
        <v>49</v>
      </c>
      <c r="D58" s="54"/>
      <c r="E58" s="57"/>
    </row>
    <row r="59" spans="1:5" customFormat="1" x14ac:dyDescent="0.3">
      <c r="A59" s="54" t="s">
        <v>256</v>
      </c>
      <c r="B59" s="57">
        <v>200</v>
      </c>
      <c r="C59" s="58" t="s">
        <v>31</v>
      </c>
      <c r="D59" s="54"/>
      <c r="E59" s="57"/>
    </row>
    <row r="60" spans="1:5" customFormat="1" x14ac:dyDescent="0.3">
      <c r="A60" s="54" t="s">
        <v>257</v>
      </c>
      <c r="B60" s="57">
        <v>350</v>
      </c>
      <c r="C60" s="58" t="s">
        <v>31</v>
      </c>
      <c r="D60" s="54"/>
      <c r="E60" s="57"/>
    </row>
    <row r="61" spans="1:5" customFormat="1" x14ac:dyDescent="0.3">
      <c r="A61" s="54" t="s">
        <v>258</v>
      </c>
      <c r="B61" s="57">
        <v>130</v>
      </c>
      <c r="C61" s="58" t="s">
        <v>31</v>
      </c>
      <c r="D61" s="54"/>
      <c r="E61" s="57"/>
    </row>
    <row r="62" spans="1:5" customFormat="1" x14ac:dyDescent="0.3">
      <c r="A62" s="54" t="s">
        <v>259</v>
      </c>
      <c r="B62" s="57">
        <v>1.1000000000000001</v>
      </c>
      <c r="C62" s="58" t="s">
        <v>49</v>
      </c>
      <c r="D62" s="54"/>
      <c r="E62" s="57"/>
    </row>
    <row r="63" spans="1:5" customFormat="1" x14ac:dyDescent="0.3">
      <c r="A63" s="54" t="s">
        <v>260</v>
      </c>
      <c r="B63" s="57">
        <v>2</v>
      </c>
      <c r="C63" s="58" t="s">
        <v>50</v>
      </c>
      <c r="D63" s="54"/>
      <c r="E63" s="57"/>
    </row>
    <row r="64" spans="1:5" customFormat="1" x14ac:dyDescent="0.3">
      <c r="A64" s="54" t="s">
        <v>261</v>
      </c>
      <c r="B64" s="57">
        <v>0.75</v>
      </c>
      <c r="C64" s="58" t="s">
        <v>49</v>
      </c>
      <c r="D64" s="54"/>
      <c r="E64" s="57"/>
    </row>
    <row r="65" spans="1:5" customFormat="1" x14ac:dyDescent="0.3">
      <c r="A65" s="54" t="s">
        <v>262</v>
      </c>
      <c r="B65" s="57">
        <v>120</v>
      </c>
      <c r="C65" s="58" t="s">
        <v>185</v>
      </c>
      <c r="D65" s="54"/>
      <c r="E65" s="57"/>
    </row>
    <row r="66" spans="1:5" customFormat="1" x14ac:dyDescent="0.3">
      <c r="A66" s="54" t="s">
        <v>263</v>
      </c>
      <c r="B66" s="57">
        <v>2</v>
      </c>
      <c r="C66" s="58" t="s">
        <v>49</v>
      </c>
      <c r="D66" s="54"/>
      <c r="E66" s="57"/>
    </row>
    <row r="67" spans="1:5" customFormat="1" x14ac:dyDescent="0.3">
      <c r="A67" s="54" t="s">
        <v>264</v>
      </c>
      <c r="B67" s="57">
        <v>2</v>
      </c>
      <c r="C67" s="58" t="s">
        <v>49</v>
      </c>
      <c r="D67" s="54"/>
      <c r="E67" s="57"/>
    </row>
    <row r="68" spans="1:5" x14ac:dyDescent="0.3">
      <c r="A68" s="49"/>
      <c r="B68" s="50"/>
      <c r="C68" s="51"/>
      <c r="D68" s="49"/>
      <c r="E68" s="50"/>
    </row>
  </sheetData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D8FC-5FB9-4708-9508-93ED3A548446}">
  <dimension ref="A1:E22"/>
  <sheetViews>
    <sheetView workbookViewId="0">
      <selection sqref="A1:XFD2"/>
    </sheetView>
  </sheetViews>
  <sheetFormatPr defaultRowHeight="17.25" x14ac:dyDescent="0.3"/>
  <cols>
    <col min="1" max="1" width="31" style="3" customWidth="1"/>
    <col min="2" max="16384" width="9.140625" style="3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6" spans="1:5" x14ac:dyDescent="0.3">
      <c r="A6" s="3" t="s">
        <v>153</v>
      </c>
    </row>
    <row r="7" spans="1:5" x14ac:dyDescent="0.3">
      <c r="A7" s="3" t="s">
        <v>154</v>
      </c>
    </row>
    <row r="8" spans="1:5" x14ac:dyDescent="0.3">
      <c r="A8" s="3" t="s">
        <v>155</v>
      </c>
    </row>
    <row r="9" spans="1:5" x14ac:dyDescent="0.3">
      <c r="A9" s="3" t="s">
        <v>156</v>
      </c>
    </row>
    <row r="10" spans="1:5" x14ac:dyDescent="0.3">
      <c r="A10" s="3" t="s">
        <v>157</v>
      </c>
    </row>
    <row r="11" spans="1:5" x14ac:dyDescent="0.3">
      <c r="A11" s="3" t="s">
        <v>158</v>
      </c>
    </row>
    <row r="12" spans="1:5" x14ac:dyDescent="0.3">
      <c r="A12" s="3" t="s">
        <v>58</v>
      </c>
    </row>
    <row r="13" spans="1:5" x14ac:dyDescent="0.3">
      <c r="A13" s="3" t="s">
        <v>159</v>
      </c>
    </row>
    <row r="14" spans="1:5" x14ac:dyDescent="0.3">
      <c r="A14" s="3" t="s">
        <v>160</v>
      </c>
    </row>
    <row r="15" spans="1:5" x14ac:dyDescent="0.3">
      <c r="A15" s="3" t="s">
        <v>161</v>
      </c>
    </row>
    <row r="16" spans="1:5" x14ac:dyDescent="0.3">
      <c r="A16" s="3" t="s">
        <v>162</v>
      </c>
    </row>
    <row r="17" spans="1:1" x14ac:dyDescent="0.3">
      <c r="A17" s="3" t="s">
        <v>163</v>
      </c>
    </row>
    <row r="18" spans="1:1" x14ac:dyDescent="0.3">
      <c r="A18" s="3" t="s">
        <v>164</v>
      </c>
    </row>
    <row r="19" spans="1:1" x14ac:dyDescent="0.3">
      <c r="A19" s="3" t="s">
        <v>162</v>
      </c>
    </row>
    <row r="20" spans="1:1" x14ac:dyDescent="0.3">
      <c r="A20" s="3" t="s">
        <v>165</v>
      </c>
    </row>
    <row r="21" spans="1:1" x14ac:dyDescent="0.3">
      <c r="A21" s="3" t="s">
        <v>166</v>
      </c>
    </row>
    <row r="22" spans="1:1" x14ac:dyDescent="0.3">
      <c r="A22" s="3" t="s">
        <v>167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499E-55D2-4C3B-8C64-6AC0F347969A}">
  <sheetPr>
    <pageSetUpPr fitToPage="1"/>
  </sheetPr>
  <dimension ref="A1:O86"/>
  <sheetViews>
    <sheetView topLeftCell="A74" workbookViewId="0">
      <selection sqref="A1:O86"/>
    </sheetView>
  </sheetViews>
  <sheetFormatPr defaultRowHeight="15" x14ac:dyDescent="0.25"/>
  <cols>
    <col min="1" max="1" width="21.140625" customWidth="1"/>
    <col min="2" max="2" width="5.7109375" customWidth="1"/>
    <col min="8" max="8" width="0" hidden="1" customWidth="1"/>
    <col min="9" max="9" width="10.5703125" hidden="1" customWidth="1"/>
    <col min="10" max="10" width="11" hidden="1" customWidth="1"/>
    <col min="11" max="12" width="0" hidden="1" customWidth="1"/>
    <col min="13" max="13" width="10.5703125" bestFit="1" customWidth="1"/>
    <col min="14" max="14" width="15.42578125" customWidth="1"/>
    <col min="15" max="15" width="11.28515625" customWidth="1"/>
  </cols>
  <sheetData>
    <row r="1" spans="1:15" ht="19.5" x14ac:dyDescent="0.3">
      <c r="A1" s="129" t="s">
        <v>395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3" spans="1:15" ht="21" x14ac:dyDescent="0.25">
      <c r="A3" s="122" t="s">
        <v>287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5" ht="15.75" x14ac:dyDescent="0.25">
      <c r="A4" s="74"/>
      <c r="B4" s="5"/>
      <c r="C4" s="5"/>
      <c r="D4" s="5"/>
      <c r="E4" s="5"/>
      <c r="F4" s="5"/>
      <c r="G4" s="5"/>
      <c r="O4" s="76" t="s">
        <v>288</v>
      </c>
    </row>
    <row r="5" spans="1:15" ht="15.75" x14ac:dyDescent="0.25">
      <c r="A5" s="74" t="s">
        <v>289</v>
      </c>
      <c r="B5" s="116" t="s">
        <v>290</v>
      </c>
      <c r="C5" s="117"/>
      <c r="D5" s="117"/>
      <c r="E5" s="117"/>
      <c r="F5" s="5"/>
      <c r="G5" s="5"/>
    </row>
    <row r="6" spans="1:15" ht="15.75" x14ac:dyDescent="0.25">
      <c r="A6" s="74" t="s">
        <v>291</v>
      </c>
      <c r="B6" s="118" t="s">
        <v>292</v>
      </c>
      <c r="C6" s="119"/>
      <c r="D6" s="119"/>
      <c r="E6" s="119"/>
      <c r="F6" s="119"/>
      <c r="G6" s="117"/>
      <c r="M6" s="78"/>
      <c r="O6" s="126">
        <v>2600</v>
      </c>
    </row>
    <row r="7" spans="1:15" ht="27.75" customHeight="1" x14ac:dyDescent="0.25">
      <c r="A7" s="79" t="s">
        <v>293</v>
      </c>
      <c r="B7" s="120" t="s">
        <v>294</v>
      </c>
      <c r="C7" s="121"/>
      <c r="D7" s="121"/>
      <c r="E7" s="121"/>
      <c r="F7" s="121"/>
      <c r="G7" s="5"/>
    </row>
    <row r="8" spans="1:15" ht="15.75" x14ac:dyDescent="0.25">
      <c r="A8" s="74" t="s">
        <v>295</v>
      </c>
      <c r="B8" s="118" t="s">
        <v>296</v>
      </c>
      <c r="C8" s="119"/>
      <c r="D8" s="119"/>
      <c r="E8" s="119"/>
      <c r="F8" s="119"/>
      <c r="G8" s="119"/>
    </row>
    <row r="9" spans="1:15" ht="15.75" x14ac:dyDescent="0.25">
      <c r="A9" s="74" t="s">
        <v>297</v>
      </c>
      <c r="B9" s="75" t="s">
        <v>298</v>
      </c>
      <c r="C9" s="77"/>
      <c r="D9" s="77"/>
      <c r="E9" s="77"/>
      <c r="F9" s="77"/>
      <c r="G9" s="77"/>
    </row>
    <row r="10" spans="1:15" ht="15.75" x14ac:dyDescent="0.25">
      <c r="A10" s="74"/>
      <c r="B10" s="75"/>
      <c r="C10" s="77"/>
      <c r="D10" s="77"/>
      <c r="E10" s="77"/>
      <c r="F10" s="77"/>
      <c r="G10" s="77"/>
    </row>
    <row r="11" spans="1:15" ht="15.75" x14ac:dyDescent="0.25">
      <c r="A11" s="123" t="s">
        <v>299</v>
      </c>
      <c r="B11" s="123"/>
      <c r="C11" s="123"/>
      <c r="D11" s="123"/>
      <c r="E11" s="77"/>
      <c r="F11" s="77"/>
      <c r="G11" s="77"/>
    </row>
    <row r="12" spans="1:15" x14ac:dyDescent="0.25">
      <c r="A12" s="34" t="s">
        <v>300</v>
      </c>
      <c r="B12" s="35">
        <v>1</v>
      </c>
      <c r="C12" t="s">
        <v>301</v>
      </c>
      <c r="E12" s="77"/>
      <c r="F12" s="77"/>
      <c r="G12" s="77"/>
    </row>
    <row r="13" spans="1:15" x14ac:dyDescent="0.25">
      <c r="A13" s="34" t="s">
        <v>302</v>
      </c>
      <c r="B13" s="77"/>
      <c r="C13" s="77" t="s">
        <v>303</v>
      </c>
      <c r="D13" s="77"/>
      <c r="E13" s="77"/>
      <c r="F13" s="77"/>
      <c r="G13" s="77"/>
    </row>
    <row r="14" spans="1:15" x14ac:dyDescent="0.25">
      <c r="A14" s="34" t="s">
        <v>304</v>
      </c>
      <c r="B14" s="35"/>
      <c r="C14" s="77" t="s">
        <v>305</v>
      </c>
      <c r="E14" s="77"/>
      <c r="F14" s="77"/>
      <c r="G14" s="77"/>
    </row>
    <row r="15" spans="1:15" x14ac:dyDescent="0.25">
      <c r="A15" s="34" t="s">
        <v>306</v>
      </c>
      <c r="B15" s="35"/>
      <c r="C15" t="s">
        <v>307</v>
      </c>
      <c r="E15" s="77"/>
      <c r="F15" s="77"/>
      <c r="G15" s="77"/>
    </row>
    <row r="16" spans="1:15" x14ac:dyDescent="0.25">
      <c r="A16" s="34" t="s">
        <v>308</v>
      </c>
      <c r="B16" s="35">
        <v>1</v>
      </c>
      <c r="E16" s="77"/>
      <c r="F16" s="77"/>
      <c r="G16" s="77"/>
    </row>
    <row r="17" spans="1:15" x14ac:dyDescent="0.25">
      <c r="A17" s="34" t="s">
        <v>309</v>
      </c>
      <c r="B17" s="35">
        <v>1</v>
      </c>
      <c r="E17" s="77"/>
      <c r="F17" s="77"/>
      <c r="G17" s="77"/>
    </row>
    <row r="18" spans="1:15" x14ac:dyDescent="0.25">
      <c r="A18" s="34" t="s">
        <v>310</v>
      </c>
      <c r="B18" s="35">
        <v>4</v>
      </c>
      <c r="E18" s="77"/>
      <c r="F18" s="77"/>
      <c r="G18" s="77"/>
    </row>
    <row r="19" spans="1:15" x14ac:dyDescent="0.25">
      <c r="A19" s="34"/>
      <c r="B19" s="35"/>
      <c r="E19" s="77"/>
      <c r="F19" s="77"/>
      <c r="G19" s="77"/>
    </row>
    <row r="20" spans="1:15" x14ac:dyDescent="0.25">
      <c r="A20" s="34"/>
      <c r="B20" s="35"/>
      <c r="E20" s="77"/>
      <c r="F20" s="77"/>
      <c r="G20" s="77"/>
    </row>
    <row r="21" spans="1:15" ht="18.75" x14ac:dyDescent="0.25">
      <c r="A21" s="124" t="s">
        <v>311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O21" s="130" t="s">
        <v>391</v>
      </c>
    </row>
    <row r="22" spans="1:15" ht="15.75" x14ac:dyDescent="0.25">
      <c r="A22" s="123" t="s">
        <v>312</v>
      </c>
      <c r="B22" s="123"/>
      <c r="C22" s="123"/>
      <c r="D22" s="123"/>
      <c r="O22" s="127" t="s">
        <v>313</v>
      </c>
    </row>
    <row r="23" spans="1:15" ht="15.75" x14ac:dyDescent="0.25">
      <c r="A23" s="80"/>
      <c r="B23" s="80" t="s">
        <v>11</v>
      </c>
      <c r="C23" s="80"/>
      <c r="D23" s="80"/>
    </row>
    <row r="24" spans="1:15" x14ac:dyDescent="0.25">
      <c r="A24" s="34" t="s">
        <v>314</v>
      </c>
      <c r="B24" s="35">
        <v>1</v>
      </c>
      <c r="C24" t="s">
        <v>315</v>
      </c>
    </row>
    <row r="25" spans="1:15" x14ac:dyDescent="0.25">
      <c r="A25" s="34" t="s">
        <v>316</v>
      </c>
      <c r="B25" s="35">
        <v>1</v>
      </c>
      <c r="C25" t="s">
        <v>317</v>
      </c>
      <c r="O25" s="81">
        <f>459*1.07</f>
        <v>491.13000000000005</v>
      </c>
    </row>
    <row r="26" spans="1:15" x14ac:dyDescent="0.25">
      <c r="A26" s="34" t="s">
        <v>318</v>
      </c>
      <c r="B26" s="35">
        <v>1</v>
      </c>
      <c r="C26" t="s">
        <v>319</v>
      </c>
      <c r="O26" s="81">
        <f>154.23*1.07</f>
        <v>165.02609999999999</v>
      </c>
    </row>
    <row r="27" spans="1:15" x14ac:dyDescent="0.25">
      <c r="A27" s="34" t="s">
        <v>320</v>
      </c>
      <c r="B27" s="35"/>
      <c r="C27" t="s">
        <v>321</v>
      </c>
    </row>
    <row r="28" spans="1:15" x14ac:dyDescent="0.25">
      <c r="A28" s="34" t="s">
        <v>322</v>
      </c>
      <c r="B28" s="35"/>
      <c r="C28" t="s">
        <v>321</v>
      </c>
    </row>
    <row r="29" spans="1:15" x14ac:dyDescent="0.25">
      <c r="A29" s="34"/>
      <c r="B29" s="34"/>
    </row>
    <row r="30" spans="1:15" ht="15.75" x14ac:dyDescent="0.25">
      <c r="A30" s="123" t="s">
        <v>323</v>
      </c>
      <c r="B30" s="123"/>
      <c r="C30" s="123"/>
      <c r="D30" s="123"/>
    </row>
    <row r="31" spans="1:15" ht="15.75" x14ac:dyDescent="0.25">
      <c r="A31" s="80"/>
      <c r="B31" s="80" t="s">
        <v>11</v>
      </c>
      <c r="C31" s="80"/>
      <c r="D31" s="80"/>
    </row>
    <row r="32" spans="1:15" x14ac:dyDescent="0.25">
      <c r="A32" s="34" t="s">
        <v>324</v>
      </c>
      <c r="B32" s="35">
        <v>1</v>
      </c>
      <c r="C32" t="s">
        <v>325</v>
      </c>
    </row>
    <row r="33" spans="1:15" x14ac:dyDescent="0.25">
      <c r="A33" s="34" t="s">
        <v>316</v>
      </c>
      <c r="B33" s="35">
        <v>1</v>
      </c>
      <c r="C33" t="s">
        <v>317</v>
      </c>
      <c r="O33" s="81">
        <f>459*1.07</f>
        <v>491.13000000000005</v>
      </c>
    </row>
    <row r="34" spans="1:15" x14ac:dyDescent="0.25">
      <c r="A34" s="34"/>
      <c r="B34" s="34"/>
    </row>
    <row r="35" spans="1:15" ht="15.75" x14ac:dyDescent="0.25">
      <c r="A35" s="123" t="s">
        <v>393</v>
      </c>
      <c r="B35" s="123"/>
      <c r="C35" s="123"/>
      <c r="D35" s="123"/>
    </row>
    <row r="36" spans="1:15" ht="15.75" x14ac:dyDescent="0.25">
      <c r="A36" s="80"/>
      <c r="B36" s="80" t="s">
        <v>11</v>
      </c>
      <c r="C36" s="80"/>
      <c r="D36" s="80"/>
    </row>
    <row r="37" spans="1:15" x14ac:dyDescent="0.25">
      <c r="A37" s="34" t="s">
        <v>324</v>
      </c>
      <c r="B37" s="35">
        <v>1</v>
      </c>
      <c r="C37" t="s">
        <v>325</v>
      </c>
    </row>
    <row r="38" spans="1:15" x14ac:dyDescent="0.25">
      <c r="A38" s="34" t="s">
        <v>316</v>
      </c>
      <c r="B38" s="35">
        <v>1</v>
      </c>
      <c r="C38" t="s">
        <v>317</v>
      </c>
      <c r="O38" s="81">
        <f>459*1.07</f>
        <v>491.13000000000005</v>
      </c>
    </row>
    <row r="39" spans="1:15" x14ac:dyDescent="0.25">
      <c r="A39" s="34"/>
      <c r="B39" s="34"/>
    </row>
    <row r="40" spans="1:15" ht="15.75" x14ac:dyDescent="0.25">
      <c r="A40" s="123" t="s">
        <v>326</v>
      </c>
      <c r="B40" s="123"/>
      <c r="C40" s="123"/>
      <c r="D40" s="123"/>
    </row>
    <row r="41" spans="1:15" ht="15.75" x14ac:dyDescent="0.25">
      <c r="A41" s="80"/>
      <c r="B41" s="80" t="s">
        <v>11</v>
      </c>
      <c r="C41" s="80"/>
      <c r="D41" s="80"/>
    </row>
    <row r="42" spans="1:15" x14ac:dyDescent="0.25">
      <c r="A42" s="34" t="s">
        <v>324</v>
      </c>
      <c r="B42" s="35">
        <v>1</v>
      </c>
      <c r="C42" t="s">
        <v>325</v>
      </c>
    </row>
    <row r="43" spans="1:15" x14ac:dyDescent="0.25">
      <c r="A43" s="34" t="s">
        <v>316</v>
      </c>
      <c r="B43" s="35">
        <v>1</v>
      </c>
      <c r="C43" t="s">
        <v>317</v>
      </c>
      <c r="O43" s="81">
        <f>459*1.07</f>
        <v>491.13000000000005</v>
      </c>
    </row>
    <row r="44" spans="1:15" x14ac:dyDescent="0.25">
      <c r="A44" s="34"/>
      <c r="B44" s="34"/>
    </row>
    <row r="45" spans="1:15" ht="15.75" x14ac:dyDescent="0.25">
      <c r="A45" s="123" t="s">
        <v>327</v>
      </c>
      <c r="B45" s="123"/>
      <c r="C45" s="123"/>
      <c r="D45" s="123"/>
    </row>
    <row r="46" spans="1:15" ht="15.75" x14ac:dyDescent="0.25">
      <c r="A46" s="80"/>
      <c r="B46" s="80" t="s">
        <v>11</v>
      </c>
      <c r="C46" s="80"/>
      <c r="D46" s="80"/>
    </row>
    <row r="47" spans="1:15" x14ac:dyDescent="0.25">
      <c r="A47" s="34" t="s">
        <v>324</v>
      </c>
      <c r="B47" s="35">
        <v>2</v>
      </c>
      <c r="C47" t="s">
        <v>328</v>
      </c>
    </row>
    <row r="48" spans="1:15" x14ac:dyDescent="0.25">
      <c r="A48" s="34" t="s">
        <v>316</v>
      </c>
      <c r="B48" s="35">
        <v>2</v>
      </c>
      <c r="C48" t="s">
        <v>392</v>
      </c>
      <c r="O48" s="81">
        <f>600*1.07</f>
        <v>642</v>
      </c>
    </row>
    <row r="49" spans="1:15" x14ac:dyDescent="0.25">
      <c r="A49" s="34" t="s">
        <v>329</v>
      </c>
      <c r="B49" s="35">
        <v>1</v>
      </c>
      <c r="C49" t="s">
        <v>330</v>
      </c>
      <c r="O49" s="82">
        <f>225.72*1.07</f>
        <v>241.52040000000002</v>
      </c>
    </row>
    <row r="50" spans="1:15" x14ac:dyDescent="0.25">
      <c r="A50" s="34" t="s">
        <v>331</v>
      </c>
      <c r="B50" s="35">
        <v>1</v>
      </c>
      <c r="C50" t="s">
        <v>332</v>
      </c>
      <c r="O50" s="81">
        <f>494*1.07</f>
        <v>528.58000000000004</v>
      </c>
    </row>
    <row r="51" spans="1:15" x14ac:dyDescent="0.25">
      <c r="A51" s="34" t="s">
        <v>333</v>
      </c>
      <c r="B51" s="35">
        <v>1</v>
      </c>
      <c r="C51" s="119" t="s">
        <v>334</v>
      </c>
      <c r="D51" s="119"/>
      <c r="E51" s="119"/>
      <c r="F51" s="119"/>
      <c r="G51" s="119"/>
      <c r="H51" s="119"/>
      <c r="I51" s="119"/>
      <c r="J51" s="119"/>
      <c r="O51" s="81">
        <v>412</v>
      </c>
    </row>
    <row r="52" spans="1:15" x14ac:dyDescent="0.25">
      <c r="B52" s="35"/>
      <c r="C52" t="s">
        <v>335</v>
      </c>
    </row>
    <row r="53" spans="1:15" x14ac:dyDescent="0.25">
      <c r="A53" s="34" t="s">
        <v>336</v>
      </c>
      <c r="B53" s="35">
        <v>1</v>
      </c>
      <c r="C53" t="s">
        <v>337</v>
      </c>
      <c r="I53" s="78">
        <v>1200</v>
      </c>
      <c r="O53" s="81">
        <v>1500</v>
      </c>
    </row>
    <row r="54" spans="1:15" x14ac:dyDescent="0.25">
      <c r="A54" s="34" t="s">
        <v>338</v>
      </c>
      <c r="B54" s="35"/>
      <c r="C54" t="s">
        <v>339</v>
      </c>
    </row>
    <row r="56" spans="1:15" ht="15.75" x14ac:dyDescent="0.25">
      <c r="A56" s="123" t="s">
        <v>340</v>
      </c>
      <c r="B56" s="123"/>
      <c r="C56" s="123"/>
      <c r="D56" s="123"/>
    </row>
    <row r="57" spans="1:15" ht="15.75" x14ac:dyDescent="0.25">
      <c r="A57" s="80"/>
      <c r="B57" s="80" t="s">
        <v>11</v>
      </c>
      <c r="C57" s="80"/>
      <c r="D57" s="80"/>
    </row>
    <row r="58" spans="1:15" x14ac:dyDescent="0.25">
      <c r="A58" s="34" t="s">
        <v>324</v>
      </c>
      <c r="B58" s="35">
        <v>1</v>
      </c>
      <c r="C58" t="s">
        <v>328</v>
      </c>
    </row>
    <row r="59" spans="1:15" x14ac:dyDescent="0.25">
      <c r="A59" s="34" t="s">
        <v>316</v>
      </c>
      <c r="B59" s="35">
        <v>1</v>
      </c>
      <c r="C59" t="s">
        <v>392</v>
      </c>
      <c r="O59" s="81">
        <f>300*1.07</f>
        <v>321</v>
      </c>
    </row>
    <row r="60" spans="1:15" x14ac:dyDescent="0.25">
      <c r="A60" s="34" t="s">
        <v>329</v>
      </c>
      <c r="B60" s="35">
        <v>1</v>
      </c>
      <c r="C60" t="s">
        <v>341</v>
      </c>
      <c r="O60" s="82">
        <f>270*1.07</f>
        <v>288.90000000000003</v>
      </c>
    </row>
    <row r="61" spans="1:15" x14ac:dyDescent="0.25">
      <c r="A61" s="34" t="s">
        <v>333</v>
      </c>
      <c r="B61" s="35">
        <v>1</v>
      </c>
      <c r="C61" s="119" t="s">
        <v>334</v>
      </c>
      <c r="D61" s="119"/>
      <c r="E61" s="119"/>
      <c r="F61" s="119"/>
      <c r="G61" s="119"/>
      <c r="H61" s="119"/>
      <c r="I61" s="119"/>
      <c r="J61" s="119"/>
      <c r="O61" s="81">
        <v>412</v>
      </c>
    </row>
    <row r="62" spans="1:15" x14ac:dyDescent="0.25">
      <c r="B62" s="35"/>
      <c r="C62" t="s">
        <v>335</v>
      </c>
    </row>
    <row r="63" spans="1:15" x14ac:dyDescent="0.25">
      <c r="A63" s="34" t="s">
        <v>336</v>
      </c>
      <c r="B63" s="35">
        <v>1</v>
      </c>
      <c r="C63" t="s">
        <v>342</v>
      </c>
      <c r="O63" s="82">
        <v>700</v>
      </c>
    </row>
    <row r="64" spans="1:15" x14ac:dyDescent="0.25">
      <c r="C64" t="s">
        <v>343</v>
      </c>
    </row>
    <row r="66" spans="1:15" ht="15.75" x14ac:dyDescent="0.25">
      <c r="A66" s="123" t="s">
        <v>344</v>
      </c>
      <c r="B66" s="123"/>
      <c r="C66" s="123"/>
      <c r="D66" s="123"/>
    </row>
    <row r="67" spans="1:15" ht="15.75" x14ac:dyDescent="0.25">
      <c r="A67" s="80"/>
      <c r="B67" s="80" t="s">
        <v>11</v>
      </c>
      <c r="C67" s="80"/>
      <c r="D67" s="80"/>
    </row>
    <row r="68" spans="1:15" x14ac:dyDescent="0.25">
      <c r="A68" s="34" t="s">
        <v>324</v>
      </c>
      <c r="B68" s="35">
        <v>1</v>
      </c>
      <c r="C68" t="s">
        <v>328</v>
      </c>
    </row>
    <row r="69" spans="1:15" x14ac:dyDescent="0.25">
      <c r="A69" s="34" t="s">
        <v>316</v>
      </c>
      <c r="B69" s="35">
        <v>1</v>
      </c>
      <c r="C69" t="s">
        <v>392</v>
      </c>
      <c r="O69" s="81">
        <v>321</v>
      </c>
    </row>
    <row r="70" spans="1:15" x14ac:dyDescent="0.25">
      <c r="A70" s="34" t="s">
        <v>329</v>
      </c>
      <c r="B70" s="35">
        <v>1</v>
      </c>
      <c r="C70" t="s">
        <v>330</v>
      </c>
      <c r="O70" s="82">
        <v>288.89999999999998</v>
      </c>
    </row>
    <row r="71" spans="1:15" x14ac:dyDescent="0.25">
      <c r="A71" s="34" t="s">
        <v>333</v>
      </c>
      <c r="B71" s="35">
        <v>1</v>
      </c>
      <c r="C71" s="119" t="s">
        <v>334</v>
      </c>
      <c r="D71" s="119"/>
      <c r="E71" s="119"/>
      <c r="F71" s="119"/>
      <c r="G71" s="119"/>
      <c r="H71" s="119"/>
      <c r="I71" s="119"/>
      <c r="J71" s="119"/>
      <c r="O71" s="81">
        <v>412</v>
      </c>
    </row>
    <row r="72" spans="1:15" x14ac:dyDescent="0.25">
      <c r="B72" s="35"/>
      <c r="C72" t="s">
        <v>335</v>
      </c>
    </row>
    <row r="74" spans="1:15" ht="15.75" x14ac:dyDescent="0.25">
      <c r="A74" s="123" t="s">
        <v>345</v>
      </c>
      <c r="B74" s="123"/>
      <c r="C74" s="123"/>
      <c r="D74" s="123"/>
    </row>
    <row r="75" spans="1:15" ht="15.75" x14ac:dyDescent="0.25">
      <c r="A75" s="83" t="s">
        <v>346</v>
      </c>
      <c r="B75" s="83">
        <v>1</v>
      </c>
      <c r="C75" s="83" t="s">
        <v>347</v>
      </c>
      <c r="D75" s="80"/>
    </row>
    <row r="76" spans="1:15" ht="30" customHeight="1" x14ac:dyDescent="0.25">
      <c r="A76" s="34" t="s">
        <v>316</v>
      </c>
      <c r="B76" s="35">
        <v>1</v>
      </c>
      <c r="C76" s="125" t="s">
        <v>348</v>
      </c>
      <c r="D76" s="125"/>
      <c r="E76" s="125"/>
      <c r="F76" s="125"/>
      <c r="G76" s="125"/>
      <c r="L76" s="84">
        <v>440.66</v>
      </c>
      <c r="O76" s="82">
        <v>510</v>
      </c>
    </row>
    <row r="78" spans="1:15" x14ac:dyDescent="0.25">
      <c r="N78" s="85" t="s">
        <v>349</v>
      </c>
      <c r="O78" s="128">
        <f>SUM(O6:O77)</f>
        <v>11307.4465</v>
      </c>
    </row>
    <row r="79" spans="1:15" x14ac:dyDescent="0.25">
      <c r="O79" s="126"/>
    </row>
    <row r="80" spans="1:15" x14ac:dyDescent="0.25">
      <c r="M80" t="s">
        <v>390</v>
      </c>
      <c r="O80" s="126">
        <v>16500</v>
      </c>
    </row>
    <row r="81" spans="13:15" x14ac:dyDescent="0.25">
      <c r="O81" s="126"/>
    </row>
    <row r="82" spans="13:15" x14ac:dyDescent="0.25">
      <c r="M82" s="130"/>
      <c r="N82" s="131" t="s">
        <v>394</v>
      </c>
      <c r="O82" s="132">
        <f>SUM(O78:O80)</f>
        <v>27807.446499999998</v>
      </c>
    </row>
    <row r="83" spans="13:15" x14ac:dyDescent="0.25">
      <c r="O83" s="126"/>
    </row>
    <row r="84" spans="13:15" x14ac:dyDescent="0.25">
      <c r="O84" s="126"/>
    </row>
    <row r="85" spans="13:15" x14ac:dyDescent="0.25">
      <c r="O85" s="126"/>
    </row>
    <row r="86" spans="13:15" x14ac:dyDescent="0.25">
      <c r="O86" s="126"/>
    </row>
  </sheetData>
  <mergeCells count="20">
    <mergeCell ref="A1:O1"/>
    <mergeCell ref="A74:D74"/>
    <mergeCell ref="C76:G76"/>
    <mergeCell ref="A56:D56"/>
    <mergeCell ref="C61:J61"/>
    <mergeCell ref="A66:D66"/>
    <mergeCell ref="C71:J71"/>
    <mergeCell ref="A30:D30"/>
    <mergeCell ref="A40:D40"/>
    <mergeCell ref="A45:D45"/>
    <mergeCell ref="C51:J51"/>
    <mergeCell ref="A35:D35"/>
    <mergeCell ref="A11:D11"/>
    <mergeCell ref="A21:K21"/>
    <mergeCell ref="A22:D22"/>
    <mergeCell ref="B5:E5"/>
    <mergeCell ref="B6:G6"/>
    <mergeCell ref="B7:F7"/>
    <mergeCell ref="B8:G8"/>
    <mergeCell ref="A3:K3"/>
  </mergeCells>
  <pageMargins left="0.7" right="0.7" top="0.75" bottom="0.75" header="0.3" footer="0.3"/>
  <pageSetup scale="8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B748-929E-496C-9570-702DE6509A16}">
  <dimension ref="A1:E2"/>
  <sheetViews>
    <sheetView workbookViewId="0">
      <selection sqref="A1:E2"/>
    </sheetView>
  </sheetViews>
  <sheetFormatPr defaultRowHeight="15" x14ac:dyDescent="0.25"/>
  <cols>
    <col min="1" max="5" width="17.1406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89A3-0679-439A-8933-60CED6FB110E}">
  <dimension ref="A1:E2"/>
  <sheetViews>
    <sheetView workbookViewId="0">
      <selection sqref="A1:E1"/>
    </sheetView>
  </sheetViews>
  <sheetFormatPr defaultRowHeight="15" x14ac:dyDescent="0.25"/>
  <cols>
    <col min="1" max="5" width="15.57031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AAEB-EB77-48B7-B2AF-8BDC866A3332}">
  <dimension ref="A1:E2"/>
  <sheetViews>
    <sheetView workbookViewId="0">
      <selection sqref="A1:E1"/>
    </sheetView>
  </sheetViews>
  <sheetFormatPr defaultRowHeight="15" x14ac:dyDescent="0.25"/>
  <cols>
    <col min="1" max="5" width="15.285156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027B-8083-4D76-9B4C-C2D6B6465A86}">
  <dimension ref="A1:E9"/>
  <sheetViews>
    <sheetView workbookViewId="0">
      <selection sqref="A1:E1"/>
    </sheetView>
  </sheetViews>
  <sheetFormatPr defaultRowHeight="15" x14ac:dyDescent="0.25"/>
  <cols>
    <col min="1" max="1" width="19.710937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  <row r="5" spans="1:5" x14ac:dyDescent="0.25">
      <c r="A5" t="s">
        <v>168</v>
      </c>
    </row>
    <row r="6" spans="1:5" x14ac:dyDescent="0.25">
      <c r="A6" t="s">
        <v>169</v>
      </c>
    </row>
    <row r="7" spans="1:5" x14ac:dyDescent="0.25">
      <c r="A7" t="s">
        <v>170</v>
      </c>
    </row>
    <row r="8" spans="1:5" x14ac:dyDescent="0.25">
      <c r="A8" t="s">
        <v>171</v>
      </c>
    </row>
    <row r="9" spans="1:5" x14ac:dyDescent="0.25">
      <c r="A9" t="s">
        <v>172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56D1-2362-41AF-B6C5-81DD124003EF}">
  <dimension ref="A1:E2"/>
  <sheetViews>
    <sheetView workbookViewId="0">
      <selection activeCell="E16" sqref="E16"/>
    </sheetView>
  </sheetViews>
  <sheetFormatPr defaultRowHeight="15" x14ac:dyDescent="0.25"/>
  <cols>
    <col min="1" max="5" width="15.5703125" customWidth="1"/>
  </cols>
  <sheetData>
    <row r="1" spans="1:5" s="1" customFormat="1" ht="42.75" customHeight="1" x14ac:dyDescent="0.3">
      <c r="A1" s="101" t="str">
        <f>('Cover Page'!A1)</f>
        <v>Veranda Bay Olsen Model</v>
      </c>
      <c r="B1" s="101"/>
      <c r="C1" s="101"/>
      <c r="D1" s="101"/>
      <c r="E1" s="101"/>
    </row>
    <row r="2" spans="1:5" s="1" customFormat="1" ht="39" customHeight="1" x14ac:dyDescent="0.3">
      <c r="A2" s="102" t="str">
        <f>('Cover Page'!A2)</f>
        <v>183 Stillwater Drive</v>
      </c>
      <c r="B2" s="102"/>
      <c r="C2" s="102"/>
      <c r="D2" s="102"/>
      <c r="E2" s="102"/>
    </row>
  </sheetData>
  <mergeCells count="2"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3AB8ED-755D-4BA1-8123-EDD477A2EC5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 Page</vt:lpstr>
      <vt:lpstr>Slab</vt:lpstr>
      <vt:lpstr>Lintels &amp; Sills</vt:lpstr>
      <vt:lpstr>Block</vt:lpstr>
      <vt:lpstr>Framing Material</vt:lpstr>
      <vt:lpstr>Windows</vt:lpstr>
      <vt:lpstr>Ext. Doors</vt:lpstr>
      <vt:lpstr>Insulation</vt:lpstr>
      <vt:lpstr>Drywall</vt:lpstr>
      <vt:lpstr>Interior Doors &amp; Trim</vt:lpstr>
      <vt:lpstr>Pavers</vt:lpstr>
      <vt:lpstr>Stone</vt:lpstr>
      <vt:lpstr>Paint</vt:lpstr>
      <vt:lpstr>Flooring</vt:lpstr>
      <vt:lpstr>Plumbing</vt:lpstr>
      <vt:lpstr>Electric</vt:lpstr>
      <vt:lpstr>Cabinets</vt:lpstr>
      <vt:lpstr>Granite</vt:lpstr>
      <vt:lpstr>Summer Kitchen</vt:lpstr>
      <vt:lpstr>Specialty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Estimates</cp:lastModifiedBy>
  <cp:lastPrinted>2026-05-15T18:10:26Z</cp:lastPrinted>
  <dcterms:created xsi:type="dcterms:W3CDTF">2023-05-02T13:29:53Z</dcterms:created>
  <dcterms:modified xsi:type="dcterms:W3CDTF">2026-05-15T18:10:31Z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{F43AB8ED-755D-4BA1-8123-EDD477A2EC5B}</vt:lpwstr>
  </property>
</Properties>
</file>