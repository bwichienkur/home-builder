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LSEN CUSTOM HOMES\CONSTRUCTION FILES\OCH Customer Files\CURRENT OCH Customers\Veranda Bay Model #2 (Golden Dunes) -183 Stillwater Dr\Estimate File\"/>
    </mc:Choice>
  </mc:AlternateContent>
  <xr:revisionPtr revIDLastSave="0" documentId="13_ncr:1_{ADA41FE4-71DD-4B44-AC41-82A69867B3BA}" xr6:coauthVersionLast="47" xr6:coauthVersionMax="47" xr10:uidLastSave="{00000000-0000-0000-0000-000000000000}"/>
  <bookViews>
    <workbookView xWindow="28680" yWindow="-120" windowWidth="29040" windowHeight="15720" xr2:uid="{C6CC20C5-5A57-411F-BE79-2211A0F27CB1}"/>
  </bookViews>
  <sheets>
    <sheet name="Parade Pricing" sheetId="2" r:id="rId1"/>
  </sheets>
  <definedNames>
    <definedName name="_xlnm.Print_Area" localSheetId="0">'Parade Pricing'!$A$1:$AD$273</definedName>
  </definedNames>
  <calcPr calcId="191029"/>
  <customWorkbookViews>
    <customWorkbookView name="Stephanie - Personal View" guid="{1E0F1EFA-D57C-4F6D-B665-668EDF77AFE1}" mergeInterval="0" personalView="1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3" i="2" l="1"/>
  <c r="P32" i="2"/>
  <c r="P161" i="2"/>
  <c r="P22" i="2"/>
  <c r="P111" i="2"/>
  <c r="P202" i="2"/>
  <c r="P240" i="2"/>
  <c r="P10" i="2"/>
  <c r="P103" i="2"/>
  <c r="P258" i="2"/>
  <c r="P85" i="2"/>
  <c r="P76" i="2"/>
  <c r="P195" i="2"/>
  <c r="P256" i="2"/>
  <c r="S244" i="2"/>
  <c r="R244" i="2"/>
  <c r="P244" i="2"/>
  <c r="P108" i="2"/>
  <c r="L157" i="2"/>
  <c r="P157" i="2"/>
  <c r="P21" i="2"/>
  <c r="L217" i="2"/>
  <c r="P217" i="2"/>
  <c r="H172" i="2"/>
  <c r="H166" i="2"/>
  <c r="L240" i="2"/>
  <c r="L241" i="2"/>
  <c r="H240" i="2"/>
  <c r="H171" i="2"/>
  <c r="L170" i="2" s="1"/>
  <c r="L244" i="2"/>
  <c r="L242" i="2"/>
  <c r="L233" i="2"/>
  <c r="L204" i="2"/>
  <c r="L202" i="2"/>
  <c r="L200" i="2"/>
  <c r="L201" i="2"/>
  <c r="L199" i="2"/>
  <c r="L193" i="2"/>
  <c r="L187" i="2"/>
  <c r="L188" i="2"/>
  <c r="L189" i="2"/>
  <c r="L186" i="2"/>
  <c r="L173" i="2"/>
  <c r="L111" i="2"/>
  <c r="L109" i="2"/>
  <c r="L107" i="2"/>
  <c r="L108" i="2"/>
  <c r="L89" i="2"/>
  <c r="L87" i="2"/>
  <c r="L85" i="2"/>
  <c r="L78" i="2"/>
  <c r="L76" i="2"/>
  <c r="L74" i="2"/>
  <c r="L67" i="2"/>
  <c r="L68" i="2"/>
  <c r="L69" i="2"/>
  <c r="L70" i="2"/>
  <c r="L71" i="2"/>
  <c r="L72" i="2"/>
  <c r="L73" i="2"/>
  <c r="L66" i="2"/>
  <c r="L65" i="2"/>
  <c r="L60" i="2"/>
  <c r="L56" i="2"/>
  <c r="L42" i="2"/>
  <c r="L41" i="2"/>
  <c r="L40" i="2"/>
  <c r="L38" i="2"/>
  <c r="L36" i="2"/>
  <c r="L35" i="2"/>
  <c r="L34" i="2"/>
  <c r="L12" i="2"/>
  <c r="L14" i="2"/>
  <c r="L15" i="2"/>
  <c r="L16" i="2"/>
  <c r="L19" i="2"/>
  <c r="L20" i="2"/>
  <c r="L21" i="2"/>
  <c r="L22" i="2"/>
  <c r="L23" i="2"/>
  <c r="L24" i="2"/>
  <c r="L10" i="2"/>
  <c r="L25" i="2"/>
  <c r="L178" i="2"/>
  <c r="L119" i="2"/>
  <c r="F40" i="2"/>
  <c r="H238" i="2" s="1"/>
  <c r="F15" i="2"/>
  <c r="F16" i="2"/>
  <c r="F17" i="2"/>
  <c r="F18" i="2"/>
  <c r="F19" i="2"/>
  <c r="F20" i="2"/>
  <c r="F21" i="2"/>
  <c r="F22" i="2"/>
  <c r="F23" i="2"/>
  <c r="F24" i="2"/>
  <c r="H207" i="2" s="1"/>
  <c r="F25" i="2"/>
  <c r="H176" i="2" s="1"/>
  <c r="F26" i="2"/>
  <c r="H177" i="2" s="1"/>
  <c r="F27" i="2"/>
  <c r="F28" i="2"/>
  <c r="H157" i="2" s="1"/>
  <c r="F29" i="2"/>
  <c r="H158" i="2" s="1"/>
  <c r="F30" i="2"/>
  <c r="H160" i="2" s="1"/>
  <c r="L159" i="2" s="1"/>
  <c r="F31" i="2"/>
  <c r="H225" i="2" s="1"/>
  <c r="F32" i="2"/>
  <c r="H226" i="2" s="1"/>
  <c r="F33" i="2"/>
  <c r="H227" i="2" s="1"/>
  <c r="F34" i="2"/>
  <c r="F35" i="2"/>
  <c r="H181" i="2" s="1"/>
  <c r="F36" i="2"/>
  <c r="H182" i="2" s="1"/>
  <c r="F37" i="2"/>
  <c r="H183" i="2" s="1"/>
  <c r="F38" i="2"/>
  <c r="H184" i="2" s="1"/>
  <c r="H185" i="2"/>
  <c r="F41" i="2"/>
  <c r="F42" i="2"/>
  <c r="F43" i="2"/>
  <c r="F44" i="2"/>
  <c r="F45" i="2"/>
  <c r="F46" i="2"/>
  <c r="F47" i="2"/>
  <c r="H141" i="2" s="1"/>
  <c r="F48" i="2"/>
  <c r="H150" i="2" s="1"/>
  <c r="F49" i="2"/>
  <c r="H151" i="2" s="1"/>
  <c r="F50" i="2"/>
  <c r="H144" i="2" s="1"/>
  <c r="F51" i="2"/>
  <c r="H145" i="2" s="1"/>
  <c r="F52" i="2"/>
  <c r="H103" i="2" s="1"/>
  <c r="L103" i="2" s="1"/>
  <c r="F53" i="2"/>
  <c r="H104" i="2" s="1"/>
  <c r="L104" i="2" s="1"/>
  <c r="F54" i="2"/>
  <c r="H105" i="2" s="1"/>
  <c r="L105" i="2" s="1"/>
  <c r="F55" i="2"/>
  <c r="H106" i="2" s="1"/>
  <c r="L106" i="2" s="1"/>
  <c r="F56" i="2"/>
  <c r="F57" i="2"/>
  <c r="F58" i="2"/>
  <c r="H191" i="2" s="1"/>
  <c r="L190" i="2" s="1"/>
  <c r="F59" i="2"/>
  <c r="H196" i="2" s="1"/>
  <c r="F14" i="2"/>
  <c r="L179" i="2" l="1"/>
  <c r="F11" i="2"/>
  <c r="H11" i="2" s="1"/>
  <c r="F12" i="2"/>
  <c r="H18" i="2" s="1"/>
  <c r="L18" i="2" s="1"/>
  <c r="F10" i="2"/>
  <c r="E63" i="2"/>
  <c r="E64" i="2" s="1"/>
  <c r="P25" i="2"/>
  <c r="P194" i="2"/>
  <c r="P204" i="2"/>
  <c r="W204" i="2"/>
  <c r="P170" i="2"/>
  <c r="P51" i="2"/>
  <c r="P201" i="2"/>
  <c r="P200" i="2"/>
  <c r="X243" i="2"/>
  <c r="T243" i="2" s="1"/>
  <c r="P139" i="2"/>
  <c r="P199" i="2"/>
  <c r="P175" i="2"/>
  <c r="P174" i="2"/>
  <c r="P205" i="2"/>
  <c r="P74" i="2"/>
  <c r="P13" i="2"/>
  <c r="T103" i="2"/>
  <c r="P245" i="2"/>
  <c r="P12" i="2"/>
  <c r="P78" i="2"/>
  <c r="P91" i="2"/>
  <c r="P128" i="2"/>
  <c r="P19" i="2"/>
  <c r="H245" i="2" l="1"/>
  <c r="L245" i="2" s="1"/>
  <c r="F63" i="2"/>
  <c r="L11" i="2"/>
  <c r="J211" i="2"/>
  <c r="J210" i="2"/>
  <c r="J209" i="2"/>
  <c r="J205" i="2"/>
  <c r="J139" i="2"/>
  <c r="L139" i="2" s="1"/>
  <c r="J91" i="2"/>
  <c r="L91" i="2" s="1"/>
  <c r="L205" i="2" l="1"/>
  <c r="J254" i="2"/>
  <c r="J243" i="2"/>
  <c r="L243" i="2" s="1"/>
  <c r="J174" i="2" l="1"/>
  <c r="L174" i="2" s="1"/>
  <c r="J128" i="2"/>
  <c r="L128" i="2" s="1"/>
  <c r="J43" i="2"/>
  <c r="L43" i="2" s="1"/>
  <c r="N4" i="2"/>
  <c r="J32" i="2"/>
  <c r="L32" i="2" s="1"/>
  <c r="J31" i="2"/>
  <c r="L31" i="2" s="1"/>
  <c r="P89" i="2"/>
  <c r="T89" i="2"/>
  <c r="T128" i="2"/>
  <c r="P224" i="2"/>
  <c r="T224" i="2"/>
  <c r="R78" i="2"/>
  <c r="J51" i="2"/>
  <c r="J44" i="2"/>
  <c r="L44" i="2" s="1"/>
  <c r="J30" i="2"/>
  <c r="L30" i="2" s="1"/>
  <c r="T68" i="2"/>
  <c r="T70" i="2"/>
  <c r="T72" i="2"/>
  <c r="T66" i="2"/>
  <c r="T87" i="2"/>
  <c r="T85" i="2"/>
  <c r="T233" i="2"/>
  <c r="T202" i="2"/>
  <c r="W205" i="2"/>
  <c r="X205" i="2"/>
  <c r="T190" i="2"/>
  <c r="X192" i="2"/>
  <c r="X193" i="2" s="1"/>
  <c r="T193" i="2" s="1"/>
  <c r="T178" i="2"/>
  <c r="T175" i="2"/>
  <c r="T157" i="2"/>
  <c r="T161" i="2"/>
  <c r="T163" i="2"/>
  <c r="T170" i="2"/>
  <c r="T138" i="2"/>
  <c r="T139" i="2"/>
  <c r="T112" i="2"/>
  <c r="T113" i="2"/>
  <c r="T115" i="2"/>
  <c r="T116" i="2"/>
  <c r="T118" i="2"/>
  <c r="T119" i="2"/>
  <c r="T120" i="2"/>
  <c r="T121" i="2"/>
  <c r="T123" i="2"/>
  <c r="T124" i="2"/>
  <c r="T126" i="2"/>
  <c r="T111" i="2"/>
  <c r="R217" i="2" l="1"/>
  <c r="T192" i="2"/>
  <c r="T195" i="2"/>
  <c r="W195" i="2"/>
  <c r="X107" i="2"/>
  <c r="P109" i="2"/>
  <c r="T109" i="2"/>
  <c r="T78" i="2" l="1"/>
  <c r="X91" i="2"/>
  <c r="T91" i="2" s="1"/>
  <c r="R14" i="2"/>
  <c r="S14" i="2"/>
  <c r="T174" i="2"/>
  <c r="P44" i="2" l="1"/>
  <c r="P16" i="2"/>
  <c r="P36" i="2"/>
  <c r="P47" i="2"/>
  <c r="P60" i="2"/>
  <c r="P56" i="2"/>
  <c r="P182" i="2"/>
  <c r="T182" i="2"/>
  <c r="R139" i="2"/>
  <c r="J75" i="2"/>
  <c r="L75" i="2" s="1"/>
  <c r="J47" i="2"/>
  <c r="L47" i="2" s="1"/>
  <c r="P187" i="2"/>
  <c r="P186" i="2"/>
  <c r="P70" i="2"/>
  <c r="T108" i="2"/>
  <c r="N72" i="2"/>
  <c r="N70" i="2"/>
  <c r="S68" i="2"/>
  <c r="R68" i="2"/>
  <c r="P66" i="2"/>
  <c r="S66" i="2" s="1"/>
  <c r="T187" i="2"/>
  <c r="T186" i="2"/>
  <c r="P39" i="2"/>
  <c r="P43" i="2"/>
  <c r="P37" i="2"/>
  <c r="P38" i="2"/>
  <c r="P41" i="2"/>
  <c r="X60" i="2"/>
  <c r="T60" i="2" s="1"/>
  <c r="P30" i="2"/>
  <c r="P35" i="2"/>
  <c r="P31" i="2"/>
  <c r="P33" i="2"/>
  <c r="T33" i="2"/>
  <c r="T38" i="2"/>
  <c r="T37" i="2"/>
  <c r="T35" i="2"/>
  <c r="T32" i="2"/>
  <c r="T31" i="2"/>
  <c r="X48" i="2"/>
  <c r="T75" i="2"/>
  <c r="T51" i="2"/>
  <c r="T43" i="2"/>
  <c r="T47" i="2"/>
  <c r="T44" i="2"/>
  <c r="T56" i="2"/>
  <c r="T76" i="2"/>
  <c r="T74" i="2"/>
  <c r="T188" i="2"/>
  <c r="T127" i="2"/>
  <c r="J138" i="2"/>
  <c r="J33" i="2"/>
  <c r="L33" i="2" s="1"/>
  <c r="L138" i="2" l="1"/>
  <c r="W138" i="2" s="1"/>
  <c r="R47" i="2"/>
  <c r="S72" i="2"/>
  <c r="R72" i="2"/>
  <c r="S70" i="2"/>
  <c r="R70" i="2"/>
  <c r="R66" i="2"/>
  <c r="P17" i="2"/>
  <c r="P18" i="2"/>
  <c r="W13" i="2"/>
  <c r="S201" i="2"/>
  <c r="R201" i="2"/>
  <c r="J255" i="2" l="1"/>
  <c r="J197" i="2"/>
  <c r="J196" i="2"/>
  <c r="J53" i="2"/>
  <c r="L51" i="2" s="1"/>
  <c r="J17" i="2"/>
  <c r="L17" i="2" s="1"/>
  <c r="J13" i="2"/>
  <c r="L13" i="2" l="1"/>
  <c r="S159" i="2"/>
  <c r="R159" i="2"/>
  <c r="P270" i="2"/>
  <c r="R270" i="2" s="1"/>
  <c r="U192" i="2"/>
  <c r="U189" i="2"/>
  <c r="U176" i="2"/>
  <c r="R25" i="2"/>
  <c r="U194" i="2"/>
  <c r="J195" i="2"/>
  <c r="L195" i="2" s="1"/>
  <c r="L194" i="2"/>
  <c r="L192" i="2"/>
  <c r="L156" i="2"/>
  <c r="L127" i="2"/>
  <c r="J64" i="2"/>
  <c r="L64" i="2" s="1"/>
  <c r="J63" i="2"/>
  <c r="L63" i="2" s="1"/>
  <c r="L55" i="2"/>
  <c r="L54" i="2"/>
  <c r="R16" i="2"/>
  <c r="L161" i="2" l="1"/>
  <c r="H247" i="2"/>
  <c r="F64" i="2" s="1"/>
  <c r="J37" i="2"/>
  <c r="J39" i="2"/>
  <c r="L39" i="2" s="1"/>
  <c r="R64" i="2"/>
  <c r="S64" i="2"/>
  <c r="S78" i="2"/>
  <c r="S91" i="2"/>
  <c r="R91" i="2"/>
  <c r="S174" i="2"/>
  <c r="R174" i="2"/>
  <c r="R13" i="2"/>
  <c r="S13" i="2"/>
  <c r="R187" i="2"/>
  <c r="S187" i="2"/>
  <c r="R36" i="2"/>
  <c r="S36" i="2"/>
  <c r="S108" i="2"/>
  <c r="R108" i="2"/>
  <c r="R204" i="2"/>
  <c r="S204" i="2"/>
  <c r="S12" i="2"/>
  <c r="R12" i="2"/>
  <c r="R41" i="2"/>
  <c r="S41" i="2"/>
  <c r="S60" i="2"/>
  <c r="R60" i="2"/>
  <c r="R76" i="2"/>
  <c r="S76" i="2"/>
  <c r="S127" i="2"/>
  <c r="R127" i="2"/>
  <c r="N127" i="2"/>
  <c r="S186" i="2"/>
  <c r="R186" i="2"/>
  <c r="S195" i="2"/>
  <c r="R195" i="2"/>
  <c r="S233" i="2"/>
  <c r="R233" i="2"/>
  <c r="S25" i="2"/>
  <c r="S16" i="2"/>
  <c r="R31" i="2"/>
  <c r="S31" i="2"/>
  <c r="S43" i="2"/>
  <c r="R43" i="2"/>
  <c r="R156" i="2"/>
  <c r="S156" i="2"/>
  <c r="R199" i="2"/>
  <c r="S199" i="2"/>
  <c r="R243" i="2"/>
  <c r="S243" i="2"/>
  <c r="S17" i="2"/>
  <c r="R17" i="2"/>
  <c r="S32" i="2"/>
  <c r="R32" i="2"/>
  <c r="S44" i="2"/>
  <c r="R44" i="2"/>
  <c r="S157" i="2"/>
  <c r="R157" i="2"/>
  <c r="S200" i="2"/>
  <c r="R200" i="2"/>
  <c r="N91" i="2"/>
  <c r="S188" i="2"/>
  <c r="R188" i="2"/>
  <c r="R18" i="2"/>
  <c r="S18" i="2"/>
  <c r="R33" i="2"/>
  <c r="S33" i="2"/>
  <c r="S47" i="2"/>
  <c r="S170" i="2"/>
  <c r="R170" i="2"/>
  <c r="R190" i="2"/>
  <c r="S190" i="2"/>
  <c r="S202" i="2"/>
  <c r="R202" i="2"/>
  <c r="S42" i="2"/>
  <c r="R42" i="2"/>
  <c r="R19" i="2"/>
  <c r="S19" i="2"/>
  <c r="S10" i="2"/>
  <c r="R10" i="2"/>
  <c r="S21" i="2"/>
  <c r="R21" i="2"/>
  <c r="S38" i="2"/>
  <c r="R38" i="2"/>
  <c r="N111" i="2"/>
  <c r="S111" i="2"/>
  <c r="R111" i="2"/>
  <c r="S178" i="2"/>
  <c r="R178" i="2"/>
  <c r="S193" i="2"/>
  <c r="R193" i="2"/>
  <c r="S205" i="2"/>
  <c r="R205" i="2"/>
  <c r="R15" i="2"/>
  <c r="S15" i="2"/>
  <c r="N128" i="2"/>
  <c r="S128" i="2"/>
  <c r="R128" i="2"/>
  <c r="R11" i="2"/>
  <c r="S11" i="2"/>
  <c r="R22" i="2"/>
  <c r="S22" i="2"/>
  <c r="R56" i="2"/>
  <c r="S56" i="2"/>
  <c r="S75" i="2"/>
  <c r="R75" i="2"/>
  <c r="R119" i="2"/>
  <c r="N119" i="2"/>
  <c r="S119" i="2"/>
  <c r="R182" i="2"/>
  <c r="S182" i="2"/>
  <c r="S194" i="2"/>
  <c r="R194" i="2"/>
  <c r="S217" i="2"/>
  <c r="R20" i="2"/>
  <c r="S20" i="2"/>
  <c r="L37" i="2" l="1"/>
  <c r="J247" i="2"/>
  <c r="L248" i="2" s="1"/>
  <c r="R161" i="2"/>
  <c r="S161" i="2"/>
  <c r="L247" i="2"/>
  <c r="R63" i="2"/>
  <c r="S63" i="2"/>
  <c r="S30" i="2"/>
  <c r="R30" i="2"/>
  <c r="S37" i="2"/>
  <c r="R37" i="2"/>
  <c r="S35" i="2"/>
  <c r="R35" i="2"/>
  <c r="N139" i="2"/>
  <c r="N262" i="2" s="1"/>
  <c r="S139" i="2"/>
  <c r="S39" i="2"/>
  <c r="R39" i="2"/>
  <c r="S51" i="2"/>
  <c r="R51" i="2"/>
  <c r="R74" i="2"/>
  <c r="S74" i="2"/>
  <c r="L249" i="2" l="1"/>
  <c r="J265" i="2"/>
  <c r="J266" i="2" s="1"/>
  <c r="J267" i="2" s="1"/>
  <c r="J268" i="2" l="1"/>
  <c r="J270" i="2" l="1"/>
  <c r="J273" i="2"/>
  <c r="J2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Tate</author>
  </authors>
  <commentList>
    <comment ref="X55" authorId="0" shapeId="0" xr:uid="{59E86538-0A3B-4054-B076-835CF010C370}">
      <text>
        <r>
          <rPr>
            <b/>
            <sz val="9"/>
            <color indexed="81"/>
            <rFont val="Tahoma"/>
            <family val="2"/>
          </rPr>
          <t>Tate:</t>
        </r>
        <r>
          <rPr>
            <sz val="9"/>
            <color indexed="81"/>
            <rFont val="Tahoma"/>
            <family val="2"/>
          </rPr>
          <t xml:space="preserve">
Not Including Labor 
</t>
        </r>
      </text>
    </comment>
  </commentList>
</comments>
</file>

<file path=xl/sharedStrings.xml><?xml version="1.0" encoding="utf-8"?>
<sst xmlns="http://schemas.openxmlformats.org/spreadsheetml/2006/main" count="521" uniqueCount="397">
  <si>
    <t>Living SF.</t>
  </si>
  <si>
    <t>Total Slab SF.</t>
  </si>
  <si>
    <t>Total second floor</t>
  </si>
  <si>
    <t>Total all areas</t>
  </si>
  <si>
    <t>Appx Block</t>
  </si>
  <si>
    <t>Total perimiter</t>
  </si>
  <si>
    <t>Wall heights</t>
  </si>
  <si>
    <t>Roof Pitch</t>
  </si>
  <si>
    <t>Tile sf floors</t>
  </si>
  <si>
    <t>Carpet yards</t>
  </si>
  <si>
    <t>Available</t>
  </si>
  <si>
    <t>Actuals</t>
  </si>
  <si>
    <t>Item</t>
  </si>
  <si>
    <t>Inspections</t>
  </si>
  <si>
    <t>Impact fees PC</t>
  </si>
  <si>
    <t>Permit Fees</t>
  </si>
  <si>
    <t>Plans</t>
  </si>
  <si>
    <t>Prints</t>
  </si>
  <si>
    <t>Engineering Fees</t>
  </si>
  <si>
    <t>ARB fees</t>
  </si>
  <si>
    <t>Surveys</t>
  </si>
  <si>
    <t>Dumpster</t>
  </si>
  <si>
    <t>Erosion Control</t>
  </si>
  <si>
    <t>Portolet</t>
  </si>
  <si>
    <t>Clearing</t>
  </si>
  <si>
    <t>Fill Dirt</t>
  </si>
  <si>
    <t>Slab Grade</t>
  </si>
  <si>
    <t>Soil Boring &amp; Cert.</t>
  </si>
  <si>
    <t>Compaction Test</t>
  </si>
  <si>
    <t>Soil Treatment</t>
  </si>
  <si>
    <t>Slab Material</t>
  </si>
  <si>
    <t>Mailbox</t>
  </si>
  <si>
    <t>Slab Concrete</t>
  </si>
  <si>
    <t>Landscaping</t>
  </si>
  <si>
    <t>Slab Labor</t>
  </si>
  <si>
    <t>Irrigation</t>
  </si>
  <si>
    <t>Slab Pumping</t>
  </si>
  <si>
    <t>Sub-grade</t>
  </si>
  <si>
    <t>Block Material</t>
  </si>
  <si>
    <t>Block Headers</t>
  </si>
  <si>
    <t>Roofing</t>
  </si>
  <si>
    <t>Block Labor</t>
  </si>
  <si>
    <t>Stemwall</t>
  </si>
  <si>
    <t>Windows</t>
  </si>
  <si>
    <t>Lintel Concrete</t>
  </si>
  <si>
    <t>Exterior Doors</t>
  </si>
  <si>
    <t>Pump Lintel</t>
  </si>
  <si>
    <t>Roof Trusses</t>
  </si>
  <si>
    <t>Framing Material</t>
  </si>
  <si>
    <t>Garage Door</t>
  </si>
  <si>
    <t>Structural hardware</t>
  </si>
  <si>
    <t>Framing Labor</t>
  </si>
  <si>
    <t>framing overages</t>
  </si>
  <si>
    <t>Framing trays</t>
  </si>
  <si>
    <t>Ss and Aluminum</t>
  </si>
  <si>
    <t>Rear deck</t>
  </si>
  <si>
    <t>Fixed Glass</t>
  </si>
  <si>
    <t>SLIDERS</t>
  </si>
  <si>
    <t>SGD Main</t>
  </si>
  <si>
    <t>Install windows</t>
  </si>
  <si>
    <t>Front door</t>
  </si>
  <si>
    <t>Install exterior doors</t>
  </si>
  <si>
    <t>Gas</t>
  </si>
  <si>
    <t>Ext Fireplace</t>
  </si>
  <si>
    <t>Insulation</t>
  </si>
  <si>
    <t>Drywall material</t>
  </si>
  <si>
    <t>Drywall Labor</t>
  </si>
  <si>
    <t>Interior Doors/Trim material</t>
  </si>
  <si>
    <t>Interior trim</t>
  </si>
  <si>
    <t>CROWN MATL</t>
  </si>
  <si>
    <t>Attic stairs</t>
  </si>
  <si>
    <t>Barn door items</t>
  </si>
  <si>
    <t>extras trim</t>
  </si>
  <si>
    <t>Door Hardware</t>
  </si>
  <si>
    <t>Trim Labor</t>
  </si>
  <si>
    <t>Pocket door</t>
  </si>
  <si>
    <t>Stair labor</t>
  </si>
  <si>
    <t>Crown Labor</t>
  </si>
  <si>
    <t>Extras casing bipass pocket doors</t>
  </si>
  <si>
    <t>Sills labor</t>
  </si>
  <si>
    <t>Int. Columns</t>
  </si>
  <si>
    <t>Int Columns install</t>
  </si>
  <si>
    <t>Extra trim</t>
  </si>
  <si>
    <t>Ship Lap</t>
  </si>
  <si>
    <t>Stucco</t>
  </si>
  <si>
    <t>Paint Interior/ exterior</t>
  </si>
  <si>
    <t>Above</t>
  </si>
  <si>
    <t>Paint crown Mold</t>
  </si>
  <si>
    <t>Exterior door paint</t>
  </si>
  <si>
    <t>Prime ext</t>
  </si>
  <si>
    <t>Paint extras windows</t>
  </si>
  <si>
    <t>Paint beams</t>
  </si>
  <si>
    <t>Stain shelves and mantle</t>
  </si>
  <si>
    <t>GARAGE FLOOR Epoxy labor and material</t>
  </si>
  <si>
    <t>Tile Floors matl</t>
  </si>
  <si>
    <t>Tile floor labor</t>
  </si>
  <si>
    <t xml:space="preserve">Master bathroom </t>
  </si>
  <si>
    <t>Sills</t>
  </si>
  <si>
    <t>Seat</t>
  </si>
  <si>
    <t>Kitchen Backsplash</t>
  </si>
  <si>
    <t>Cermaic fixt</t>
  </si>
  <si>
    <t>Extras</t>
  </si>
  <si>
    <t>Special tub</t>
  </si>
  <si>
    <t>Jets for tub</t>
  </si>
  <si>
    <t>Demand water Heater</t>
  </si>
  <si>
    <t>HVAC</t>
  </si>
  <si>
    <t>Electric</t>
  </si>
  <si>
    <t>Light Fixtures</t>
  </si>
  <si>
    <t>Motor at entry</t>
  </si>
  <si>
    <t>Security System</t>
  </si>
  <si>
    <t>Gutters</t>
  </si>
  <si>
    <t>Bahama Shutters</t>
  </si>
  <si>
    <t>Screened Areas</t>
  </si>
  <si>
    <t>Appliances</t>
  </si>
  <si>
    <t>Summr Kitchen Applances</t>
  </si>
  <si>
    <t>Final Grade</t>
  </si>
  <si>
    <t>Driveway pavers</t>
  </si>
  <si>
    <t xml:space="preserve">Driveway cut </t>
  </si>
  <si>
    <t>Summer Kitchen cabinet</t>
  </si>
  <si>
    <t>Cabinets Kitchen</t>
  </si>
  <si>
    <t>Cabinets master</t>
  </si>
  <si>
    <t>Cabinets bath 3</t>
  </si>
  <si>
    <t>Entertainment center</t>
  </si>
  <si>
    <t>Wetbar cabinets</t>
  </si>
  <si>
    <t>Countertops Kitchen</t>
  </si>
  <si>
    <t>Granite laundry</t>
  </si>
  <si>
    <t>Granite Master</t>
  </si>
  <si>
    <t>Granite bath 2</t>
  </si>
  <si>
    <t>Granite bath 3</t>
  </si>
  <si>
    <t>Granite Bath 4</t>
  </si>
  <si>
    <t>Summer Kitchen granite</t>
  </si>
  <si>
    <t>Cleaning</t>
  </si>
  <si>
    <t>Contruction Cleanup</t>
  </si>
  <si>
    <t>Builders Risk Ins.</t>
  </si>
  <si>
    <t>Warranty</t>
  </si>
  <si>
    <t>Construction Water</t>
  </si>
  <si>
    <t>Water Deposit</t>
  </si>
  <si>
    <t>Construction Utilities</t>
  </si>
  <si>
    <t>Temp Labor</t>
  </si>
  <si>
    <t>Totals</t>
  </si>
  <si>
    <t>Sales price</t>
  </si>
  <si>
    <t>Platinum Series</t>
  </si>
  <si>
    <t>Commissions</t>
  </si>
  <si>
    <t>Profit</t>
  </si>
  <si>
    <t>Living sf</t>
  </si>
  <si>
    <t>Total sf</t>
  </si>
  <si>
    <t>Reliant</t>
  </si>
  <si>
    <t>84 Lumber</t>
  </si>
  <si>
    <t>Verns</t>
  </si>
  <si>
    <t>Wood Treads &amp; Risers</t>
  </si>
  <si>
    <t>Advanced</t>
  </si>
  <si>
    <t>Exterior Railing</t>
  </si>
  <si>
    <t>Interior Railing</t>
  </si>
  <si>
    <t>DJ Trusses</t>
  </si>
  <si>
    <t>Energy Calcs</t>
  </si>
  <si>
    <t>Garage Floor</t>
  </si>
  <si>
    <t>Second Deck</t>
  </si>
  <si>
    <t>Ext Railing</t>
  </si>
  <si>
    <t>Int. Railing</t>
  </si>
  <si>
    <t>Water/Sewer</t>
  </si>
  <si>
    <t>Pocket Frames</t>
  </si>
  <si>
    <t>2nd Floor Duro and Install</t>
  </si>
  <si>
    <t>Tile Walls</t>
  </si>
  <si>
    <t>Master Tub</t>
  </si>
  <si>
    <t xml:space="preserve">Plumbing Labor </t>
  </si>
  <si>
    <t>Fixutres</t>
  </si>
  <si>
    <t>Driveway &amp; Entry sf</t>
  </si>
  <si>
    <t>Stock 2nd floor</t>
  </si>
  <si>
    <t>All Sinks</t>
  </si>
  <si>
    <t>Cost</t>
  </si>
  <si>
    <t>Stain Stairs</t>
  </si>
  <si>
    <t>Signage</t>
  </si>
  <si>
    <t>Evolution</t>
  </si>
  <si>
    <t>Interior Shutters</t>
  </si>
  <si>
    <t>T&amp;G Install</t>
  </si>
  <si>
    <t>Install &amp; Stain Mantle</t>
  </si>
  <si>
    <t>SK Mini Fridge</t>
  </si>
  <si>
    <t>Parade Platinum Price</t>
  </si>
  <si>
    <t>AVS Rendering</t>
  </si>
  <si>
    <t>ARB Depost</t>
  </si>
  <si>
    <t>To upgrade</t>
  </si>
  <si>
    <t>upgrade</t>
  </si>
  <si>
    <t>upgrade?</t>
  </si>
  <si>
    <t>on sheet</t>
  </si>
  <si>
    <t>see above for opt sheet price</t>
  </si>
  <si>
    <t>on opt sheet</t>
  </si>
  <si>
    <t>on price sheet</t>
  </si>
  <si>
    <t xml:space="preserve">Billed </t>
  </si>
  <si>
    <t>Add impact fees</t>
  </si>
  <si>
    <t>Add water and sewer</t>
  </si>
  <si>
    <t>Clearing and fill</t>
  </si>
  <si>
    <t>Reprice with Custom trim co</t>
  </si>
  <si>
    <t>Interior fireplace</t>
  </si>
  <si>
    <t>Option</t>
  </si>
  <si>
    <t>Tanked or Tankless heater</t>
  </si>
  <si>
    <t>option</t>
  </si>
  <si>
    <t>Coping upstairs</t>
  </si>
  <si>
    <t>Apron Concrete</t>
  </si>
  <si>
    <t>Apron labor</t>
  </si>
  <si>
    <t>275 for added pavers</t>
  </si>
  <si>
    <t>Summer kitchen stone</t>
  </si>
  <si>
    <t>On pricign upgraded cabs stuff</t>
  </si>
  <si>
    <t>Bath 3 glass on KW</t>
  </si>
  <si>
    <t>Platinum series pricing</t>
  </si>
  <si>
    <t>Veranda Bay</t>
  </si>
  <si>
    <t>Over Under</t>
  </si>
  <si>
    <t>Discount</t>
  </si>
  <si>
    <t>Hurricane</t>
  </si>
  <si>
    <t>Moore</t>
  </si>
  <si>
    <t>White</t>
  </si>
  <si>
    <t>Grey</t>
  </si>
  <si>
    <t>Benetio $5.30 sf</t>
  </si>
  <si>
    <t>Labra $5.85 sf</t>
  </si>
  <si>
    <t>Gomez $6.50 sf</t>
  </si>
  <si>
    <t>D&amp;D 16' x 8'</t>
  </si>
  <si>
    <t>Cabinets Bath 2</t>
  </si>
  <si>
    <t>Volusia</t>
  </si>
  <si>
    <t>Platinum</t>
  </si>
  <si>
    <t>Colorworks</t>
  </si>
  <si>
    <t>TDH</t>
  </si>
  <si>
    <t>CDC</t>
  </si>
  <si>
    <t>Manning</t>
  </si>
  <si>
    <t>Tibbetts</t>
  </si>
  <si>
    <t>Total Comfort</t>
  </si>
  <si>
    <t>L&amp;W</t>
  </si>
  <si>
    <t>84 $5.75 sf</t>
  </si>
  <si>
    <t>Leading Edge</t>
  </si>
  <si>
    <t>Titan</t>
  </si>
  <si>
    <t>MCP</t>
  </si>
  <si>
    <t>Extreme</t>
  </si>
  <si>
    <t>Black</t>
  </si>
  <si>
    <t>black</t>
  </si>
  <si>
    <t>MacDermant</t>
  </si>
  <si>
    <t>Int Fireplace Mantle GR</t>
  </si>
  <si>
    <t>Int Fireplace Master</t>
  </si>
  <si>
    <t>TS Proweld</t>
  </si>
  <si>
    <t>Ext Rear Stone Material</t>
  </si>
  <si>
    <t>Exterior Rear stone labor</t>
  </si>
  <si>
    <t>J&amp;N Stone</t>
  </si>
  <si>
    <t xml:space="preserve">Adds for model! </t>
  </si>
  <si>
    <t>Daisey</t>
  </si>
  <si>
    <t>GPS Base</t>
  </si>
  <si>
    <t>GPS Adds</t>
  </si>
  <si>
    <t>Ferguson.com</t>
  </si>
  <si>
    <t>Modern Me</t>
  </si>
  <si>
    <t>Base</t>
  </si>
  <si>
    <t>Adds</t>
  </si>
  <si>
    <t>Matterport</t>
  </si>
  <si>
    <t>Custom design</t>
  </si>
  <si>
    <t>Pantry Cabinets</t>
  </si>
  <si>
    <t>Stop &amp; Drop Cabs</t>
  </si>
  <si>
    <t>Arch Depot</t>
  </si>
  <si>
    <t>Royal Manf</t>
  </si>
  <si>
    <t>Martin Epoxy</t>
  </si>
  <si>
    <t>ITS</t>
  </si>
  <si>
    <t>Ext Front Stone material</t>
  </si>
  <si>
    <t>Ext Front Stone labor</t>
  </si>
  <si>
    <t>Master Tub Stone Labor</t>
  </si>
  <si>
    <t>Master Tub Stone Material</t>
  </si>
  <si>
    <t>Nook entry stone material</t>
  </si>
  <si>
    <t>Nook entry stone labor</t>
  </si>
  <si>
    <t>Front</t>
  </si>
  <si>
    <t>rear</t>
  </si>
  <si>
    <t>Fireplaces</t>
  </si>
  <si>
    <t>Wetbar</t>
  </si>
  <si>
    <t>Nook</t>
  </si>
  <si>
    <t>Johns ABC</t>
  </si>
  <si>
    <t>Skyline</t>
  </si>
  <si>
    <t>Coleman</t>
  </si>
  <si>
    <t>J&amp;H Mirror</t>
  </si>
  <si>
    <t>Barnwood</t>
  </si>
  <si>
    <t>Touchstone</t>
  </si>
  <si>
    <t>10&amp;</t>
  </si>
  <si>
    <t>Entertainment shelving</t>
  </si>
  <si>
    <t>Fergusonhome.com</t>
  </si>
  <si>
    <t xml:space="preserve"> </t>
  </si>
  <si>
    <t>Wetbar Shelving</t>
  </si>
  <si>
    <t>Level 5</t>
  </si>
  <si>
    <t>Shower floors</t>
  </si>
  <si>
    <t>Electric shelly extras but im includeing</t>
  </si>
  <si>
    <t>No longer needed</t>
  </si>
  <si>
    <t>Shelving Master closets</t>
  </si>
  <si>
    <t>Master shower arced double doors</t>
  </si>
  <si>
    <t>Mirrors bath 2 and 3</t>
  </si>
  <si>
    <t>Mirror master bathroom</t>
  </si>
  <si>
    <t>Shelving Main home not master</t>
  </si>
  <si>
    <t>Bath 2 bypass 8 foot shower enclosure</t>
  </si>
  <si>
    <t>Cabinets Laundry base no uppers</t>
  </si>
  <si>
    <t>NONE</t>
  </si>
  <si>
    <t>Cabinets Kitchen Island</t>
  </si>
  <si>
    <t>Per 5/12/2026 sheet</t>
  </si>
  <si>
    <t>Included above</t>
  </si>
  <si>
    <t>OPTION</t>
  </si>
  <si>
    <t>Tops Stop &amp; Drop Cabs</t>
  </si>
  <si>
    <t xml:space="preserve">Legacy Glass </t>
  </si>
  <si>
    <t>Pool Allowance</t>
  </si>
  <si>
    <t>Collins</t>
  </si>
  <si>
    <t>Custom Design</t>
  </si>
  <si>
    <t xml:space="preserve">All Custom </t>
  </si>
  <si>
    <t>Tom Stickles</t>
  </si>
  <si>
    <t>WPG</t>
  </si>
  <si>
    <t xml:space="preserve">Stone Rear </t>
  </si>
  <si>
    <t>Contract Adds</t>
  </si>
  <si>
    <t>Pricing Page</t>
  </si>
  <si>
    <t>Description</t>
  </si>
  <si>
    <t>Impact Fees</t>
  </si>
  <si>
    <t xml:space="preserve">80 Foot Lot </t>
  </si>
  <si>
    <t>Granite Hood</t>
  </si>
  <si>
    <t>Kitchen Granite BS</t>
  </si>
  <si>
    <t>Waterfall Island</t>
  </si>
  <si>
    <t>Pricing Check</t>
  </si>
  <si>
    <t>Base Contract</t>
  </si>
  <si>
    <t>Total Contract</t>
  </si>
  <si>
    <t>GR Fireplace</t>
  </si>
  <si>
    <t>Master Fireplace</t>
  </si>
  <si>
    <t>Entertainment Center</t>
  </si>
  <si>
    <t>Master Built ins</t>
  </si>
  <si>
    <t>Wetbar shelving</t>
  </si>
  <si>
    <t>Wetbar stone</t>
  </si>
  <si>
    <t>Master Shelves</t>
  </si>
  <si>
    <t xml:space="preserve">Pantry </t>
  </si>
  <si>
    <t>Dog Crate</t>
  </si>
  <si>
    <t>Cabs - uppers</t>
  </si>
  <si>
    <t>Electrical adds</t>
  </si>
  <si>
    <t>Task lighting</t>
  </si>
  <si>
    <t>Cedar stained corbels</t>
  </si>
  <si>
    <t>Gas Piping</t>
  </si>
  <si>
    <t>Gas - pool &amp; Firepit</t>
  </si>
  <si>
    <t>Tankless upgrade</t>
  </si>
  <si>
    <t>Hardie Soffit/fascia</t>
  </si>
  <si>
    <t>Low Voltage Wifi</t>
  </si>
  <si>
    <t>Security Cameras</t>
  </si>
  <si>
    <t>Living Room sound</t>
  </si>
  <si>
    <t>Porch sound</t>
  </si>
  <si>
    <t>Landscape lights</t>
  </si>
  <si>
    <t>Mirror credit</t>
  </si>
  <si>
    <t>Pot filler</t>
  </si>
  <si>
    <t>Master tub stone</t>
  </si>
  <si>
    <t>Wetbar header stone</t>
  </si>
  <si>
    <t>Nook stone</t>
  </si>
  <si>
    <t>Rear Column Stone</t>
  </si>
  <si>
    <t>Summer Kitchen</t>
  </si>
  <si>
    <t>Floor Tile upgrade</t>
  </si>
  <si>
    <t>Master Bath wall tile</t>
  </si>
  <si>
    <t>Bath #2 &amp; #3 wall tile</t>
  </si>
  <si>
    <t>3 tile niches</t>
  </si>
  <si>
    <t>Bath #3 shower pan</t>
  </si>
  <si>
    <t>(5) living room beams</t>
  </si>
  <si>
    <t>(3) kitchen beams</t>
  </si>
  <si>
    <t>(3) nook beams</t>
  </si>
  <si>
    <t>(4) foyer beams</t>
  </si>
  <si>
    <t>HVAC Bosch upgrade</t>
  </si>
  <si>
    <t>HVAC filter &amp; UV add</t>
  </si>
  <si>
    <t>Appliance Add</t>
  </si>
  <si>
    <t>Paver add</t>
  </si>
  <si>
    <t>Install GR Mantle</t>
  </si>
  <si>
    <t>Install Master Mantle</t>
  </si>
  <si>
    <t>Int 72" Fireplace GR</t>
  </si>
  <si>
    <t>Install GR FP</t>
  </si>
  <si>
    <t>Int Mantle Master</t>
  </si>
  <si>
    <t>Install Master FP</t>
  </si>
  <si>
    <t>Int GR FP Stone labor</t>
  </si>
  <si>
    <t>Int GR FP Stone material</t>
  </si>
  <si>
    <t>Master FP Stone Material</t>
  </si>
  <si>
    <t>Master FP Stone Labor</t>
  </si>
  <si>
    <t xml:space="preserve">Master Bath shelving </t>
  </si>
  <si>
    <t>Master Bath Shelving install</t>
  </si>
  <si>
    <t>Entertainment shelving install</t>
  </si>
  <si>
    <t>Wetbar shelving install</t>
  </si>
  <si>
    <t>Wet bar faucet</t>
  </si>
  <si>
    <t>Summer Kitchen Faucet</t>
  </si>
  <si>
    <t>Tops Wetbar</t>
  </si>
  <si>
    <t xml:space="preserve">Tops Entertainment </t>
  </si>
  <si>
    <t>Pantry Faucet</t>
  </si>
  <si>
    <t>Tops Pantry &amp; Sink</t>
  </si>
  <si>
    <t>Laundry Dog Crate top</t>
  </si>
  <si>
    <t>Laundry Dog Crate Gate</t>
  </si>
  <si>
    <t>Laundry Dog Crate Cabs</t>
  </si>
  <si>
    <t>Kitchen Uppers</t>
  </si>
  <si>
    <t>Task Lighting Add</t>
  </si>
  <si>
    <t>Cedar Corbels</t>
  </si>
  <si>
    <t>Install Cedar Corbels</t>
  </si>
  <si>
    <t>Stain Cedar Corbels</t>
  </si>
  <si>
    <t>Gas to pool/Firepit</t>
  </si>
  <si>
    <t>Upgrade to Tankless</t>
  </si>
  <si>
    <t>Upgrade to Hardi Soffit</t>
  </si>
  <si>
    <t xml:space="preserve">Hardie Soffit Install </t>
  </si>
  <si>
    <t>Paint Hardi Soffit</t>
  </si>
  <si>
    <t>Framing Allow.</t>
  </si>
  <si>
    <t>Pot Filler</t>
  </si>
  <si>
    <t>Wetbar BS stone labor</t>
  </si>
  <si>
    <t>Wetbar BS Stone material</t>
  </si>
  <si>
    <t>Wetbar header stone labor</t>
  </si>
  <si>
    <t>Floor Tile Upgrade</t>
  </si>
  <si>
    <t>Drywall master shelving credit</t>
  </si>
  <si>
    <t>Paver Add</t>
  </si>
  <si>
    <t>Master Built 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</si>
</sst>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4"/>
      <color rgb="FFFF0000"/>
      <name val="Arial"/>
      <family val="2"/>
    </font>
    <font>
      <b/>
      <sz val="10"/>
      <name val="Arial"/>
      <family val="2"/>
    </font>
    <font>
      <sz val="14"/>
      <color theme="1"/>
      <name val="Calibri"/>
      <family val="2"/>
      <scheme val="minor"/>
    </font>
    <font>
      <u/>
      <sz val="14"/>
      <name val="Arial"/>
      <family val="2"/>
    </font>
    <font>
      <sz val="14"/>
      <color rgb="FF00B050"/>
      <name val="Arial"/>
      <family val="2"/>
    </font>
    <font>
      <sz val="8"/>
      <name val="Calibri"/>
      <family val="2"/>
      <scheme val="minor"/>
    </font>
    <font>
      <b/>
      <u val="singleAccounting"/>
      <sz val="14"/>
      <name val="Arial"/>
      <family val="2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BDD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F6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8D2B6"/>
        <bgColor indexed="64"/>
      </patternFill>
    </fill>
    <fill>
      <patternFill patternType="solid">
        <fgColor rgb="FFC7A66B"/>
        <bgColor indexed="64"/>
      </patternFill>
    </fill>
    <fill>
      <patternFill patternType="solid">
        <fgColor rgb="FF50A283"/>
        <bgColor indexed="64"/>
      </patternFill>
    </fill>
    <fill>
      <patternFill patternType="solid">
        <fgColor rgb="FFEF256D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3CA5BE"/>
        <bgColor indexed="64"/>
      </patternFill>
    </fill>
    <fill>
      <patternFill patternType="solid">
        <fgColor rgb="FFE79931"/>
        <bgColor indexed="64"/>
      </patternFill>
    </fill>
    <fill>
      <patternFill patternType="solid">
        <fgColor rgb="FF37DD8E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A58E7B"/>
        <bgColor indexed="64"/>
      </patternFill>
    </fill>
    <fill>
      <patternFill patternType="solid">
        <fgColor rgb="FF246C7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D99CE"/>
        <bgColor indexed="64"/>
      </patternFill>
    </fill>
    <fill>
      <patternFill patternType="solid">
        <fgColor rgb="FFAEA3F3"/>
        <bgColor indexed="64"/>
      </patternFill>
    </fill>
    <fill>
      <patternFill patternType="solid">
        <fgColor rgb="FFF8D89E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7C9AF0"/>
        <bgColor indexed="64"/>
      </patternFill>
    </fill>
    <fill>
      <patternFill patternType="solid">
        <fgColor rgb="FFC9F0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81976D"/>
        <bgColor indexed="64"/>
      </patternFill>
    </fill>
    <fill>
      <patternFill patternType="solid">
        <fgColor rgb="FF7C794C"/>
        <bgColor indexed="64"/>
      </patternFill>
    </fill>
    <fill>
      <patternFill patternType="solid">
        <fgColor rgb="FFB6BB9F"/>
        <bgColor indexed="64"/>
      </patternFill>
    </fill>
    <fill>
      <patternFill patternType="solid">
        <fgColor rgb="FF9DF5E4"/>
        <bgColor indexed="64"/>
      </patternFill>
    </fill>
    <fill>
      <patternFill patternType="solid">
        <fgColor rgb="FFD0805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EAEAE8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262">
    <xf numFmtId="0" fontId="0" fillId="0" borderId="0" xfId="0"/>
    <xf numFmtId="0" fontId="2" fillId="0" borderId="0" xfId="0" applyFont="1"/>
    <xf numFmtId="0" fontId="3" fillId="0" borderId="0" xfId="0" applyFont="1"/>
    <xf numFmtId="44" fontId="3" fillId="0" borderId="0" xfId="1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44" fontId="4" fillId="0" borderId="0" xfId="1" applyFont="1" applyFill="1"/>
    <xf numFmtId="44" fontId="5" fillId="0" borderId="0" xfId="1" applyFont="1" applyFill="1"/>
    <xf numFmtId="0" fontId="5" fillId="0" borderId="0" xfId="0" applyFont="1"/>
    <xf numFmtId="164" fontId="3" fillId="0" borderId="0" xfId="0" applyNumberFormat="1" applyFont="1"/>
    <xf numFmtId="44" fontId="3" fillId="0" borderId="0" xfId="1" applyFont="1" applyFill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164" fontId="3" fillId="0" borderId="7" xfId="0" applyNumberFormat="1" applyFont="1" applyBorder="1"/>
    <xf numFmtId="164" fontId="3" fillId="0" borderId="8" xfId="0" applyNumberFormat="1" applyFont="1" applyBorder="1"/>
    <xf numFmtId="44" fontId="6" fillId="0" borderId="0" xfId="1" applyFont="1" applyFill="1"/>
    <xf numFmtId="8" fontId="3" fillId="0" borderId="0" xfId="1" applyNumberFormat="1" applyFont="1" applyFill="1"/>
    <xf numFmtId="44" fontId="7" fillId="0" borderId="0" xfId="1" applyFont="1" applyFill="1"/>
    <xf numFmtId="164" fontId="2" fillId="0" borderId="0" xfId="0" applyNumberFormat="1" applyFont="1"/>
    <xf numFmtId="0" fontId="8" fillId="0" borderId="0" xfId="0" applyFont="1"/>
    <xf numFmtId="0" fontId="3" fillId="4" borderId="0" xfId="0" applyFont="1" applyFill="1"/>
    <xf numFmtId="0" fontId="9" fillId="0" borderId="0" xfId="0" applyFont="1"/>
    <xf numFmtId="9" fontId="3" fillId="4" borderId="0" xfId="3" applyFont="1" applyFill="1"/>
    <xf numFmtId="164" fontId="0" fillId="0" borderId="0" xfId="0" applyNumberFormat="1"/>
    <xf numFmtId="164" fontId="4" fillId="0" borderId="0" xfId="0" applyNumberFormat="1" applyFont="1"/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44" fontId="4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164" fontId="3" fillId="0" borderId="0" xfId="1" applyNumberFormat="1" applyFont="1" applyFill="1"/>
    <xf numFmtId="164" fontId="6" fillId="0" borderId="0" xfId="1" applyNumberFormat="1" applyFont="1" applyFill="1"/>
    <xf numFmtId="164" fontId="10" fillId="0" borderId="0" xfId="0" applyNumberFormat="1" applyFont="1"/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/>
    <xf numFmtId="164" fontId="3" fillId="3" borderId="11" xfId="0" applyNumberFormat="1" applyFont="1" applyFill="1" applyBorder="1"/>
    <xf numFmtId="164" fontId="3" fillId="0" borderId="11" xfId="0" applyNumberFormat="1" applyFont="1" applyBorder="1"/>
    <xf numFmtId="164" fontId="3" fillId="5" borderId="11" xfId="0" applyNumberFormat="1" applyFont="1" applyFill="1" applyBorder="1"/>
    <xf numFmtId="164" fontId="2" fillId="0" borderId="11" xfId="0" applyNumberFormat="1" applyFont="1" applyBorder="1"/>
    <xf numFmtId="164" fontId="3" fillId="0" borderId="0" xfId="1" applyNumberFormat="1" applyFont="1" applyFill="1" applyBorder="1"/>
    <xf numFmtId="164" fontId="7" fillId="0" borderId="0" xfId="1" applyNumberFormat="1" applyFont="1" applyFill="1" applyBorder="1"/>
    <xf numFmtId="44" fontId="6" fillId="0" borderId="0" xfId="1" applyFont="1" applyFill="1" applyBorder="1"/>
    <xf numFmtId="44" fontId="4" fillId="0" borderId="0" xfId="1" applyFont="1" applyFill="1" applyBorder="1" applyAlignment="1">
      <alignment horizontal="center"/>
    </xf>
    <xf numFmtId="44" fontId="3" fillId="0" borderId="0" xfId="1" applyFont="1" applyFill="1" applyBorder="1"/>
    <xf numFmtId="164" fontId="3" fillId="0" borderId="9" xfId="1" applyNumberFormat="1" applyFont="1" applyFill="1" applyBorder="1"/>
    <xf numFmtId="164" fontId="3" fillId="0" borderId="5" xfId="1" applyNumberFormat="1" applyFont="1" applyFill="1" applyBorder="1"/>
    <xf numFmtId="0" fontId="8" fillId="0" borderId="4" xfId="0" applyFont="1" applyBorder="1"/>
    <xf numFmtId="164" fontId="3" fillId="0" borderId="6" xfId="1" applyNumberFormat="1" applyFont="1" applyFill="1" applyBorder="1"/>
    <xf numFmtId="164" fontId="3" fillId="2" borderId="0" xfId="1" applyNumberFormat="1" applyFont="1" applyFill="1" applyBorder="1"/>
    <xf numFmtId="164" fontId="3" fillId="4" borderId="0" xfId="1" applyNumberFormat="1" applyFont="1" applyFill="1"/>
    <xf numFmtId="44" fontId="11" fillId="0" borderId="0" xfId="1" applyFont="1" applyFill="1" applyAlignment="1">
      <alignment horizontal="center"/>
    </xf>
    <xf numFmtId="44" fontId="7" fillId="0" borderId="0" xfId="1" applyFont="1" applyFill="1" applyAlignment="1">
      <alignment horizontal="center"/>
    </xf>
    <xf numFmtId="164" fontId="2" fillId="0" borderId="12" xfId="0" applyNumberFormat="1" applyFont="1" applyBorder="1"/>
    <xf numFmtId="44" fontId="2" fillId="0" borderId="0" xfId="1" applyFont="1" applyFill="1"/>
    <xf numFmtId="44" fontId="13" fillId="0" borderId="0" xfId="1" applyFont="1" applyFill="1" applyAlignment="1">
      <alignment horizontal="center"/>
    </xf>
    <xf numFmtId="0" fontId="6" fillId="0" borderId="0" xfId="0" applyFont="1"/>
    <xf numFmtId="164" fontId="3" fillId="6" borderId="0" xfId="1" applyNumberFormat="1" applyFont="1" applyFill="1"/>
    <xf numFmtId="9" fontId="3" fillId="0" borderId="0" xfId="3" applyFont="1" applyFill="1"/>
    <xf numFmtId="9" fontId="9" fillId="0" borderId="0" xfId="3" applyFont="1" applyFill="1"/>
    <xf numFmtId="164" fontId="3" fillId="6" borderId="0" xfId="0" applyNumberFormat="1" applyFont="1" applyFill="1"/>
    <xf numFmtId="0" fontId="7" fillId="0" borderId="0" xfId="0" applyFont="1"/>
    <xf numFmtId="9" fontId="3" fillId="0" borderId="0" xfId="3" applyFont="1"/>
    <xf numFmtId="164" fontId="3" fillId="7" borderId="3" xfId="0" applyNumberFormat="1" applyFont="1" applyFill="1" applyBorder="1"/>
    <xf numFmtId="0" fontId="14" fillId="0" borderId="0" xfId="0" applyFont="1" applyAlignment="1">
      <alignment horizontal="center"/>
    </xf>
    <xf numFmtId="44" fontId="4" fillId="0" borderId="10" xfId="1" applyFont="1" applyFill="1" applyBorder="1" applyAlignment="1">
      <alignment horizontal="center"/>
    </xf>
    <xf numFmtId="44" fontId="4" fillId="0" borderId="11" xfId="1" applyFont="1" applyFill="1" applyBorder="1"/>
    <xf numFmtId="44" fontId="3" fillId="0" borderId="11" xfId="1" applyFont="1" applyFill="1" applyBorder="1"/>
    <xf numFmtId="44" fontId="7" fillId="0" borderId="11" xfId="1" applyFont="1" applyFill="1" applyBorder="1" applyAlignment="1">
      <alignment horizontal="center"/>
    </xf>
    <xf numFmtId="44" fontId="11" fillId="0" borderId="11" xfId="1" applyFont="1" applyFill="1" applyBorder="1" applyAlignment="1">
      <alignment horizontal="center"/>
    </xf>
    <xf numFmtId="164" fontId="3" fillId="0" borderId="12" xfId="0" applyNumberFormat="1" applyFont="1" applyBorder="1"/>
    <xf numFmtId="0" fontId="9" fillId="4" borderId="0" xfId="0" applyFont="1" applyFill="1"/>
    <xf numFmtId="164" fontId="9" fillId="0" borderId="0" xfId="0" applyNumberFormat="1" applyFont="1"/>
    <xf numFmtId="164" fontId="3" fillId="4" borderId="0" xfId="0" applyNumberFormat="1" applyFont="1" applyFill="1"/>
    <xf numFmtId="164" fontId="3" fillId="7" borderId="0" xfId="0" applyNumberFormat="1" applyFont="1" applyFill="1"/>
    <xf numFmtId="0" fontId="3" fillId="6" borderId="0" xfId="0" applyFont="1" applyFill="1"/>
    <xf numFmtId="9" fontId="3" fillId="6" borderId="0" xfId="3" applyFont="1" applyFill="1"/>
    <xf numFmtId="9" fontId="3" fillId="0" borderId="11" xfId="3" applyFont="1" applyBorder="1" applyAlignment="1">
      <alignment horizontal="center"/>
    </xf>
    <xf numFmtId="164" fontId="9" fillId="4" borderId="0" xfId="0" applyNumberFormat="1" applyFont="1" applyFill="1"/>
    <xf numFmtId="164" fontId="3" fillId="8" borderId="0" xfId="1" applyNumberFormat="1" applyFont="1" applyFill="1"/>
    <xf numFmtId="164" fontId="3" fillId="8" borderId="0" xfId="0" applyNumberFormat="1" applyFont="1" applyFill="1"/>
    <xf numFmtId="0" fontId="9" fillId="8" borderId="0" xfId="0" applyFont="1" applyFill="1"/>
    <xf numFmtId="0" fontId="3" fillId="8" borderId="0" xfId="0" applyFont="1" applyFill="1"/>
    <xf numFmtId="9" fontId="3" fillId="8" borderId="0" xfId="3" applyFont="1" applyFill="1"/>
    <xf numFmtId="164" fontId="9" fillId="8" borderId="0" xfId="0" applyNumberFormat="1" applyFont="1" applyFill="1"/>
    <xf numFmtId="0" fontId="9" fillId="6" borderId="0" xfId="0" applyFont="1" applyFill="1"/>
    <xf numFmtId="164" fontId="3" fillId="9" borderId="3" xfId="0" applyNumberFormat="1" applyFont="1" applyFill="1" applyBorder="1"/>
    <xf numFmtId="164" fontId="3" fillId="9" borderId="0" xfId="1" applyNumberFormat="1" applyFont="1" applyFill="1" applyBorder="1"/>
    <xf numFmtId="164" fontId="3" fillId="9" borderId="8" xfId="0" applyNumberFormat="1" applyFont="1" applyFill="1" applyBorder="1"/>
    <xf numFmtId="9" fontId="3" fillId="0" borderId="11" xfId="1" applyNumberFormat="1" applyFont="1" applyFill="1" applyBorder="1" applyAlignment="1">
      <alignment horizontal="center"/>
    </xf>
    <xf numFmtId="44" fontId="3" fillId="0" borderId="11" xfId="1" applyFont="1" applyFill="1" applyBorder="1" applyAlignment="1">
      <alignment horizontal="center"/>
    </xf>
    <xf numFmtId="9" fontId="3" fillId="0" borderId="11" xfId="3" applyFont="1" applyFill="1" applyBorder="1" applyAlignment="1">
      <alignment horizontal="center"/>
    </xf>
    <xf numFmtId="8" fontId="3" fillId="0" borderId="11" xfId="1" applyNumberFormat="1" applyFont="1" applyFill="1" applyBorder="1" applyAlignment="1">
      <alignment horizontal="center"/>
    </xf>
    <xf numFmtId="44" fontId="4" fillId="0" borderId="11" xfId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44" fontId="3" fillId="8" borderId="0" xfId="1" applyFont="1" applyFill="1"/>
    <xf numFmtId="164" fontId="3" fillId="2" borderId="3" xfId="0" applyNumberFormat="1" applyFont="1" applyFill="1" applyBorder="1"/>
    <xf numFmtId="164" fontId="3" fillId="0" borderId="11" xfId="3" applyNumberFormat="1" applyFont="1" applyFill="1" applyBorder="1" applyAlignment="1">
      <alignment horizontal="center"/>
    </xf>
    <xf numFmtId="164" fontId="3" fillId="6" borderId="11" xfId="0" applyNumberFormat="1" applyFont="1" applyFill="1" applyBorder="1"/>
    <xf numFmtId="164" fontId="3" fillId="3" borderId="4" xfId="0" applyNumberFormat="1" applyFont="1" applyFill="1" applyBorder="1"/>
    <xf numFmtId="164" fontId="3" fillId="0" borderId="7" xfId="1" applyNumberFormat="1" applyFont="1" applyFill="1" applyBorder="1"/>
    <xf numFmtId="8" fontId="3" fillId="0" borderId="0" xfId="1" applyNumberFormat="1" applyFont="1" applyFill="1" applyBorder="1"/>
    <xf numFmtId="164" fontId="3" fillId="11" borderId="0" xfId="1" applyNumberFormat="1" applyFont="1" applyFill="1" applyBorder="1"/>
    <xf numFmtId="164" fontId="3" fillId="40" borderId="0" xfId="1" applyNumberFormat="1" applyFont="1" applyFill="1" applyBorder="1"/>
    <xf numFmtId="164" fontId="3" fillId="41" borderId="0" xfId="1" applyNumberFormat="1" applyFont="1" applyFill="1" applyBorder="1"/>
    <xf numFmtId="164" fontId="3" fillId="42" borderId="0" xfId="1" applyNumberFormat="1" applyFont="1" applyFill="1" applyBorder="1"/>
    <xf numFmtId="164" fontId="3" fillId="43" borderId="0" xfId="1" applyNumberFormat="1" applyFont="1" applyFill="1" applyBorder="1"/>
    <xf numFmtId="164" fontId="3" fillId="44" borderId="0" xfId="1" applyNumberFormat="1" applyFont="1" applyFill="1" applyBorder="1"/>
    <xf numFmtId="164" fontId="3" fillId="45" borderId="0" xfId="1" applyNumberFormat="1" applyFont="1" applyFill="1" applyBorder="1"/>
    <xf numFmtId="164" fontId="3" fillId="46" borderId="0" xfId="1" applyNumberFormat="1" applyFont="1" applyFill="1" applyBorder="1"/>
    <xf numFmtId="164" fontId="3" fillId="47" borderId="0" xfId="1" applyNumberFormat="1" applyFont="1" applyFill="1" applyBorder="1"/>
    <xf numFmtId="164" fontId="3" fillId="48" borderId="0" xfId="1" applyNumberFormat="1" applyFont="1" applyFill="1" applyBorder="1"/>
    <xf numFmtId="164" fontId="3" fillId="49" borderId="0" xfId="1" applyNumberFormat="1" applyFont="1" applyFill="1" applyBorder="1"/>
    <xf numFmtId="164" fontId="3" fillId="50" borderId="0" xfId="1" applyNumberFormat="1" applyFont="1" applyFill="1" applyBorder="1"/>
    <xf numFmtId="164" fontId="3" fillId="2" borderId="4" xfId="0" applyNumberFormat="1" applyFont="1" applyFill="1" applyBorder="1"/>
    <xf numFmtId="164" fontId="7" fillId="0" borderId="9" xfId="1" applyNumberFormat="1" applyFont="1" applyFill="1" applyBorder="1"/>
    <xf numFmtId="164" fontId="3" fillId="0" borderId="4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44" fontId="6" fillId="0" borderId="9" xfId="1" applyFont="1" applyFill="1" applyBorder="1"/>
    <xf numFmtId="164" fontId="7" fillId="0" borderId="5" xfId="1" applyNumberFormat="1" applyFont="1" applyFill="1" applyBorder="1"/>
    <xf numFmtId="0" fontId="3" fillId="0" borderId="9" xfId="0" applyFont="1" applyBorder="1"/>
    <xf numFmtId="164" fontId="3" fillId="0" borderId="3" xfId="1" applyNumberFormat="1" applyFont="1" applyFill="1" applyBorder="1"/>
    <xf numFmtId="0" fontId="3" fillId="0" borderId="5" xfId="0" applyFont="1" applyBorder="1"/>
    <xf numFmtId="164" fontId="3" fillId="0" borderId="4" xfId="1" applyNumberFormat="1" applyFont="1" applyFill="1" applyBorder="1"/>
    <xf numFmtId="0" fontId="2" fillId="0" borderId="6" xfId="0" applyFont="1" applyBorder="1" applyAlignment="1">
      <alignment horizontal="right"/>
    </xf>
    <xf numFmtId="164" fontId="2" fillId="0" borderId="8" xfId="1" applyNumberFormat="1" applyFont="1" applyFill="1" applyBorder="1"/>
    <xf numFmtId="44" fontId="6" fillId="0" borderId="5" xfId="1" applyFont="1" applyFill="1" applyBorder="1"/>
    <xf numFmtId="164" fontId="2" fillId="0" borderId="0" xfId="1" applyNumberFormat="1" applyFont="1" applyFill="1" applyBorder="1"/>
    <xf numFmtId="164" fontId="3" fillId="8" borderId="0" xfId="1" applyNumberFormat="1" applyFont="1" applyFill="1" applyBorder="1"/>
    <xf numFmtId="164" fontId="3" fillId="10" borderId="0" xfId="1" applyNumberFormat="1" applyFont="1" applyFill="1" applyBorder="1"/>
    <xf numFmtId="164" fontId="3" fillId="12" borderId="0" xfId="1" applyNumberFormat="1" applyFont="1" applyFill="1" applyBorder="1"/>
    <xf numFmtId="164" fontId="3" fillId="13" borderId="0" xfId="1" applyNumberFormat="1" applyFont="1" applyFill="1" applyBorder="1"/>
    <xf numFmtId="164" fontId="3" fillId="14" borderId="0" xfId="1" applyNumberFormat="1" applyFont="1" applyFill="1" applyBorder="1"/>
    <xf numFmtId="164" fontId="3" fillId="16" borderId="0" xfId="1" applyNumberFormat="1" applyFont="1" applyFill="1" applyBorder="1"/>
    <xf numFmtId="164" fontId="3" fillId="15" borderId="0" xfId="1" applyNumberFormat="1" applyFont="1" applyFill="1" applyBorder="1"/>
    <xf numFmtId="164" fontId="3" fillId="18" borderId="0" xfId="1" applyNumberFormat="1" applyFont="1" applyFill="1" applyBorder="1"/>
    <xf numFmtId="164" fontId="3" fillId="17" borderId="0" xfId="1" applyNumberFormat="1" applyFont="1" applyFill="1" applyBorder="1"/>
    <xf numFmtId="164" fontId="3" fillId="51" borderId="0" xfId="1" applyNumberFormat="1" applyFont="1" applyFill="1" applyBorder="1"/>
    <xf numFmtId="164" fontId="3" fillId="4" borderId="0" xfId="1" applyNumberFormat="1" applyFont="1" applyFill="1" applyBorder="1"/>
    <xf numFmtId="164" fontId="3" fillId="19" borderId="0" xfId="1" applyNumberFormat="1" applyFont="1" applyFill="1" applyBorder="1"/>
    <xf numFmtId="164" fontId="3" fillId="20" borderId="0" xfId="1" applyNumberFormat="1" applyFont="1" applyFill="1" applyBorder="1"/>
    <xf numFmtId="164" fontId="3" fillId="21" borderId="0" xfId="1" applyNumberFormat="1" applyFont="1" applyFill="1" applyBorder="1"/>
    <xf numFmtId="164" fontId="3" fillId="22" borderId="0" xfId="1" applyNumberFormat="1" applyFont="1" applyFill="1" applyBorder="1"/>
    <xf numFmtId="164" fontId="3" fillId="23" borderId="0" xfId="1" applyNumberFormat="1" applyFont="1" applyFill="1" applyBorder="1"/>
    <xf numFmtId="164" fontId="3" fillId="24" borderId="0" xfId="1" applyNumberFormat="1" applyFont="1" applyFill="1" applyBorder="1"/>
    <xf numFmtId="164" fontId="3" fillId="25" borderId="0" xfId="1" applyNumberFormat="1" applyFont="1" applyFill="1" applyBorder="1"/>
    <xf numFmtId="164" fontId="3" fillId="26" borderId="0" xfId="1" applyNumberFormat="1" applyFont="1" applyFill="1" applyBorder="1"/>
    <xf numFmtId="164" fontId="3" fillId="27" borderId="0" xfId="1" applyNumberFormat="1" applyFont="1" applyFill="1" applyBorder="1"/>
    <xf numFmtId="164" fontId="3" fillId="28" borderId="0" xfId="1" applyNumberFormat="1" applyFont="1" applyFill="1" applyBorder="1"/>
    <xf numFmtId="164" fontId="3" fillId="29" borderId="0" xfId="1" applyNumberFormat="1" applyFont="1" applyFill="1" applyBorder="1"/>
    <xf numFmtId="164" fontId="3" fillId="30" borderId="0" xfId="1" applyNumberFormat="1" applyFont="1" applyFill="1" applyBorder="1"/>
    <xf numFmtId="164" fontId="3" fillId="31" borderId="0" xfId="1" applyNumberFormat="1" applyFont="1" applyFill="1" applyBorder="1"/>
    <xf numFmtId="164" fontId="3" fillId="32" borderId="0" xfId="1" applyNumberFormat="1" applyFont="1" applyFill="1" applyBorder="1"/>
    <xf numFmtId="164" fontId="3" fillId="33" borderId="0" xfId="1" applyNumberFormat="1" applyFont="1" applyFill="1" applyBorder="1"/>
    <xf numFmtId="164" fontId="3" fillId="34" borderId="0" xfId="1" applyNumberFormat="1" applyFont="1" applyFill="1" applyBorder="1"/>
    <xf numFmtId="164" fontId="3" fillId="35" borderId="0" xfId="1" applyNumberFormat="1" applyFont="1" applyFill="1" applyBorder="1"/>
    <xf numFmtId="164" fontId="3" fillId="36" borderId="0" xfId="1" applyNumberFormat="1" applyFont="1" applyFill="1" applyBorder="1"/>
    <xf numFmtId="164" fontId="3" fillId="37" borderId="0" xfId="1" applyNumberFormat="1" applyFont="1" applyFill="1" applyBorder="1"/>
    <xf numFmtId="164" fontId="3" fillId="38" borderId="0" xfId="1" applyNumberFormat="1" applyFont="1" applyFill="1" applyBorder="1"/>
    <xf numFmtId="164" fontId="3" fillId="39" borderId="0" xfId="1" applyNumberFormat="1" applyFont="1" applyFill="1" applyBorder="1"/>
    <xf numFmtId="164" fontId="3" fillId="5" borderId="0" xfId="1" applyNumberFormat="1" applyFont="1" applyFill="1" applyBorder="1"/>
    <xf numFmtId="164" fontId="3" fillId="39" borderId="5" xfId="1" applyNumberFormat="1" applyFont="1" applyFill="1" applyBorder="1"/>
    <xf numFmtId="164" fontId="3" fillId="12" borderId="5" xfId="1" applyNumberFormat="1" applyFont="1" applyFill="1" applyBorder="1"/>
    <xf numFmtId="164" fontId="3" fillId="13" borderId="5" xfId="1" applyNumberFormat="1" applyFont="1" applyFill="1" applyBorder="1"/>
    <xf numFmtId="164" fontId="3" fillId="47" borderId="5" xfId="1" applyNumberFormat="1" applyFont="1" applyFill="1" applyBorder="1"/>
    <xf numFmtId="164" fontId="3" fillId="18" borderId="5" xfId="1" applyNumberFormat="1" applyFont="1" applyFill="1" applyBorder="1"/>
    <xf numFmtId="164" fontId="3" fillId="37" borderId="5" xfId="1" applyNumberFormat="1" applyFont="1" applyFill="1" applyBorder="1"/>
    <xf numFmtId="164" fontId="3" fillId="38" borderId="6" xfId="1" applyNumberFormat="1" applyFont="1" applyFill="1" applyBorder="1"/>
    <xf numFmtId="164" fontId="3" fillId="23" borderId="9" xfId="1" applyNumberFormat="1" applyFont="1" applyFill="1" applyBorder="1"/>
    <xf numFmtId="164" fontId="3" fillId="23" borderId="6" xfId="1" applyNumberFormat="1" applyFont="1" applyFill="1" applyBorder="1"/>
    <xf numFmtId="164" fontId="3" fillId="44" borderId="9" xfId="1" applyNumberFormat="1" applyFont="1" applyFill="1" applyBorder="1"/>
    <xf numFmtId="164" fontId="3" fillId="45" borderId="5" xfId="1" applyNumberFormat="1" applyFont="1" applyFill="1" applyBorder="1"/>
    <xf numFmtId="164" fontId="3" fillId="46" borderId="5" xfId="1" applyNumberFormat="1" applyFont="1" applyFill="1" applyBorder="1"/>
    <xf numFmtId="164" fontId="3" fillId="47" borderId="6" xfId="1" applyNumberFormat="1" applyFont="1" applyFill="1" applyBorder="1"/>
    <xf numFmtId="164" fontId="3" fillId="39" borderId="9" xfId="1" applyNumberFormat="1" applyFont="1" applyFill="1" applyBorder="1"/>
    <xf numFmtId="164" fontId="3" fillId="29" borderId="5" xfId="1" applyNumberFormat="1" applyFont="1" applyFill="1" applyBorder="1"/>
    <xf numFmtId="164" fontId="3" fillId="40" borderId="5" xfId="1" applyNumberFormat="1" applyFont="1" applyFill="1" applyBorder="1"/>
    <xf numFmtId="164" fontId="3" fillId="2" borderId="5" xfId="1" applyNumberFormat="1" applyFont="1" applyFill="1" applyBorder="1"/>
    <xf numFmtId="164" fontId="3" fillId="43" borderId="5" xfId="1" applyNumberFormat="1" applyFont="1" applyFill="1" applyBorder="1"/>
    <xf numFmtId="164" fontId="3" fillId="41" borderId="5" xfId="1" applyNumberFormat="1" applyFont="1" applyFill="1" applyBorder="1"/>
    <xf numFmtId="164" fontId="3" fillId="42" borderId="5" xfId="1" applyNumberFormat="1" applyFont="1" applyFill="1" applyBorder="1"/>
    <xf numFmtId="164" fontId="3" fillId="2" borderId="9" xfId="1" applyNumberFormat="1" applyFont="1" applyFill="1" applyBorder="1"/>
    <xf numFmtId="164" fontId="3" fillId="24" borderId="6" xfId="1" applyNumberFormat="1" applyFont="1" applyFill="1" applyBorder="1"/>
    <xf numFmtId="164" fontId="3" fillId="25" borderId="6" xfId="1" applyNumberFormat="1" applyFont="1" applyFill="1" applyBorder="1"/>
    <xf numFmtId="164" fontId="3" fillId="35" borderId="5" xfId="1" applyNumberFormat="1" applyFont="1" applyFill="1" applyBorder="1"/>
    <xf numFmtId="164" fontId="3" fillId="15" borderId="5" xfId="1" applyNumberFormat="1" applyFont="1" applyFill="1" applyBorder="1"/>
    <xf numFmtId="164" fontId="3" fillId="4" borderId="5" xfId="1" applyNumberFormat="1" applyFont="1" applyFill="1" applyBorder="1"/>
    <xf numFmtId="164" fontId="3" fillId="5" borderId="6" xfId="1" applyNumberFormat="1" applyFont="1" applyFill="1" applyBorder="1"/>
    <xf numFmtId="164" fontId="3" fillId="48" borderId="5" xfId="1" applyNumberFormat="1" applyFont="1" applyFill="1" applyBorder="1"/>
    <xf numFmtId="164" fontId="3" fillId="49" borderId="5" xfId="1" applyNumberFormat="1" applyFont="1" applyFill="1" applyBorder="1"/>
    <xf numFmtId="164" fontId="3" fillId="21" borderId="5" xfId="1" applyNumberFormat="1" applyFont="1" applyFill="1" applyBorder="1"/>
    <xf numFmtId="164" fontId="3" fillId="22" borderId="6" xfId="1" applyNumberFormat="1" applyFont="1" applyFill="1" applyBorder="1"/>
    <xf numFmtId="164" fontId="3" fillId="30" borderId="5" xfId="1" applyNumberFormat="1" applyFont="1" applyFill="1" applyBorder="1"/>
    <xf numFmtId="164" fontId="3" fillId="31" borderId="5" xfId="1" applyNumberFormat="1" applyFont="1" applyFill="1" applyBorder="1"/>
    <xf numFmtId="164" fontId="3" fillId="32" borderId="5" xfId="1" applyNumberFormat="1" applyFont="1" applyFill="1" applyBorder="1"/>
    <xf numFmtId="164" fontId="3" fillId="33" borderId="5" xfId="1" applyNumberFormat="1" applyFont="1" applyFill="1" applyBorder="1"/>
    <xf numFmtId="164" fontId="3" fillId="34" borderId="6" xfId="1" applyNumberFormat="1" applyFont="1" applyFill="1" applyBorder="1"/>
    <xf numFmtId="164" fontId="3" fillId="50" borderId="6" xfId="1" applyNumberFormat="1" applyFont="1" applyFill="1" applyBorder="1"/>
    <xf numFmtId="164" fontId="3" fillId="11" borderId="5" xfId="1" applyNumberFormat="1" applyFont="1" applyFill="1" applyBorder="1"/>
    <xf numFmtId="164" fontId="3" fillId="20" borderId="5" xfId="1" applyNumberFormat="1" applyFont="1" applyFill="1" applyBorder="1"/>
    <xf numFmtId="164" fontId="3" fillId="14" borderId="5" xfId="1" applyNumberFormat="1" applyFont="1" applyFill="1" applyBorder="1"/>
    <xf numFmtId="164" fontId="3" fillId="27" borderId="5" xfId="1" applyNumberFormat="1" applyFont="1" applyFill="1" applyBorder="1"/>
    <xf numFmtId="164" fontId="3" fillId="28" borderId="5" xfId="1" applyNumberFormat="1" applyFont="1" applyFill="1" applyBorder="1"/>
    <xf numFmtId="164" fontId="3" fillId="51" borderId="9" xfId="1" applyNumberFormat="1" applyFont="1" applyFill="1" applyBorder="1"/>
    <xf numFmtId="164" fontId="3" fillId="51" borderId="6" xfId="1" applyNumberFormat="1" applyFont="1" applyFill="1" applyBorder="1"/>
    <xf numFmtId="164" fontId="3" fillId="14" borderId="9" xfId="1" applyNumberFormat="1" applyFont="1" applyFill="1" applyBorder="1"/>
    <xf numFmtId="164" fontId="3" fillId="14" borderId="6" xfId="1" applyNumberFormat="1" applyFont="1" applyFill="1" applyBorder="1"/>
    <xf numFmtId="164" fontId="3" fillId="17" borderId="9" xfId="1" applyNumberFormat="1" applyFont="1" applyFill="1" applyBorder="1"/>
    <xf numFmtId="164" fontId="3" fillId="17" borderId="6" xfId="1" applyNumberFormat="1" applyFont="1" applyFill="1" applyBorder="1"/>
    <xf numFmtId="0" fontId="3" fillId="2" borderId="0" xfId="0" applyFont="1" applyFill="1"/>
    <xf numFmtId="164" fontId="3" fillId="19" borderId="5" xfId="1" applyNumberFormat="1" applyFont="1" applyFill="1" applyBorder="1"/>
    <xf numFmtId="164" fontId="3" fillId="26" borderId="5" xfId="1" applyNumberFormat="1" applyFont="1" applyFill="1" applyBorder="1"/>
    <xf numFmtId="0" fontId="3" fillId="0" borderId="13" xfId="0" applyFont="1" applyBorder="1"/>
    <xf numFmtId="164" fontId="2" fillId="12" borderId="0" xfId="1" applyNumberFormat="1" applyFont="1" applyFill="1" applyBorder="1"/>
    <xf numFmtId="164" fontId="2" fillId="13" borderId="0" xfId="1" applyNumberFormat="1" applyFont="1" applyFill="1" applyBorder="1"/>
    <xf numFmtId="8" fontId="2" fillId="51" borderId="0" xfId="1" applyNumberFormat="1" applyFont="1" applyFill="1" applyBorder="1"/>
    <xf numFmtId="164" fontId="2" fillId="51" borderId="0" xfId="1" applyNumberFormat="1" applyFont="1" applyFill="1" applyBorder="1"/>
    <xf numFmtId="164" fontId="2" fillId="14" borderId="0" xfId="1" applyNumberFormat="1" applyFont="1" applyFill="1" applyBorder="1"/>
    <xf numFmtId="164" fontId="2" fillId="17" borderId="0" xfId="1" applyNumberFormat="1" applyFont="1" applyFill="1" applyBorder="1"/>
    <xf numFmtId="164" fontId="2" fillId="44" borderId="0" xfId="1" applyNumberFormat="1" applyFont="1" applyFill="1" applyBorder="1"/>
    <xf numFmtId="164" fontId="2" fillId="45" borderId="0" xfId="1" applyNumberFormat="1" applyFont="1" applyFill="1" applyBorder="1"/>
    <xf numFmtId="164" fontId="2" fillId="46" borderId="0" xfId="1" applyNumberFormat="1" applyFont="1" applyFill="1" applyBorder="1"/>
    <xf numFmtId="164" fontId="2" fillId="47" borderId="0" xfId="1" applyNumberFormat="1" applyFont="1" applyFill="1" applyBorder="1"/>
    <xf numFmtId="164" fontId="2" fillId="23" borderId="0" xfId="1" applyNumberFormat="1" applyFont="1" applyFill="1" applyBorder="1"/>
    <xf numFmtId="164" fontId="2" fillId="39" borderId="0" xfId="1" applyNumberFormat="1" applyFont="1" applyFill="1" applyBorder="1"/>
    <xf numFmtId="164" fontId="2" fillId="18" borderId="0" xfId="1" applyNumberFormat="1" applyFont="1" applyFill="1" applyBorder="1"/>
    <xf numFmtId="164" fontId="2" fillId="37" borderId="0" xfId="1" applyNumberFormat="1" applyFont="1" applyFill="1" applyBorder="1"/>
    <xf numFmtId="164" fontId="2" fillId="38" borderId="0" xfId="1" applyNumberFormat="1" applyFont="1" applyFill="1" applyBorder="1"/>
    <xf numFmtId="164" fontId="2" fillId="29" borderId="0" xfId="1" applyNumberFormat="1" applyFont="1" applyFill="1" applyBorder="1"/>
    <xf numFmtId="164" fontId="2" fillId="40" borderId="0" xfId="1" applyNumberFormat="1" applyFont="1" applyFill="1" applyBorder="1"/>
    <xf numFmtId="164" fontId="2" fillId="2" borderId="0" xfId="1" applyNumberFormat="1" applyFont="1" applyFill="1" applyBorder="1"/>
    <xf numFmtId="164" fontId="2" fillId="43" borderId="0" xfId="1" applyNumberFormat="1" applyFont="1" applyFill="1" applyBorder="1"/>
    <xf numFmtId="164" fontId="2" fillId="41" borderId="0" xfId="1" applyNumberFormat="1" applyFont="1" applyFill="1" applyBorder="1"/>
    <xf numFmtId="164" fontId="2" fillId="42" borderId="0" xfId="1" applyNumberFormat="1" applyFont="1" applyFill="1" applyBorder="1"/>
    <xf numFmtId="164" fontId="2" fillId="24" borderId="0" xfId="1" applyNumberFormat="1" applyFont="1" applyFill="1" applyBorder="1"/>
    <xf numFmtId="164" fontId="2" fillId="25" borderId="0" xfId="1" applyNumberFormat="1" applyFont="1" applyFill="1" applyBorder="1"/>
    <xf numFmtId="164" fontId="2" fillId="35" borderId="0" xfId="1" applyNumberFormat="1" applyFont="1" applyFill="1" applyBorder="1"/>
    <xf numFmtId="164" fontId="2" fillId="15" borderId="0" xfId="1" applyNumberFormat="1" applyFont="1" applyFill="1" applyBorder="1"/>
    <xf numFmtId="164" fontId="2" fillId="4" borderId="0" xfId="1" applyNumberFormat="1" applyFont="1" applyFill="1" applyBorder="1"/>
    <xf numFmtId="164" fontId="2" fillId="5" borderId="0" xfId="1" applyNumberFormat="1" applyFont="1" applyFill="1" applyBorder="1"/>
    <xf numFmtId="164" fontId="2" fillId="48" borderId="0" xfId="1" applyNumberFormat="1" applyFont="1" applyFill="1" applyBorder="1"/>
    <xf numFmtId="164" fontId="2" fillId="49" borderId="0" xfId="1" applyNumberFormat="1" applyFont="1" applyFill="1" applyBorder="1"/>
    <xf numFmtId="164" fontId="2" fillId="21" borderId="0" xfId="1" applyNumberFormat="1" applyFont="1" applyFill="1" applyBorder="1"/>
    <xf numFmtId="164" fontId="2" fillId="22" borderId="0" xfId="1" applyNumberFormat="1" applyFont="1" applyFill="1" applyBorder="1"/>
    <xf numFmtId="164" fontId="2" fillId="30" borderId="0" xfId="1" applyNumberFormat="1" applyFont="1" applyFill="1" applyBorder="1"/>
    <xf numFmtId="164" fontId="2" fillId="31" borderId="0" xfId="1" applyNumberFormat="1" applyFont="1" applyFill="1" applyBorder="1"/>
    <xf numFmtId="164" fontId="2" fillId="32" borderId="0" xfId="1" applyNumberFormat="1" applyFont="1" applyFill="1" applyBorder="1"/>
    <xf numFmtId="164" fontId="2" fillId="33" borderId="0" xfId="1" applyNumberFormat="1" applyFont="1" applyFill="1" applyBorder="1"/>
    <xf numFmtId="164" fontId="2" fillId="34" borderId="0" xfId="1" applyNumberFormat="1" applyFont="1" applyFill="1" applyBorder="1"/>
    <xf numFmtId="0" fontId="2" fillId="10" borderId="0" xfId="0" applyFont="1" applyFill="1"/>
    <xf numFmtId="164" fontId="2" fillId="50" borderId="0" xfId="1" applyNumberFormat="1" applyFont="1" applyFill="1" applyBorder="1"/>
    <xf numFmtId="164" fontId="2" fillId="11" borderId="0" xfId="1" applyNumberFormat="1" applyFont="1" applyFill="1" applyBorder="1"/>
    <xf numFmtId="164" fontId="2" fillId="20" borderId="0" xfId="1" applyNumberFormat="1" applyFont="1" applyFill="1" applyBorder="1"/>
    <xf numFmtId="164" fontId="2" fillId="19" borderId="0" xfId="1" applyNumberFormat="1" applyFont="1" applyFill="1" applyBorder="1"/>
    <xf numFmtId="164" fontId="2" fillId="26" borderId="0" xfId="1" applyNumberFormat="1" applyFont="1" applyFill="1" applyBorder="1"/>
    <xf numFmtId="164" fontId="2" fillId="27" borderId="0" xfId="1" applyNumberFormat="1" applyFont="1" applyFill="1" applyBorder="1"/>
    <xf numFmtId="164" fontId="2" fillId="28" borderId="0" xfId="1" applyNumberFormat="1" applyFont="1" applyFill="1" applyBorder="1"/>
    <xf numFmtId="8" fontId="3" fillId="51" borderId="6" xfId="1" applyNumberFormat="1" applyFont="1" applyFill="1" applyBorder="1"/>
    <xf numFmtId="44" fontId="6" fillId="0" borderId="6" xfId="1" applyFont="1" applyFill="1" applyBorder="1"/>
    <xf numFmtId="8" fontId="3" fillId="0" borderId="5" xfId="1" applyNumberFormat="1" applyFont="1" applyFill="1" applyBorder="1"/>
    <xf numFmtId="44" fontId="4" fillId="0" borderId="0" xfId="1" applyFont="1" applyFill="1" applyAlignment="1">
      <alignment horizontal="center"/>
    </xf>
  </cellXfs>
  <cellStyles count="4">
    <cellStyle name="Currency" xfId="1" builtinId="4"/>
    <cellStyle name="Normal" xfId="0" builtinId="0"/>
    <cellStyle name="Normal 2" xfId="2" xr:uid="{EDA4C5AD-9F70-4FA4-80B8-4C9CFBAF3BB7}"/>
    <cellStyle name="Percent" xfId="3" builtinId="5"/>
  </cellStyles>
  <dxfs count="4"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FF0000"/>
      </font>
    </dxf>
  </dxfs>
  <tableStyles count="0" defaultTableStyle="TableStyleMedium2" defaultPivotStyle="PivotStyleLight16"/>
  <colors>
    <mruColors>
      <color rgb="FF9DF5E4"/>
      <color rgb="FFEAEAE8"/>
      <color rgb="FFFFCC00"/>
      <color rgb="FFFF9999"/>
      <color rgb="FFD0805C"/>
      <color rgb="FFB6BB9F"/>
      <color rgb="FF7C794C"/>
      <color rgb="FF81976D"/>
      <color rgb="FFFF9933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2D04-1601-4FBC-BFB0-FC1849966061}">
  <dimension ref="A1:AB281"/>
  <sheetViews>
    <sheetView tabSelected="1" view="pageBreakPreview" topLeftCell="A140" zoomScale="70" zoomScaleNormal="70" zoomScaleSheetLayoutView="70" workbookViewId="0">
      <selection activeCell="P164" sqref="P164"/>
    </sheetView>
  </sheetViews>
  <sheetFormatPr defaultRowHeight="18.75" x14ac:dyDescent="0.3"/>
  <cols>
    <col min="1" max="1" width="9.140625" style="64"/>
    <col min="2" max="2" width="40" style="21" customWidth="1"/>
    <col min="3" max="3" width="28.5703125" style="21" customWidth="1"/>
    <col min="4" max="4" width="27.140625" style="21" customWidth="1"/>
    <col min="5" max="5" width="24.7109375" style="42" customWidth="1"/>
    <col min="6" max="6" width="22.28515625" style="42" customWidth="1"/>
    <col min="7" max="7" width="3.140625" style="42" customWidth="1"/>
    <col min="8" max="8" width="22.28515625" style="42" customWidth="1"/>
    <col min="9" max="9" width="3" style="25" customWidth="1"/>
    <col min="10" max="10" width="21.5703125" style="21" customWidth="1"/>
    <col min="11" max="11" width="1.42578125" style="25" customWidth="1"/>
    <col min="12" max="12" width="22.28515625" style="17" customWidth="1"/>
    <col min="13" max="13" width="3" style="25" customWidth="1"/>
    <col min="14" max="14" width="32.28515625" style="17" customWidth="1"/>
    <col min="15" max="15" width="3" style="25" customWidth="1"/>
    <col min="16" max="16" width="22.28515625" style="17" customWidth="1"/>
    <col min="17" max="17" width="3" style="25" customWidth="1"/>
    <col min="18" max="18" width="18.7109375" style="25" customWidth="1"/>
    <col min="19" max="19" width="21.85546875" style="25" customWidth="1"/>
    <col min="20" max="20" width="22.28515625" style="11" customWidth="1"/>
    <col min="21" max="21" width="17.28515625" style="17" customWidth="1"/>
    <col min="22" max="22" width="3" style="25" customWidth="1"/>
    <col min="23" max="23" width="24.28515625" style="2" customWidth="1"/>
    <col min="24" max="24" width="24.28515625" style="32" customWidth="1"/>
    <col min="25" max="25" width="20.5703125" style="2" customWidth="1"/>
    <col min="26" max="26" width="8.140625" style="23" bestFit="1" customWidth="1"/>
    <col min="27" max="27" width="16.85546875" customWidth="1"/>
    <col min="28" max="28" width="18.140625" customWidth="1"/>
  </cols>
  <sheetData>
    <row r="1" spans="1:25" x14ac:dyDescent="0.3">
      <c r="R1" s="1"/>
      <c r="S1" s="2"/>
      <c r="T1" s="72"/>
      <c r="V1" s="2"/>
      <c r="W1" s="11"/>
    </row>
    <row r="2" spans="1:25" ht="19.5" thickBot="1" x14ac:dyDescent="0.35">
      <c r="R2" s="1"/>
      <c r="S2" s="2"/>
      <c r="T2" s="72"/>
      <c r="V2" s="2"/>
      <c r="W2" s="11"/>
    </row>
    <row r="3" spans="1:25" ht="19.5" thickBot="1" x14ac:dyDescent="0.35">
      <c r="B3" s="1" t="s">
        <v>0</v>
      </c>
      <c r="C3" s="213">
        <v>2961</v>
      </c>
      <c r="D3" s="25"/>
      <c r="E3" s="1" t="s">
        <v>1</v>
      </c>
      <c r="F3" s="1"/>
      <c r="G3" s="1"/>
      <c r="H3" s="1"/>
      <c r="J3" s="4">
        <v>4698</v>
      </c>
      <c r="L3" s="1" t="s">
        <v>155</v>
      </c>
      <c r="N3" s="4">
        <v>957</v>
      </c>
      <c r="R3" s="1"/>
      <c r="S3" s="2"/>
      <c r="T3" s="72"/>
      <c r="V3" s="2"/>
      <c r="W3" s="11"/>
    </row>
    <row r="4" spans="1:25" ht="19.5" thickBot="1" x14ac:dyDescent="0.35">
      <c r="B4" s="1" t="s">
        <v>2</v>
      </c>
      <c r="C4" s="213">
        <v>0</v>
      </c>
      <c r="D4" s="25"/>
      <c r="E4" s="1" t="s">
        <v>3</v>
      </c>
      <c r="F4" s="1"/>
      <c r="G4" s="1"/>
      <c r="H4" s="1"/>
      <c r="J4" s="4">
        <v>4698</v>
      </c>
      <c r="L4" s="1" t="s">
        <v>4</v>
      </c>
      <c r="N4" s="4">
        <f>SUM(C5*J5*1.25)</f>
        <v>5987.5</v>
      </c>
      <c r="P4" s="2" t="s">
        <v>158</v>
      </c>
      <c r="R4" s="4">
        <v>0</v>
      </c>
    </row>
    <row r="5" spans="1:25" ht="19.5" thickBot="1" x14ac:dyDescent="0.35">
      <c r="B5" s="1" t="s">
        <v>5</v>
      </c>
      <c r="C5" s="213">
        <v>479</v>
      </c>
      <c r="D5" s="25"/>
      <c r="E5" s="1" t="s">
        <v>6</v>
      </c>
      <c r="F5" s="1"/>
      <c r="G5" s="1"/>
      <c r="H5" s="1"/>
      <c r="J5" s="4">
        <v>10</v>
      </c>
      <c r="L5" s="1" t="s">
        <v>7</v>
      </c>
      <c r="N5" s="4">
        <v>1.6</v>
      </c>
      <c r="P5" s="2" t="s">
        <v>157</v>
      </c>
      <c r="R5" s="4">
        <v>0</v>
      </c>
    </row>
    <row r="6" spans="1:25" ht="19.5" thickBot="1" x14ac:dyDescent="0.35">
      <c r="B6" s="1" t="s">
        <v>166</v>
      </c>
      <c r="C6" s="213">
        <v>1400</v>
      </c>
      <c r="D6" s="25"/>
      <c r="E6" s="1" t="s">
        <v>8</v>
      </c>
      <c r="F6" s="1"/>
      <c r="G6" s="1"/>
      <c r="H6" s="1"/>
      <c r="J6" s="4">
        <v>2961</v>
      </c>
      <c r="L6" s="1" t="s">
        <v>9</v>
      </c>
      <c r="N6" s="4">
        <v>0</v>
      </c>
      <c r="P6" s="2" t="s">
        <v>156</v>
      </c>
      <c r="R6" s="4">
        <v>0</v>
      </c>
    </row>
    <row r="7" spans="1:25" ht="19.5" thickBot="1" x14ac:dyDescent="0.35">
      <c r="V7" s="28"/>
    </row>
    <row r="8" spans="1:25" s="30" customFormat="1" ht="22.5" x14ac:dyDescent="0.55000000000000004">
      <c r="A8" s="64"/>
      <c r="B8" s="5" t="s">
        <v>12</v>
      </c>
      <c r="C8" s="27"/>
      <c r="D8" s="43" t="s">
        <v>304</v>
      </c>
      <c r="E8" s="43" t="s">
        <v>303</v>
      </c>
      <c r="F8" s="43" t="s">
        <v>10</v>
      </c>
      <c r="G8" s="43"/>
      <c r="H8" s="43" t="s">
        <v>302</v>
      </c>
      <c r="I8" s="28"/>
      <c r="J8" s="28" t="s">
        <v>169</v>
      </c>
      <c r="K8" s="28"/>
      <c r="L8" s="29" t="s">
        <v>10</v>
      </c>
      <c r="M8" s="28"/>
      <c r="N8" s="55" t="s">
        <v>177</v>
      </c>
      <c r="O8" s="28"/>
      <c r="P8" s="34" t="s">
        <v>11</v>
      </c>
      <c r="Q8" s="28"/>
      <c r="R8" s="261" t="s">
        <v>205</v>
      </c>
      <c r="S8" s="261"/>
      <c r="T8" s="29"/>
      <c r="U8" s="6"/>
      <c r="V8" s="26"/>
      <c r="W8" s="65" t="s">
        <v>206</v>
      </c>
      <c r="X8" s="28"/>
      <c r="Y8" s="6"/>
    </row>
    <row r="9" spans="1:25" s="9" customFormat="1" ht="18" x14ac:dyDescent="0.25">
      <c r="A9" s="6"/>
      <c r="C9" s="5"/>
      <c r="D9" s="5"/>
      <c r="E9" s="40"/>
      <c r="F9" s="40"/>
      <c r="G9" s="40"/>
      <c r="H9" s="40"/>
      <c r="I9" s="26"/>
      <c r="J9" s="5"/>
      <c r="K9" s="26"/>
      <c r="L9" s="8"/>
      <c r="M9" s="26"/>
      <c r="N9" s="56"/>
      <c r="O9" s="26"/>
      <c r="P9" s="35"/>
      <c r="Q9" s="26"/>
      <c r="R9" s="8"/>
      <c r="S9" s="26"/>
      <c r="T9" s="7"/>
      <c r="U9" s="5"/>
      <c r="V9" s="26"/>
      <c r="W9" s="66"/>
      <c r="X9" s="26"/>
      <c r="Y9" s="5"/>
    </row>
    <row r="10" spans="1:25" s="9" customFormat="1" ht="18" x14ac:dyDescent="0.25">
      <c r="A10" s="27"/>
      <c r="B10" s="1" t="s">
        <v>13</v>
      </c>
      <c r="C10" s="1"/>
      <c r="D10" s="2" t="s">
        <v>295</v>
      </c>
      <c r="E10" s="40">
        <v>130000</v>
      </c>
      <c r="F10" s="129">
        <f>E10</f>
        <v>130000</v>
      </c>
      <c r="G10" s="40"/>
      <c r="H10" s="40"/>
      <c r="I10" s="33"/>
      <c r="J10" s="10">
        <v>1500</v>
      </c>
      <c r="K10" s="33"/>
      <c r="L10" s="40">
        <f>SUM(H10:J10)</f>
        <v>1500</v>
      </c>
      <c r="M10" s="33"/>
      <c r="N10" s="31">
        <v>1500</v>
      </c>
      <c r="O10" s="33"/>
      <c r="P10" s="36">
        <f>225+75+450+150+75</f>
        <v>975</v>
      </c>
      <c r="Q10" s="26"/>
      <c r="R10" s="40">
        <f>L10-P10</f>
        <v>525</v>
      </c>
      <c r="S10" s="51" t="str">
        <f>IF(P10&gt;L10,"Over Budget","In Budget")</f>
        <v>In Budget</v>
      </c>
      <c r="T10" s="5"/>
      <c r="U10" s="5"/>
      <c r="V10" s="26"/>
      <c r="W10" s="66"/>
      <c r="X10" s="26"/>
      <c r="Y10" s="5"/>
    </row>
    <row r="11" spans="1:25" s="9" customFormat="1" ht="18" x14ac:dyDescent="0.25">
      <c r="A11" s="27"/>
      <c r="B11" s="1" t="s">
        <v>14</v>
      </c>
      <c r="C11" s="1"/>
      <c r="D11" s="2" t="s">
        <v>305</v>
      </c>
      <c r="E11" s="40">
        <v>9424</v>
      </c>
      <c r="F11" s="102">
        <f t="shared" ref="F11:F12" si="0">E11</f>
        <v>9424</v>
      </c>
      <c r="G11" s="40"/>
      <c r="H11" s="102">
        <f>F11</f>
        <v>9424</v>
      </c>
      <c r="I11" s="33"/>
      <c r="J11" s="10">
        <v>0</v>
      </c>
      <c r="K11" s="33"/>
      <c r="L11" s="40">
        <f t="shared" ref="L11:L24" si="1">SUM(H11:J11)</f>
        <v>9424</v>
      </c>
      <c r="M11" s="33"/>
      <c r="N11" s="31">
        <v>9292.52</v>
      </c>
      <c r="O11" s="33"/>
      <c r="P11" s="38">
        <v>9423.8700000000008</v>
      </c>
      <c r="Q11" s="26"/>
      <c r="R11" s="40">
        <f t="shared" ref="R11:R22" si="2">L11-P11</f>
        <v>0.12999999999919964</v>
      </c>
      <c r="S11" s="51" t="str">
        <f t="shared" ref="S11:S22" si="3">IF(P11&gt;L11,"Over Budget","In Budget")</f>
        <v>In Budget</v>
      </c>
      <c r="T11" s="7" t="s">
        <v>188</v>
      </c>
      <c r="U11" s="5"/>
      <c r="V11" s="26"/>
      <c r="W11" s="66"/>
      <c r="X11" s="26"/>
      <c r="Y11" s="5"/>
    </row>
    <row r="12" spans="1:25" s="9" customFormat="1" ht="18" x14ac:dyDescent="0.25">
      <c r="A12" s="27"/>
      <c r="B12" s="1" t="s">
        <v>15</v>
      </c>
      <c r="C12" s="1"/>
      <c r="D12" s="2" t="s">
        <v>159</v>
      </c>
      <c r="E12" s="40">
        <v>13612.5</v>
      </c>
      <c r="F12" s="130">
        <f t="shared" si="0"/>
        <v>13612.5</v>
      </c>
      <c r="G12" s="40"/>
      <c r="H12" s="40"/>
      <c r="I12" s="33"/>
      <c r="J12" s="10">
        <v>4150.8999999999996</v>
      </c>
      <c r="K12" s="33"/>
      <c r="L12" s="40">
        <f t="shared" si="1"/>
        <v>4150.8999999999996</v>
      </c>
      <c r="M12" s="33"/>
      <c r="N12" s="31">
        <v>4150</v>
      </c>
      <c r="O12" s="33"/>
      <c r="P12" s="38">
        <f>4144.06+25</f>
        <v>4169.0600000000004</v>
      </c>
      <c r="Q12" s="26"/>
      <c r="R12" s="40">
        <f t="shared" si="2"/>
        <v>-18.160000000000764</v>
      </c>
      <c r="S12" s="51" t="str">
        <f t="shared" si="3"/>
        <v>Over Budget</v>
      </c>
      <c r="T12" s="7" t="s">
        <v>189</v>
      </c>
      <c r="U12" s="5"/>
      <c r="V12" s="26"/>
      <c r="W12" s="67"/>
      <c r="X12" s="26"/>
      <c r="Y12" s="5"/>
    </row>
    <row r="13" spans="1:25" s="9" customFormat="1" ht="18" x14ac:dyDescent="0.25">
      <c r="A13" s="27"/>
      <c r="B13" s="1" t="s">
        <v>16</v>
      </c>
      <c r="C13" s="1"/>
      <c r="D13" s="2" t="s">
        <v>306</v>
      </c>
      <c r="E13" s="40">
        <v>225000</v>
      </c>
      <c r="F13" s="40"/>
      <c r="G13" s="40"/>
      <c r="H13" s="40"/>
      <c r="I13" s="33"/>
      <c r="J13" s="10">
        <f>SUM(J4*0.5)</f>
        <v>2349</v>
      </c>
      <c r="K13" s="33"/>
      <c r="L13" s="40">
        <f t="shared" si="1"/>
        <v>2349</v>
      </c>
      <c r="M13" s="33"/>
      <c r="N13" s="31">
        <v>2736</v>
      </c>
      <c r="O13" s="33"/>
      <c r="P13" s="38">
        <f>2291.18+234.9</f>
        <v>2526.08</v>
      </c>
      <c r="Q13" s="26"/>
      <c r="R13" s="40">
        <f t="shared" si="2"/>
        <v>-177.07999999999993</v>
      </c>
      <c r="S13" s="51" t="str">
        <f t="shared" si="3"/>
        <v>Over Budget</v>
      </c>
      <c r="T13" s="11" t="s">
        <v>190</v>
      </c>
      <c r="U13" s="2"/>
      <c r="V13" s="26"/>
      <c r="W13" s="89">
        <f>1-(2291.18/2695.5)</f>
        <v>0.14999814505657583</v>
      </c>
      <c r="X13" s="26"/>
      <c r="Y13" s="5"/>
    </row>
    <row r="14" spans="1:25" s="9" customFormat="1" ht="18" x14ac:dyDescent="0.25">
      <c r="A14" s="27"/>
      <c r="B14" s="1" t="s">
        <v>247</v>
      </c>
      <c r="C14" s="1"/>
      <c r="D14" s="2" t="s">
        <v>313</v>
      </c>
      <c r="E14" s="40">
        <v>6670</v>
      </c>
      <c r="F14" s="131">
        <f>E14*0.65</f>
        <v>4335.5</v>
      </c>
      <c r="G14" s="40"/>
      <c r="H14" s="40"/>
      <c r="I14" s="33"/>
      <c r="J14" s="10">
        <v>300</v>
      </c>
      <c r="K14" s="33"/>
      <c r="L14" s="40">
        <f t="shared" si="1"/>
        <v>300</v>
      </c>
      <c r="M14" s="33"/>
      <c r="N14" s="31">
        <v>0</v>
      </c>
      <c r="O14" s="33"/>
      <c r="P14" s="38">
        <v>300</v>
      </c>
      <c r="Q14" s="26"/>
      <c r="R14" s="40">
        <f t="shared" ref="R14" si="4">L14-P14</f>
        <v>0</v>
      </c>
      <c r="S14" s="51" t="str">
        <f t="shared" ref="S14" si="5">IF(P14&gt;L14,"Over Budget","In Budget")</f>
        <v>In Budget</v>
      </c>
      <c r="T14" s="11"/>
      <c r="U14" s="2"/>
      <c r="V14" s="26"/>
      <c r="W14" s="89"/>
      <c r="X14" s="26"/>
      <c r="Y14" s="5"/>
    </row>
    <row r="15" spans="1:25" s="9" customFormat="1" ht="18" x14ac:dyDescent="0.25">
      <c r="A15" s="27"/>
      <c r="B15" s="1" t="s">
        <v>178</v>
      </c>
      <c r="C15" s="1"/>
      <c r="D15" s="2" t="s">
        <v>314</v>
      </c>
      <c r="E15" s="40">
        <v>5260</v>
      </c>
      <c r="F15" s="132">
        <f t="shared" ref="F15:F59" si="6">E15*0.65</f>
        <v>3419</v>
      </c>
      <c r="G15" s="40"/>
      <c r="H15" s="40"/>
      <c r="I15" s="33"/>
      <c r="J15" s="10">
        <v>300</v>
      </c>
      <c r="K15" s="33"/>
      <c r="L15" s="40">
        <f t="shared" si="1"/>
        <v>300</v>
      </c>
      <c r="M15" s="33"/>
      <c r="N15" s="31">
        <v>290</v>
      </c>
      <c r="O15" s="33"/>
      <c r="P15" s="37"/>
      <c r="Q15" s="26"/>
      <c r="R15" s="40">
        <f t="shared" si="2"/>
        <v>300</v>
      </c>
      <c r="S15" s="51" t="str">
        <f t="shared" si="3"/>
        <v>In Budget</v>
      </c>
      <c r="T15" s="11" t="s">
        <v>192</v>
      </c>
      <c r="U15" s="2"/>
      <c r="V15" s="26"/>
      <c r="W15" s="90"/>
      <c r="X15" s="26"/>
      <c r="Y15" s="5"/>
    </row>
    <row r="16" spans="1:25" s="9" customFormat="1" ht="18" x14ac:dyDescent="0.25">
      <c r="A16" s="27"/>
      <c r="B16" s="1" t="s">
        <v>17</v>
      </c>
      <c r="C16" s="1"/>
      <c r="D16" s="2" t="s">
        <v>315</v>
      </c>
      <c r="E16" s="40">
        <v>5700</v>
      </c>
      <c r="F16" s="133">
        <f t="shared" si="6"/>
        <v>3705</v>
      </c>
      <c r="G16" s="40"/>
      <c r="H16" s="40"/>
      <c r="I16" s="33"/>
      <c r="J16" s="10">
        <v>250</v>
      </c>
      <c r="K16" s="33"/>
      <c r="L16" s="40">
        <f t="shared" si="1"/>
        <v>250</v>
      </c>
      <c r="M16" s="33"/>
      <c r="N16" s="31">
        <v>445.64</v>
      </c>
      <c r="O16" s="33"/>
      <c r="P16" s="36">
        <f>116.67+45.48+23.64</f>
        <v>185.79000000000002</v>
      </c>
      <c r="Q16" s="26"/>
      <c r="R16" s="40">
        <f>L16-P16</f>
        <v>64.20999999999998</v>
      </c>
      <c r="S16" s="51" t="str">
        <f t="shared" si="3"/>
        <v>In Budget</v>
      </c>
      <c r="T16" s="11" t="s">
        <v>199</v>
      </c>
      <c r="U16" s="2"/>
      <c r="V16" s="26"/>
      <c r="W16" s="90"/>
      <c r="X16" s="26"/>
      <c r="Y16" s="5"/>
    </row>
    <row r="17" spans="1:25" s="9" customFormat="1" ht="18" x14ac:dyDescent="0.25">
      <c r="A17" s="27"/>
      <c r="B17" s="1" t="s">
        <v>18</v>
      </c>
      <c r="C17" s="1"/>
      <c r="D17" s="2" t="s">
        <v>316</v>
      </c>
      <c r="E17" s="40">
        <v>8006</v>
      </c>
      <c r="F17" s="134">
        <f t="shared" si="6"/>
        <v>5203.9000000000005</v>
      </c>
      <c r="G17" s="40"/>
      <c r="H17" s="40"/>
      <c r="I17" s="33"/>
      <c r="J17" s="10">
        <f>SUM(J4*0.25)</f>
        <v>1174.5</v>
      </c>
      <c r="K17" s="33"/>
      <c r="L17" s="40">
        <f t="shared" si="1"/>
        <v>1174.5</v>
      </c>
      <c r="M17" s="33"/>
      <c r="N17" s="31">
        <v>1203.8399999999999</v>
      </c>
      <c r="O17" s="33"/>
      <c r="P17" s="38">
        <f>1033.56</f>
        <v>1033.56</v>
      </c>
      <c r="Q17" s="26"/>
      <c r="R17" s="40">
        <f t="shared" si="2"/>
        <v>140.94000000000005</v>
      </c>
      <c r="S17" s="51" t="str">
        <f t="shared" si="3"/>
        <v>In Budget</v>
      </c>
      <c r="T17" s="11" t="s">
        <v>301</v>
      </c>
      <c r="U17" s="2"/>
      <c r="V17" s="10"/>
      <c r="W17" s="93"/>
      <c r="X17" s="26"/>
      <c r="Y17" s="5"/>
    </row>
    <row r="18" spans="1:25" s="9" customFormat="1" ht="18" x14ac:dyDescent="0.25">
      <c r="A18" s="27"/>
      <c r="B18" s="1" t="s">
        <v>159</v>
      </c>
      <c r="C18" s="1"/>
      <c r="D18" s="2" t="s">
        <v>264</v>
      </c>
      <c r="E18" s="40">
        <v>7445</v>
      </c>
      <c r="F18" s="135">
        <f t="shared" si="6"/>
        <v>4839.25</v>
      </c>
      <c r="G18" s="40"/>
      <c r="H18" s="130">
        <f>F12</f>
        <v>13612.5</v>
      </c>
      <c r="I18" s="10"/>
      <c r="J18" s="10">
        <v>0</v>
      </c>
      <c r="K18" s="10"/>
      <c r="L18" s="40">
        <f t="shared" si="1"/>
        <v>13612.5</v>
      </c>
      <c r="M18" s="10"/>
      <c r="N18" s="31">
        <v>7471.09</v>
      </c>
      <c r="O18" s="10"/>
      <c r="P18" s="38">
        <f>13612.5</f>
        <v>13612.5</v>
      </c>
      <c r="Q18" s="10"/>
      <c r="R18" s="40">
        <f t="shared" si="2"/>
        <v>0</v>
      </c>
      <c r="S18" s="51" t="str">
        <f t="shared" si="3"/>
        <v>In Budget</v>
      </c>
      <c r="T18" s="11" t="s">
        <v>200</v>
      </c>
      <c r="U18" s="5"/>
      <c r="V18" s="10"/>
      <c r="W18" s="93"/>
      <c r="X18" s="26"/>
      <c r="Y18" s="5"/>
    </row>
    <row r="19" spans="1:25" s="9" customFormat="1" x14ac:dyDescent="0.3">
      <c r="A19" s="27"/>
      <c r="B19" s="1" t="s">
        <v>19</v>
      </c>
      <c r="C19" s="1"/>
      <c r="D19" s="2" t="s">
        <v>317</v>
      </c>
      <c r="E19" s="40">
        <v>6106</v>
      </c>
      <c r="F19" s="137">
        <f t="shared" si="6"/>
        <v>3968.9</v>
      </c>
      <c r="G19" s="40"/>
      <c r="H19" s="40"/>
      <c r="I19" s="10"/>
      <c r="J19" s="10">
        <v>600</v>
      </c>
      <c r="K19" s="10"/>
      <c r="L19" s="40">
        <f t="shared" si="1"/>
        <v>600</v>
      </c>
      <c r="M19" s="10"/>
      <c r="N19" s="31">
        <v>1314.17</v>
      </c>
      <c r="O19" s="10"/>
      <c r="P19" s="38">
        <f>600+125</f>
        <v>725</v>
      </c>
      <c r="Q19" s="10"/>
      <c r="R19" s="40">
        <f t="shared" si="2"/>
        <v>-125</v>
      </c>
      <c r="S19" s="51" t="str">
        <f t="shared" si="3"/>
        <v>Over Budget</v>
      </c>
      <c r="T19" s="7"/>
      <c r="U19" s="5"/>
      <c r="V19" s="10"/>
      <c r="W19" s="90"/>
      <c r="X19" s="72"/>
      <c r="Y19" s="5"/>
    </row>
    <row r="20" spans="1:25" s="9" customFormat="1" x14ac:dyDescent="0.3">
      <c r="A20" s="27"/>
      <c r="B20" s="1" t="s">
        <v>179</v>
      </c>
      <c r="C20" s="1"/>
      <c r="D20" s="210" t="s">
        <v>318</v>
      </c>
      <c r="E20" s="49">
        <v>2700</v>
      </c>
      <c r="F20" s="136">
        <f t="shared" si="6"/>
        <v>1755</v>
      </c>
      <c r="G20" s="40"/>
      <c r="H20" s="40"/>
      <c r="I20" s="10"/>
      <c r="J20" s="10">
        <v>0</v>
      </c>
      <c r="K20" s="10">
        <v>0</v>
      </c>
      <c r="L20" s="40">
        <f t="shared" si="1"/>
        <v>0</v>
      </c>
      <c r="M20" s="10"/>
      <c r="N20" s="31">
        <v>5000</v>
      </c>
      <c r="O20" s="10"/>
      <c r="P20" s="37"/>
      <c r="Q20" s="10"/>
      <c r="R20" s="40">
        <f t="shared" si="2"/>
        <v>0</v>
      </c>
      <c r="S20" s="51" t="str">
        <f t="shared" si="3"/>
        <v>In Budget</v>
      </c>
      <c r="T20" s="7"/>
      <c r="U20" s="5"/>
      <c r="V20" s="10"/>
      <c r="W20" s="90"/>
      <c r="X20" s="72"/>
      <c r="Y20" s="5"/>
    </row>
    <row r="21" spans="1:25" x14ac:dyDescent="0.3">
      <c r="B21" s="1" t="s">
        <v>20</v>
      </c>
      <c r="C21" s="1"/>
      <c r="D21" s="2" t="s">
        <v>319</v>
      </c>
      <c r="E21" s="40">
        <v>2356</v>
      </c>
      <c r="F21" s="138">
        <f t="shared" si="6"/>
        <v>1531.4</v>
      </c>
      <c r="G21" s="40"/>
      <c r="H21" s="40"/>
      <c r="I21" s="10"/>
      <c r="J21" s="10">
        <v>3000</v>
      </c>
      <c r="K21" s="10"/>
      <c r="L21" s="40">
        <f t="shared" si="1"/>
        <v>3000</v>
      </c>
      <c r="M21" s="10"/>
      <c r="N21" s="31">
        <v>2750</v>
      </c>
      <c r="O21" s="10"/>
      <c r="P21" s="38">
        <f>900+300+300+325+325+325+650</f>
        <v>3125</v>
      </c>
      <c r="Q21" s="10"/>
      <c r="R21" s="40">
        <f t="shared" si="2"/>
        <v>-125</v>
      </c>
      <c r="S21" s="51" t="str">
        <f t="shared" si="3"/>
        <v>Over Budget</v>
      </c>
      <c r="U21" s="2"/>
      <c r="V21" s="10"/>
      <c r="W21" s="90"/>
      <c r="X21" s="72"/>
    </row>
    <row r="22" spans="1:25" x14ac:dyDescent="0.3">
      <c r="B22" s="1" t="s">
        <v>21</v>
      </c>
      <c r="C22" s="1"/>
      <c r="D22" s="2" t="s">
        <v>320</v>
      </c>
      <c r="E22" s="40">
        <v>9188</v>
      </c>
      <c r="F22" s="139">
        <f t="shared" si="6"/>
        <v>5972.2</v>
      </c>
      <c r="G22" s="40"/>
      <c r="H22" s="40"/>
      <c r="I22" s="10"/>
      <c r="J22" s="10">
        <v>6000</v>
      </c>
      <c r="K22" s="10"/>
      <c r="L22" s="40">
        <f t="shared" si="1"/>
        <v>6000</v>
      </c>
      <c r="M22" s="10"/>
      <c r="N22" s="31">
        <v>7000</v>
      </c>
      <c r="O22" s="10"/>
      <c r="P22" s="36">
        <f>430+430+430+430+430+430+430+430+430</f>
        <v>3870</v>
      </c>
      <c r="Q22" s="10"/>
      <c r="R22" s="40">
        <f t="shared" si="2"/>
        <v>2130</v>
      </c>
      <c r="S22" s="51" t="str">
        <f t="shared" si="3"/>
        <v>In Budget</v>
      </c>
      <c r="U22" s="2"/>
      <c r="V22" s="10"/>
      <c r="W22" s="90"/>
      <c r="X22" s="72"/>
    </row>
    <row r="23" spans="1:25" x14ac:dyDescent="0.3">
      <c r="B23" s="1" t="s">
        <v>22</v>
      </c>
      <c r="C23" s="1"/>
      <c r="D23" s="2" t="s">
        <v>321</v>
      </c>
      <c r="E23" s="40">
        <v>4830</v>
      </c>
      <c r="F23" s="140">
        <f t="shared" si="6"/>
        <v>3139.5</v>
      </c>
      <c r="G23" s="40"/>
      <c r="H23" s="40"/>
      <c r="I23" s="10"/>
      <c r="J23" s="10">
        <v>0</v>
      </c>
      <c r="K23" s="10"/>
      <c r="L23" s="40">
        <f t="shared" si="1"/>
        <v>0</v>
      </c>
      <c r="M23" s="10"/>
      <c r="N23" s="31"/>
      <c r="O23" s="10"/>
      <c r="P23" s="37"/>
      <c r="Q23" s="10"/>
      <c r="R23" s="11"/>
      <c r="S23" s="10"/>
      <c r="U23" s="2"/>
      <c r="V23" s="10"/>
      <c r="W23" s="90"/>
      <c r="X23" s="72"/>
    </row>
    <row r="24" spans="1:25" ht="19.5" thickBot="1" x14ac:dyDescent="0.35">
      <c r="B24" s="1" t="s">
        <v>23</v>
      </c>
      <c r="C24" s="1"/>
      <c r="D24" s="2" t="s">
        <v>322</v>
      </c>
      <c r="E24" s="40">
        <v>5194</v>
      </c>
      <c r="F24" s="141">
        <f t="shared" si="6"/>
        <v>3376.1</v>
      </c>
      <c r="G24" s="40"/>
      <c r="H24" s="40"/>
      <c r="I24" s="10"/>
      <c r="J24" s="10">
        <v>0</v>
      </c>
      <c r="K24" s="10"/>
      <c r="L24" s="40">
        <f t="shared" si="1"/>
        <v>0</v>
      </c>
      <c r="M24" s="10"/>
      <c r="N24" s="31"/>
      <c r="O24" s="10"/>
      <c r="P24" s="37"/>
      <c r="Q24" s="10"/>
      <c r="R24" s="11"/>
      <c r="S24" s="10"/>
      <c r="U24" s="2"/>
      <c r="V24" s="10"/>
      <c r="W24" s="90"/>
      <c r="X24" s="72"/>
    </row>
    <row r="25" spans="1:25" x14ac:dyDescent="0.3">
      <c r="B25" s="1" t="s">
        <v>24</v>
      </c>
      <c r="C25" s="1"/>
      <c r="D25" s="2" t="s">
        <v>323</v>
      </c>
      <c r="E25" s="40">
        <v>4230</v>
      </c>
      <c r="F25" s="142">
        <f t="shared" si="6"/>
        <v>2749.5</v>
      </c>
      <c r="G25" s="40"/>
      <c r="H25" s="45"/>
      <c r="I25" s="12"/>
      <c r="J25" s="96">
        <v>2500</v>
      </c>
      <c r="K25" s="10"/>
      <c r="L25" s="49">
        <f>SUM(H25:J29)</f>
        <v>2500</v>
      </c>
      <c r="M25" s="10"/>
      <c r="N25" s="31">
        <v>8000</v>
      </c>
      <c r="O25" s="10"/>
      <c r="P25" s="36">
        <f>2395+50+375</f>
        <v>2820</v>
      </c>
      <c r="Q25" s="10"/>
      <c r="R25" s="40">
        <f>L25-P25</f>
        <v>-320</v>
      </c>
      <c r="S25" s="51" t="str">
        <f t="shared" ref="S25" si="7">IF(P25&gt;L25,"Over Budget","In Budget")</f>
        <v>Over Budget</v>
      </c>
      <c r="U25" s="2"/>
      <c r="V25" s="10"/>
      <c r="W25" s="90"/>
      <c r="X25" s="72"/>
    </row>
    <row r="26" spans="1:25" x14ac:dyDescent="0.3">
      <c r="B26" s="1" t="s">
        <v>25</v>
      </c>
      <c r="C26" s="1"/>
      <c r="D26" s="2" t="s">
        <v>324</v>
      </c>
      <c r="E26" s="40">
        <v>4246</v>
      </c>
      <c r="F26" s="143">
        <f t="shared" si="6"/>
        <v>2759.9</v>
      </c>
      <c r="G26" s="40"/>
      <c r="H26" s="46"/>
      <c r="I26" s="10"/>
      <c r="J26" s="14"/>
      <c r="K26" s="10"/>
      <c r="L26" s="40"/>
      <c r="M26" s="10"/>
      <c r="N26" s="31"/>
      <c r="O26" s="10"/>
      <c r="P26" s="37"/>
      <c r="Q26" s="10"/>
      <c r="R26" s="11"/>
      <c r="S26" s="10"/>
      <c r="U26" s="2"/>
      <c r="V26" s="10"/>
      <c r="W26" s="90"/>
      <c r="X26" s="72"/>
    </row>
    <row r="27" spans="1:25" x14ac:dyDescent="0.3">
      <c r="B27" s="1" t="s">
        <v>26</v>
      </c>
      <c r="C27" s="1"/>
      <c r="D27" s="2" t="s">
        <v>325</v>
      </c>
      <c r="E27" s="40">
        <v>7000</v>
      </c>
      <c r="F27" s="144">
        <f t="shared" si="6"/>
        <v>4550</v>
      </c>
      <c r="G27" s="40"/>
      <c r="H27" s="46"/>
      <c r="I27" s="10"/>
      <c r="J27" s="47"/>
      <c r="K27" s="10"/>
      <c r="L27" s="40"/>
      <c r="M27" s="10"/>
      <c r="N27" s="31"/>
      <c r="O27" s="10"/>
      <c r="P27" s="37"/>
      <c r="Q27" s="10"/>
      <c r="R27" s="11"/>
      <c r="S27" s="10"/>
      <c r="U27" s="2"/>
      <c r="V27" s="10"/>
      <c r="W27" s="90"/>
      <c r="X27" s="72"/>
    </row>
    <row r="28" spans="1:25" x14ac:dyDescent="0.3">
      <c r="B28" s="1" t="s">
        <v>27</v>
      </c>
      <c r="C28" s="1"/>
      <c r="D28" s="2" t="s">
        <v>326</v>
      </c>
      <c r="E28" s="40">
        <v>6784</v>
      </c>
      <c r="F28" s="49">
        <f t="shared" si="6"/>
        <v>4409.6000000000004</v>
      </c>
      <c r="G28" s="40"/>
      <c r="H28" s="46"/>
      <c r="I28" s="10"/>
      <c r="J28" s="14"/>
      <c r="K28" s="10"/>
      <c r="L28" s="40"/>
      <c r="M28" s="10"/>
      <c r="N28" s="31"/>
      <c r="O28" s="10"/>
      <c r="P28" s="37"/>
      <c r="Q28" s="10"/>
      <c r="R28" s="11"/>
      <c r="S28" s="10"/>
      <c r="U28" s="2"/>
      <c r="V28" s="10"/>
      <c r="W28" s="90"/>
      <c r="X28" s="72"/>
    </row>
    <row r="29" spans="1:25" ht="19.5" thickBot="1" x14ac:dyDescent="0.35">
      <c r="B29" s="1" t="s">
        <v>28</v>
      </c>
      <c r="C29" s="1"/>
      <c r="D29" s="2" t="s">
        <v>327</v>
      </c>
      <c r="E29" s="40">
        <v>2000</v>
      </c>
      <c r="F29" s="145">
        <f t="shared" si="6"/>
        <v>1300</v>
      </c>
      <c r="G29" s="40"/>
      <c r="H29" s="48"/>
      <c r="I29" s="15"/>
      <c r="J29" s="16"/>
      <c r="K29" s="10"/>
      <c r="L29" s="40"/>
      <c r="M29" s="10"/>
      <c r="N29" s="31"/>
      <c r="O29" s="10"/>
      <c r="P29" s="37"/>
      <c r="Q29" s="10"/>
      <c r="R29" s="11"/>
      <c r="S29" s="10"/>
      <c r="U29" s="2"/>
      <c r="V29" s="26"/>
      <c r="W29" s="90"/>
      <c r="X29" s="78"/>
      <c r="Y29" s="22"/>
    </row>
    <row r="30" spans="1:25" x14ac:dyDescent="0.3">
      <c r="B30" s="1" t="s">
        <v>29</v>
      </c>
      <c r="C30" s="1"/>
      <c r="D30" s="2" t="s">
        <v>328</v>
      </c>
      <c r="E30" s="40">
        <v>1500</v>
      </c>
      <c r="F30" s="146">
        <f t="shared" si="6"/>
        <v>975</v>
      </c>
      <c r="G30" s="40"/>
      <c r="H30" s="40"/>
      <c r="I30" s="33"/>
      <c r="J30" s="10">
        <f>SUM(J3*0.14)+35</f>
        <v>692.72</v>
      </c>
      <c r="K30" s="33"/>
      <c r="L30" s="40">
        <f t="shared" ref="L30:L43" si="8">SUM(H30:J30)</f>
        <v>692.72</v>
      </c>
      <c r="M30" s="33"/>
      <c r="N30" s="31">
        <v>575</v>
      </c>
      <c r="O30" s="33"/>
      <c r="P30" s="38">
        <f>610.74</f>
        <v>610.74</v>
      </c>
      <c r="Q30" s="26"/>
      <c r="R30" s="40">
        <f t="shared" ref="R30:R39" si="9">L30-P30</f>
        <v>81.980000000000018</v>
      </c>
      <c r="S30" s="51" t="str">
        <f t="shared" ref="S30:S39" si="10">IF(P30&gt;L30,"Over Budget","In Budget")</f>
        <v>In Budget</v>
      </c>
      <c r="U30" s="2"/>
      <c r="V30" s="10"/>
      <c r="W30" s="90"/>
      <c r="X30" s="78"/>
      <c r="Y30" s="22"/>
    </row>
    <row r="31" spans="1:25" s="9" customFormat="1" x14ac:dyDescent="0.3">
      <c r="A31" s="27"/>
      <c r="B31" s="1" t="s">
        <v>30</v>
      </c>
      <c r="C31" s="1"/>
      <c r="D31" s="2" t="s">
        <v>307</v>
      </c>
      <c r="E31" s="49">
        <v>7038</v>
      </c>
      <c r="F31" s="147">
        <f t="shared" si="6"/>
        <v>4574.7</v>
      </c>
      <c r="G31" s="40"/>
      <c r="H31" s="40"/>
      <c r="I31" s="10"/>
      <c r="J31" s="10">
        <f>SUM(J4*0.4)</f>
        <v>1879.2</v>
      </c>
      <c r="K31" s="10"/>
      <c r="L31" s="40">
        <f t="shared" si="8"/>
        <v>1879.2</v>
      </c>
      <c r="M31" s="10"/>
      <c r="N31" s="31">
        <v>2100</v>
      </c>
      <c r="O31" s="10"/>
      <c r="P31" s="38">
        <f>1960-182.76</f>
        <v>1777.24</v>
      </c>
      <c r="Q31" s="10"/>
      <c r="R31" s="40">
        <f t="shared" si="9"/>
        <v>101.96000000000004</v>
      </c>
      <c r="S31" s="51" t="str">
        <f t="shared" si="10"/>
        <v>In Budget</v>
      </c>
      <c r="T31" s="79">
        <f>X31</f>
        <v>1960</v>
      </c>
      <c r="U31" s="2"/>
      <c r="V31" s="10"/>
      <c r="W31" s="89">
        <v>0.1</v>
      </c>
      <c r="X31" s="84">
        <v>1960</v>
      </c>
      <c r="Y31" s="82" t="s">
        <v>228</v>
      </c>
    </row>
    <row r="32" spans="1:25" x14ac:dyDescent="0.3">
      <c r="B32" s="1" t="s">
        <v>32</v>
      </c>
      <c r="C32" s="1"/>
      <c r="D32" s="2" t="s">
        <v>309</v>
      </c>
      <c r="E32" s="49">
        <v>3554</v>
      </c>
      <c r="F32" s="148">
        <f t="shared" si="6"/>
        <v>2310.1</v>
      </c>
      <c r="G32" s="40"/>
      <c r="H32" s="40"/>
      <c r="I32" s="10"/>
      <c r="J32" s="10">
        <f>SUM(J3/45*160)</f>
        <v>16704</v>
      </c>
      <c r="K32" s="10"/>
      <c r="L32" s="40">
        <f t="shared" si="8"/>
        <v>16704</v>
      </c>
      <c r="M32" s="10"/>
      <c r="N32" s="31">
        <v>18000</v>
      </c>
      <c r="O32" s="10"/>
      <c r="P32" s="38">
        <f>16624.71+679</f>
        <v>17303.71</v>
      </c>
      <c r="Q32" s="10"/>
      <c r="R32" s="40">
        <f t="shared" si="9"/>
        <v>-599.70999999999913</v>
      </c>
      <c r="S32" s="51" t="str">
        <f t="shared" si="10"/>
        <v>Over Budget</v>
      </c>
      <c r="T32" s="79">
        <f>X32</f>
        <v>18700</v>
      </c>
      <c r="U32" s="2"/>
      <c r="V32" s="10"/>
      <c r="W32" s="90"/>
      <c r="X32" s="84">
        <v>18700</v>
      </c>
      <c r="Y32" s="82" t="s">
        <v>227</v>
      </c>
    </row>
    <row r="33" spans="2:25" x14ac:dyDescent="0.3">
      <c r="B33" s="1" t="s">
        <v>34</v>
      </c>
      <c r="C33" s="1"/>
      <c r="D33" s="2" t="s">
        <v>308</v>
      </c>
      <c r="E33" s="49">
        <v>1818</v>
      </c>
      <c r="F33" s="149">
        <f t="shared" si="6"/>
        <v>1181.7</v>
      </c>
      <c r="G33" s="40"/>
      <c r="H33" s="40"/>
      <c r="I33" s="10"/>
      <c r="J33" s="10">
        <f>SUM(J4*2)</f>
        <v>9396</v>
      </c>
      <c r="K33" s="10"/>
      <c r="L33" s="40">
        <f t="shared" si="8"/>
        <v>9396</v>
      </c>
      <c r="M33" s="10"/>
      <c r="N33" s="31">
        <v>9500</v>
      </c>
      <c r="O33" s="10"/>
      <c r="P33" s="38">
        <f>9200</f>
        <v>9200</v>
      </c>
      <c r="Q33" s="10"/>
      <c r="R33" s="40">
        <f t="shared" si="9"/>
        <v>196</v>
      </c>
      <c r="S33" s="51" t="str">
        <f t="shared" si="10"/>
        <v>In Budget</v>
      </c>
      <c r="T33" s="79">
        <f>X34</f>
        <v>9200</v>
      </c>
      <c r="U33" s="2"/>
      <c r="V33" s="10"/>
      <c r="W33" s="90"/>
      <c r="X33" s="78">
        <v>8500</v>
      </c>
      <c r="Y33" s="22" t="s">
        <v>216</v>
      </c>
    </row>
    <row r="34" spans="2:25" x14ac:dyDescent="0.3">
      <c r="B34" s="1"/>
      <c r="C34" s="1"/>
      <c r="D34" s="2" t="s">
        <v>329</v>
      </c>
      <c r="E34" s="40">
        <v>5500</v>
      </c>
      <c r="F34" s="150">
        <f t="shared" si="6"/>
        <v>3575</v>
      </c>
      <c r="G34" s="40"/>
      <c r="H34" s="40"/>
      <c r="I34" s="10"/>
      <c r="J34" s="10">
        <v>0</v>
      </c>
      <c r="K34" s="10"/>
      <c r="L34" s="40">
        <f t="shared" si="8"/>
        <v>0</v>
      </c>
      <c r="M34" s="10"/>
      <c r="N34" s="31"/>
      <c r="O34" s="10"/>
      <c r="P34" s="37"/>
      <c r="Q34" s="10"/>
      <c r="R34" s="40"/>
      <c r="S34" s="51"/>
      <c r="U34" s="2"/>
      <c r="V34" s="10"/>
      <c r="W34" s="90"/>
      <c r="X34" s="84">
        <v>9200</v>
      </c>
      <c r="Y34" s="82" t="s">
        <v>217</v>
      </c>
    </row>
    <row r="35" spans="2:25" x14ac:dyDescent="0.3">
      <c r="B35" s="1" t="s">
        <v>36</v>
      </c>
      <c r="C35" s="1"/>
      <c r="D35" s="2" t="s">
        <v>330</v>
      </c>
      <c r="E35" s="40">
        <v>3458</v>
      </c>
      <c r="F35" s="151">
        <f t="shared" si="6"/>
        <v>2247.7000000000003</v>
      </c>
      <c r="G35" s="40"/>
      <c r="H35" s="40"/>
      <c r="I35" s="10"/>
      <c r="J35" s="10">
        <v>1250</v>
      </c>
      <c r="K35" s="10"/>
      <c r="L35" s="40">
        <f t="shared" si="8"/>
        <v>1250</v>
      </c>
      <c r="M35" s="10"/>
      <c r="N35" s="31">
        <v>1800</v>
      </c>
      <c r="O35" s="10"/>
      <c r="P35" s="38">
        <f>1131.25</f>
        <v>1131.25</v>
      </c>
      <c r="Q35" s="10"/>
      <c r="R35" s="40">
        <f t="shared" si="9"/>
        <v>118.75</v>
      </c>
      <c r="S35" s="51" t="str">
        <f t="shared" si="10"/>
        <v>In Budget</v>
      </c>
      <c r="T35" s="79">
        <f>X35</f>
        <v>1868</v>
      </c>
      <c r="U35" s="2"/>
      <c r="V35" s="10"/>
      <c r="W35" s="90"/>
      <c r="X35" s="78">
        <v>1868</v>
      </c>
      <c r="Y35" s="22" t="s">
        <v>229</v>
      </c>
    </row>
    <row r="36" spans="2:25" x14ac:dyDescent="0.3">
      <c r="B36" s="1" t="s">
        <v>37</v>
      </c>
      <c r="C36" s="1"/>
      <c r="D36" s="2" t="s">
        <v>331</v>
      </c>
      <c r="E36" s="40">
        <v>2829</v>
      </c>
      <c r="F36" s="152">
        <f t="shared" si="6"/>
        <v>1838.8500000000001</v>
      </c>
      <c r="G36" s="40"/>
      <c r="H36" s="40"/>
      <c r="I36" s="10"/>
      <c r="J36" s="10">
        <v>350</v>
      </c>
      <c r="K36" s="10"/>
      <c r="L36" s="40">
        <f t="shared" si="8"/>
        <v>350</v>
      </c>
      <c r="M36" s="10"/>
      <c r="N36" s="31">
        <v>350</v>
      </c>
      <c r="O36" s="10"/>
      <c r="P36" s="38">
        <f>350</f>
        <v>350</v>
      </c>
      <c r="Q36" s="10"/>
      <c r="R36" s="40">
        <f t="shared" si="9"/>
        <v>0</v>
      </c>
      <c r="S36" s="51" t="str">
        <f t="shared" si="10"/>
        <v>In Budget</v>
      </c>
      <c r="U36" s="2"/>
      <c r="V36" s="10"/>
      <c r="W36" s="90"/>
      <c r="X36" s="78">
        <v>11600</v>
      </c>
      <c r="Y36" s="22" t="s">
        <v>227</v>
      </c>
    </row>
    <row r="37" spans="2:25" x14ac:dyDescent="0.3">
      <c r="B37" s="1" t="s">
        <v>38</v>
      </c>
      <c r="C37" s="1"/>
      <c r="D37" s="2" t="s">
        <v>332</v>
      </c>
      <c r="E37" s="40">
        <v>8085</v>
      </c>
      <c r="F37" s="153">
        <f t="shared" si="6"/>
        <v>5255.25</v>
      </c>
      <c r="G37" s="40"/>
      <c r="H37" s="40"/>
      <c r="I37" s="10"/>
      <c r="J37" s="10">
        <f>N4*2</f>
        <v>11975</v>
      </c>
      <c r="K37" s="10"/>
      <c r="L37" s="40">
        <f t="shared" si="8"/>
        <v>11975</v>
      </c>
      <c r="M37" s="10"/>
      <c r="N37" s="31">
        <v>11000</v>
      </c>
      <c r="O37" s="10"/>
      <c r="P37" s="38">
        <f>8506.72+3182.05</f>
        <v>11688.77</v>
      </c>
      <c r="Q37" s="10"/>
      <c r="R37" s="40">
        <f t="shared" si="9"/>
        <v>286.22999999999956</v>
      </c>
      <c r="S37" s="51" t="str">
        <f t="shared" si="10"/>
        <v>In Budget</v>
      </c>
      <c r="T37" s="79">
        <f>X36</f>
        <v>11600</v>
      </c>
      <c r="U37" s="2"/>
      <c r="V37" s="10"/>
      <c r="W37" s="90"/>
      <c r="X37" s="78">
        <v>6400</v>
      </c>
      <c r="Y37" s="22" t="s">
        <v>228</v>
      </c>
    </row>
    <row r="38" spans="2:25" x14ac:dyDescent="0.3">
      <c r="B38" s="1" t="s">
        <v>39</v>
      </c>
      <c r="C38" s="1"/>
      <c r="D38" s="2" t="s">
        <v>333</v>
      </c>
      <c r="E38" s="40">
        <v>3120</v>
      </c>
      <c r="F38" s="154">
        <f t="shared" si="6"/>
        <v>2028</v>
      </c>
      <c r="G38" s="40"/>
      <c r="H38" s="40"/>
      <c r="I38" s="10"/>
      <c r="J38" s="10">
        <v>6200</v>
      </c>
      <c r="K38" s="10"/>
      <c r="L38" s="40">
        <f t="shared" si="8"/>
        <v>6200</v>
      </c>
      <c r="M38" s="10"/>
      <c r="N38" s="31">
        <v>6200</v>
      </c>
      <c r="O38" s="10"/>
      <c r="P38" s="38">
        <f>5911.92+118.58</f>
        <v>6030.5</v>
      </c>
      <c r="Q38" s="10"/>
      <c r="R38" s="40">
        <f t="shared" si="9"/>
        <v>169.5</v>
      </c>
      <c r="S38" s="51" t="str">
        <f t="shared" si="10"/>
        <v>In Budget</v>
      </c>
      <c r="T38" s="79">
        <f>X37</f>
        <v>6400</v>
      </c>
      <c r="U38" s="2"/>
      <c r="V38" s="10"/>
      <c r="W38" s="90"/>
      <c r="X38" s="78"/>
      <c r="Y38" s="22"/>
    </row>
    <row r="39" spans="2:25" x14ac:dyDescent="0.3">
      <c r="B39" s="1" t="s">
        <v>41</v>
      </c>
      <c r="C39" s="1"/>
      <c r="D39" s="2"/>
      <c r="E39" s="40"/>
      <c r="F39" s="155"/>
      <c r="G39" s="40"/>
      <c r="H39" s="40"/>
      <c r="I39" s="10"/>
      <c r="J39" s="10">
        <f>SUM(N4*1.85)</f>
        <v>11076.875</v>
      </c>
      <c r="K39" s="10"/>
      <c r="L39" s="40">
        <f t="shared" si="8"/>
        <v>11076.875</v>
      </c>
      <c r="M39" s="10"/>
      <c r="N39" s="31">
        <v>11650</v>
      </c>
      <c r="O39" s="10"/>
      <c r="P39" s="38">
        <f>10262.75</f>
        <v>10262.75</v>
      </c>
      <c r="Q39" s="10"/>
      <c r="R39" s="40">
        <f t="shared" si="9"/>
        <v>814.125</v>
      </c>
      <c r="S39" s="51" t="str">
        <f t="shared" si="10"/>
        <v>In Budget</v>
      </c>
      <c r="U39" s="2"/>
      <c r="V39" s="10"/>
      <c r="W39" s="90"/>
      <c r="X39" s="78"/>
      <c r="Y39" s="22"/>
    </row>
    <row r="40" spans="2:25" x14ac:dyDescent="0.3">
      <c r="B40" s="1" t="s">
        <v>42</v>
      </c>
      <c r="C40" s="1"/>
      <c r="D40" s="2" t="s">
        <v>335</v>
      </c>
      <c r="E40" s="101">
        <v>-1500</v>
      </c>
      <c r="F40" s="101">
        <f>E40</f>
        <v>-1500</v>
      </c>
      <c r="G40" s="40"/>
      <c r="H40" s="40"/>
      <c r="I40" s="10"/>
      <c r="J40" s="10">
        <v>0</v>
      </c>
      <c r="K40" s="10"/>
      <c r="L40" s="40">
        <f t="shared" si="8"/>
        <v>0</v>
      </c>
      <c r="M40" s="10"/>
      <c r="N40" s="31"/>
      <c r="O40" s="10"/>
      <c r="P40" s="37"/>
      <c r="Q40" s="10"/>
      <c r="R40" s="11"/>
      <c r="S40" s="10"/>
      <c r="U40" s="2"/>
      <c r="V40" s="10"/>
      <c r="W40" s="90"/>
      <c r="X40" s="72"/>
    </row>
    <row r="41" spans="2:25" x14ac:dyDescent="0.3">
      <c r="B41" s="1" t="s">
        <v>44</v>
      </c>
      <c r="C41" s="1"/>
      <c r="D41" s="2" t="s">
        <v>336</v>
      </c>
      <c r="E41" s="40">
        <v>1703</v>
      </c>
      <c r="F41" s="156">
        <f t="shared" si="6"/>
        <v>1106.95</v>
      </c>
      <c r="G41" s="40"/>
      <c r="H41" s="40"/>
      <c r="I41" s="10"/>
      <c r="J41" s="10">
        <v>4500</v>
      </c>
      <c r="K41" s="10"/>
      <c r="L41" s="40">
        <f t="shared" si="8"/>
        <v>4500</v>
      </c>
      <c r="M41" s="10"/>
      <c r="N41" s="31">
        <v>4700</v>
      </c>
      <c r="O41" s="10"/>
      <c r="P41" s="38">
        <f>4415.37</f>
        <v>4415.37</v>
      </c>
      <c r="Q41" s="10"/>
      <c r="R41" s="40">
        <f t="shared" ref="R41:R44" si="11">L41-P41</f>
        <v>84.630000000000109</v>
      </c>
      <c r="S41" s="51" t="str">
        <f t="shared" ref="S41:S44" si="12">IF(P41&gt;L41,"Over Budget","In Budget")</f>
        <v>In Budget</v>
      </c>
      <c r="U41" s="2"/>
      <c r="V41" s="10"/>
      <c r="W41" s="90"/>
      <c r="X41" s="72"/>
    </row>
    <row r="42" spans="2:25" x14ac:dyDescent="0.3">
      <c r="B42" s="1" t="s">
        <v>46</v>
      </c>
      <c r="C42" s="1"/>
      <c r="D42" s="2" t="s">
        <v>337</v>
      </c>
      <c r="E42" s="40">
        <v>1500</v>
      </c>
      <c r="F42" s="157">
        <f t="shared" si="6"/>
        <v>975</v>
      </c>
      <c r="G42" s="40"/>
      <c r="H42" s="40"/>
      <c r="I42" s="10"/>
      <c r="J42" s="10">
        <v>1200</v>
      </c>
      <c r="K42" s="10"/>
      <c r="L42" s="40">
        <f t="shared" si="8"/>
        <v>1200</v>
      </c>
      <c r="M42" s="10"/>
      <c r="N42" s="31">
        <v>1325</v>
      </c>
      <c r="O42" s="10"/>
      <c r="P42" s="37"/>
      <c r="Q42" s="10"/>
      <c r="R42" s="40">
        <f t="shared" si="11"/>
        <v>1200</v>
      </c>
      <c r="S42" s="51" t="str">
        <f t="shared" si="12"/>
        <v>In Budget</v>
      </c>
      <c r="U42" s="2"/>
      <c r="V42" s="10"/>
      <c r="W42" s="94"/>
    </row>
    <row r="43" spans="2:25" ht="19.5" thickBot="1" x14ac:dyDescent="0.35">
      <c r="B43" s="1" t="s">
        <v>47</v>
      </c>
      <c r="C43" s="1"/>
      <c r="D43" s="2" t="s">
        <v>338</v>
      </c>
      <c r="E43" s="40">
        <v>1500</v>
      </c>
      <c r="F43" s="158">
        <f t="shared" si="6"/>
        <v>975</v>
      </c>
      <c r="G43" s="40"/>
      <c r="H43" s="40"/>
      <c r="I43" s="10"/>
      <c r="J43" s="10">
        <f>SUM(J4*4.25)</f>
        <v>19966.5</v>
      </c>
      <c r="K43" s="10"/>
      <c r="L43" s="40">
        <f t="shared" si="8"/>
        <v>19966.5</v>
      </c>
      <c r="M43" s="10"/>
      <c r="N43" s="31">
        <v>13845</v>
      </c>
      <c r="O43" s="10"/>
      <c r="P43" s="38">
        <f>17297.94</f>
        <v>17297.939999999999</v>
      </c>
      <c r="Q43" s="10"/>
      <c r="R43" s="40">
        <f t="shared" si="11"/>
        <v>2668.5600000000013</v>
      </c>
      <c r="S43" s="51" t="str">
        <f t="shared" si="12"/>
        <v>In Budget</v>
      </c>
      <c r="T43" s="79">
        <f>X43</f>
        <v>17297.939999999999</v>
      </c>
      <c r="U43" s="2"/>
      <c r="V43" s="10"/>
      <c r="W43" s="94"/>
      <c r="X43" s="79">
        <v>17297.939999999999</v>
      </c>
      <c r="Y43" s="81" t="s">
        <v>153</v>
      </c>
    </row>
    <row r="44" spans="2:25" x14ac:dyDescent="0.3">
      <c r="B44" s="1" t="s">
        <v>48</v>
      </c>
      <c r="C44" s="1"/>
      <c r="D44" s="2" t="s">
        <v>339</v>
      </c>
      <c r="E44" s="40">
        <v>3600</v>
      </c>
      <c r="F44" s="159">
        <f t="shared" si="6"/>
        <v>2340</v>
      </c>
      <c r="G44" s="40"/>
      <c r="H44" s="45"/>
      <c r="I44" s="12"/>
      <c r="J44" s="13">
        <f>SUM(J4*7)</f>
        <v>32886</v>
      </c>
      <c r="K44" s="10"/>
      <c r="L44" s="40">
        <f>SUM(H44:J46)</f>
        <v>32886</v>
      </c>
      <c r="M44" s="10"/>
      <c r="N44" s="31">
        <v>41000</v>
      </c>
      <c r="O44" s="10"/>
      <c r="P44" s="38">
        <f>28210.47+523.49+310.86</f>
        <v>29044.820000000003</v>
      </c>
      <c r="Q44" s="10"/>
      <c r="R44" s="40">
        <f t="shared" si="11"/>
        <v>3841.1799999999967</v>
      </c>
      <c r="S44" s="51" t="str">
        <f t="shared" si="12"/>
        <v>In Budget</v>
      </c>
      <c r="T44" s="79">
        <f>X44</f>
        <v>19599.2</v>
      </c>
      <c r="U44" s="11"/>
      <c r="V44" s="10"/>
      <c r="W44" s="90"/>
      <c r="X44" s="79">
        <v>19599.2</v>
      </c>
      <c r="Y44" s="83" t="s">
        <v>147</v>
      </c>
    </row>
    <row r="45" spans="2:25" x14ac:dyDescent="0.3">
      <c r="B45" s="1" t="s">
        <v>160</v>
      </c>
      <c r="C45" s="1"/>
      <c r="D45" s="2" t="s">
        <v>340</v>
      </c>
      <c r="E45" s="40">
        <v>2500</v>
      </c>
      <c r="F45" s="160">
        <f t="shared" si="6"/>
        <v>1625</v>
      </c>
      <c r="G45" s="40"/>
      <c r="H45" s="46"/>
      <c r="I45" s="10"/>
      <c r="J45" s="14">
        <v>0</v>
      </c>
      <c r="K45" s="10"/>
      <c r="L45" s="40"/>
      <c r="M45" s="10"/>
      <c r="N45" s="32"/>
      <c r="O45" s="10"/>
      <c r="P45" s="37"/>
      <c r="Q45" s="10"/>
      <c r="R45" s="17"/>
      <c r="S45" s="10"/>
      <c r="U45" s="11"/>
      <c r="V45" s="10"/>
      <c r="W45" s="90"/>
      <c r="X45" s="50">
        <v>28679.67</v>
      </c>
      <c r="Y45" s="71" t="s">
        <v>221</v>
      </c>
    </row>
    <row r="46" spans="2:25" ht="19.5" thickBot="1" x14ac:dyDescent="0.35">
      <c r="B46" s="1" t="s">
        <v>50</v>
      </c>
      <c r="C46" s="1"/>
      <c r="D46" s="2" t="s">
        <v>341</v>
      </c>
      <c r="E46" s="40">
        <v>28185</v>
      </c>
      <c r="F46" s="161">
        <f t="shared" si="6"/>
        <v>18320.25</v>
      </c>
      <c r="G46" s="40"/>
      <c r="H46" s="48"/>
      <c r="I46" s="15"/>
      <c r="J46" s="16">
        <v>0</v>
      </c>
      <c r="K46" s="10"/>
      <c r="L46" s="40"/>
      <c r="M46" s="10"/>
      <c r="N46" s="31"/>
      <c r="O46" s="10"/>
      <c r="P46" s="37"/>
      <c r="Q46" s="10"/>
      <c r="R46" s="11"/>
      <c r="S46" s="10"/>
      <c r="U46" s="2"/>
      <c r="V46" s="10"/>
      <c r="W46" s="90"/>
      <c r="X46" s="73">
        <v>13172.63</v>
      </c>
      <c r="Y46" s="71" t="s">
        <v>222</v>
      </c>
    </row>
    <row r="47" spans="2:25" x14ac:dyDescent="0.3">
      <c r="B47" s="1" t="s">
        <v>51</v>
      </c>
      <c r="C47" s="1"/>
      <c r="D47" s="2" t="s">
        <v>342</v>
      </c>
      <c r="E47" s="40">
        <v>8735</v>
      </c>
      <c r="F47" s="103">
        <f t="shared" si="6"/>
        <v>5677.75</v>
      </c>
      <c r="G47" s="40"/>
      <c r="H47" s="45"/>
      <c r="I47" s="12"/>
      <c r="J47" s="13">
        <f>SUM(J4*5.75)</f>
        <v>27013.5</v>
      </c>
      <c r="K47" s="10"/>
      <c r="L47" s="40">
        <f>SUM(H47:J49)</f>
        <v>27013.5</v>
      </c>
      <c r="M47" s="10"/>
      <c r="N47" s="31">
        <v>36500</v>
      </c>
      <c r="O47" s="10"/>
      <c r="P47" s="38">
        <f>25369.2+250</f>
        <v>25619.200000000001</v>
      </c>
      <c r="Q47" s="10"/>
      <c r="R47" s="40">
        <f>L47-P47</f>
        <v>1394.2999999999993</v>
      </c>
      <c r="S47" s="51" t="str">
        <f t="shared" ref="S47" si="13">IF(P47&gt;L47,"Over Budget","In Budget")</f>
        <v>In Budget</v>
      </c>
      <c r="T47" s="79">
        <f>X47</f>
        <v>24904.7</v>
      </c>
      <c r="U47" s="2"/>
      <c r="V47" s="10"/>
      <c r="W47" s="90"/>
      <c r="X47" s="79">
        <v>24904.7</v>
      </c>
      <c r="Y47" s="81" t="s">
        <v>211</v>
      </c>
    </row>
    <row r="48" spans="2:25" x14ac:dyDescent="0.3">
      <c r="B48" s="1" t="s">
        <v>52</v>
      </c>
      <c r="C48" s="1"/>
      <c r="D48" s="2" t="s">
        <v>343</v>
      </c>
      <c r="E48" s="40">
        <v>1120</v>
      </c>
      <c r="F48" s="104">
        <f t="shared" si="6"/>
        <v>728</v>
      </c>
      <c r="G48" s="40"/>
      <c r="H48" s="46"/>
      <c r="I48" s="10"/>
      <c r="J48" s="14"/>
      <c r="K48" s="10"/>
      <c r="L48" s="40"/>
      <c r="M48" s="10"/>
      <c r="N48" s="31"/>
      <c r="O48" s="10"/>
      <c r="P48" s="37"/>
      <c r="Q48" s="10"/>
      <c r="R48" s="11"/>
      <c r="S48" s="10"/>
      <c r="U48" s="2"/>
      <c r="V48" s="10"/>
      <c r="W48" s="90"/>
      <c r="X48" s="73">
        <f>5.75*4699</f>
        <v>27019.25</v>
      </c>
      <c r="Y48" s="71" t="s">
        <v>225</v>
      </c>
    </row>
    <row r="49" spans="2:28" ht="19.5" thickBot="1" x14ac:dyDescent="0.35">
      <c r="B49" s="1" t="s">
        <v>53</v>
      </c>
      <c r="C49" s="1"/>
      <c r="D49" s="2" t="s">
        <v>344</v>
      </c>
      <c r="E49" s="40">
        <v>600</v>
      </c>
      <c r="F49" s="105">
        <f t="shared" si="6"/>
        <v>390</v>
      </c>
      <c r="G49" s="40"/>
      <c r="H49" s="48"/>
      <c r="I49" s="15"/>
      <c r="J49" s="16"/>
      <c r="K49" s="10"/>
      <c r="L49" s="40"/>
      <c r="M49" s="10"/>
      <c r="N49" s="31"/>
      <c r="O49" s="10"/>
      <c r="P49" s="37"/>
      <c r="Q49" s="10"/>
      <c r="R49" s="11"/>
      <c r="S49" s="10"/>
      <c r="U49" s="2"/>
      <c r="V49" s="10"/>
      <c r="W49" s="90"/>
      <c r="X49" s="50">
        <v>27489.15</v>
      </c>
      <c r="Y49" s="71" t="s">
        <v>212</v>
      </c>
    </row>
    <row r="50" spans="2:28" ht="19.5" thickBot="1" x14ac:dyDescent="0.35">
      <c r="B50" s="1"/>
      <c r="C50" s="1"/>
      <c r="D50" s="2" t="s">
        <v>345</v>
      </c>
      <c r="E50" s="40">
        <v>750</v>
      </c>
      <c r="F50" s="49">
        <f t="shared" si="6"/>
        <v>487.5</v>
      </c>
      <c r="G50" s="40"/>
      <c r="H50" s="40"/>
      <c r="I50" s="10"/>
      <c r="J50" s="14"/>
      <c r="K50" s="10"/>
      <c r="L50" s="40"/>
      <c r="M50" s="10"/>
      <c r="N50" s="31"/>
      <c r="O50" s="10"/>
      <c r="P50" s="37"/>
      <c r="Q50" s="10"/>
      <c r="R50" s="11"/>
      <c r="S50" s="10"/>
      <c r="U50" s="2"/>
      <c r="V50" s="10"/>
      <c r="W50" s="90"/>
      <c r="X50" s="73">
        <v>30543.5</v>
      </c>
      <c r="Y50" s="71" t="s">
        <v>213</v>
      </c>
    </row>
    <row r="51" spans="2:28" x14ac:dyDescent="0.3">
      <c r="B51" s="1" t="s">
        <v>40</v>
      </c>
      <c r="C51" s="1"/>
      <c r="D51" s="2" t="s">
        <v>346</v>
      </c>
      <c r="E51" s="40">
        <v>188</v>
      </c>
      <c r="F51" s="106">
        <f t="shared" si="6"/>
        <v>122.2</v>
      </c>
      <c r="G51" s="40"/>
      <c r="H51" s="45"/>
      <c r="I51" s="12"/>
      <c r="J51" s="13">
        <f>SUM(J3*N5)*7.5</f>
        <v>56376</v>
      </c>
      <c r="K51" s="10"/>
      <c r="L51" s="40">
        <f>SUM(H51:J53)</f>
        <v>56376</v>
      </c>
      <c r="M51" s="10"/>
      <c r="N51" s="31">
        <v>63250</v>
      </c>
      <c r="O51" s="10"/>
      <c r="P51" s="38">
        <f>38515.92+16506.85</f>
        <v>55022.77</v>
      </c>
      <c r="Q51" s="10"/>
      <c r="R51" s="40">
        <f t="shared" ref="R51" si="14">L51-P51</f>
        <v>1353.2300000000032</v>
      </c>
      <c r="S51" s="51" t="str">
        <f t="shared" ref="S51" si="15">IF(P51&gt;L51,"Over Budget","In Budget")</f>
        <v>In Budget</v>
      </c>
      <c r="T51" s="79">
        <f>X51</f>
        <v>55022.77</v>
      </c>
      <c r="U51" s="2"/>
      <c r="V51" s="10"/>
      <c r="W51" s="91">
        <v>0.14000000000000001</v>
      </c>
      <c r="X51" s="80">
        <v>55022.77</v>
      </c>
      <c r="Y51" s="83" t="s">
        <v>146</v>
      </c>
      <c r="AA51" s="73">
        <v>62979.61</v>
      </c>
      <c r="AB51" s="24" t="s">
        <v>146</v>
      </c>
    </row>
    <row r="52" spans="2:28" x14ac:dyDescent="0.3">
      <c r="B52" s="1" t="s">
        <v>54</v>
      </c>
      <c r="C52" s="1"/>
      <c r="D52" s="2" t="s">
        <v>347</v>
      </c>
      <c r="E52" s="40">
        <v>8539</v>
      </c>
      <c r="F52" s="107">
        <f t="shared" si="6"/>
        <v>5550.35</v>
      </c>
      <c r="G52" s="40"/>
      <c r="H52" s="46"/>
      <c r="I52" s="10"/>
      <c r="J52" s="14"/>
      <c r="K52" s="10"/>
      <c r="L52" s="40"/>
      <c r="M52" s="10"/>
      <c r="N52" s="31"/>
      <c r="O52" s="10"/>
      <c r="P52" s="37"/>
      <c r="Q52" s="10"/>
      <c r="R52" s="11"/>
      <c r="S52" s="10"/>
      <c r="U52" s="2"/>
      <c r="V52" s="10"/>
      <c r="W52" s="90"/>
      <c r="X52" s="73">
        <v>62500</v>
      </c>
      <c r="Y52" s="71" t="s">
        <v>207</v>
      </c>
    </row>
    <row r="53" spans="2:28" ht="19.5" thickBot="1" x14ac:dyDescent="0.35">
      <c r="B53" s="1" t="s">
        <v>55</v>
      </c>
      <c r="C53" s="1"/>
      <c r="D53" s="2" t="s">
        <v>348</v>
      </c>
      <c r="E53" s="40">
        <v>5125</v>
      </c>
      <c r="F53" s="108">
        <f t="shared" si="6"/>
        <v>3331.25</v>
      </c>
      <c r="G53" s="40"/>
      <c r="H53" s="48"/>
      <c r="I53" s="15"/>
      <c r="J53" s="16">
        <f>SUM(R6*30)</f>
        <v>0</v>
      </c>
      <c r="K53" s="10"/>
      <c r="L53" s="40"/>
      <c r="M53" s="10"/>
      <c r="N53" s="31"/>
      <c r="O53" s="10"/>
      <c r="P53" s="37"/>
      <c r="Q53" s="10"/>
      <c r="R53" s="11"/>
      <c r="S53" s="10"/>
      <c r="U53" s="2"/>
      <c r="V53" s="10"/>
      <c r="W53" s="90"/>
    </row>
    <row r="54" spans="2:28" x14ac:dyDescent="0.3">
      <c r="B54" s="1" t="s">
        <v>56</v>
      </c>
      <c r="C54" s="1"/>
      <c r="D54" s="2" t="s">
        <v>349</v>
      </c>
      <c r="E54" s="40">
        <v>2402</v>
      </c>
      <c r="F54" s="109">
        <f t="shared" si="6"/>
        <v>1561.3</v>
      </c>
      <c r="G54" s="40"/>
      <c r="H54" s="40"/>
      <c r="I54" s="10"/>
      <c r="J54" s="10">
        <v>0</v>
      </c>
      <c r="K54" s="10"/>
      <c r="L54" s="31">
        <f t="shared" ref="L54:L55" si="16">SUM(J54:J54)</f>
        <v>0</v>
      </c>
      <c r="M54" s="10"/>
      <c r="N54" s="31"/>
      <c r="O54" s="10"/>
      <c r="P54" s="37"/>
      <c r="Q54" s="10"/>
      <c r="R54" s="11"/>
      <c r="S54" s="10"/>
      <c r="U54" s="40"/>
      <c r="V54" s="51"/>
      <c r="W54" s="90"/>
      <c r="X54" s="50">
        <v>43242.080000000002</v>
      </c>
      <c r="Y54" s="24" t="s">
        <v>147</v>
      </c>
      <c r="Z54" s="23" t="s">
        <v>230</v>
      </c>
    </row>
    <row r="55" spans="2:28" ht="19.5" thickBot="1" x14ac:dyDescent="0.35">
      <c r="B55" s="1" t="s">
        <v>173</v>
      </c>
      <c r="C55" s="1"/>
      <c r="D55" s="2" t="s">
        <v>350</v>
      </c>
      <c r="E55" s="40">
        <v>3700</v>
      </c>
      <c r="F55" s="110">
        <f t="shared" si="6"/>
        <v>2405</v>
      </c>
      <c r="G55" s="40"/>
      <c r="H55" s="40"/>
      <c r="I55" s="10"/>
      <c r="J55" s="10">
        <v>0</v>
      </c>
      <c r="K55" s="10"/>
      <c r="L55" s="31">
        <f t="shared" si="16"/>
        <v>0</v>
      </c>
      <c r="M55" s="10"/>
      <c r="N55" s="31"/>
      <c r="O55" s="10"/>
      <c r="P55" s="37"/>
      <c r="Q55" s="10"/>
      <c r="U55" s="41"/>
      <c r="V55" s="52" t="s">
        <v>191</v>
      </c>
      <c r="W55" s="90"/>
      <c r="X55" s="73">
        <v>39240.25</v>
      </c>
      <c r="Y55" s="24" t="s">
        <v>147</v>
      </c>
      <c r="Z55" s="23" t="s">
        <v>209</v>
      </c>
    </row>
    <row r="56" spans="2:28" x14ac:dyDescent="0.3">
      <c r="B56" s="1" t="s">
        <v>43</v>
      </c>
      <c r="D56" s="2" t="s">
        <v>351</v>
      </c>
      <c r="E56" s="40">
        <v>4150</v>
      </c>
      <c r="F56" s="111">
        <f t="shared" si="6"/>
        <v>2697.5</v>
      </c>
      <c r="G56" s="40"/>
      <c r="H56" s="45"/>
      <c r="I56" s="12"/>
      <c r="J56" s="63">
        <v>44600</v>
      </c>
      <c r="K56" s="10"/>
      <c r="L56" s="40">
        <f>SUM(H56:J59)</f>
        <v>44600</v>
      </c>
      <c r="M56" s="10"/>
      <c r="N56" s="31">
        <v>44900</v>
      </c>
      <c r="O56" s="10"/>
      <c r="P56" s="38">
        <f>42491.75</f>
        <v>42491.75</v>
      </c>
      <c r="Q56" s="10"/>
      <c r="R56" s="40">
        <f t="shared" ref="R56" si="17">L56-P56</f>
        <v>2108.25</v>
      </c>
      <c r="S56" s="51" t="str">
        <f t="shared" ref="S56" si="18">IF(P56&gt;L56,"Over Budget","In Budget")</f>
        <v>In Budget</v>
      </c>
      <c r="T56" s="79">
        <f>X56</f>
        <v>42491.75</v>
      </c>
      <c r="U56" s="11"/>
      <c r="V56" s="10"/>
      <c r="W56" s="90"/>
      <c r="X56" s="80">
        <v>42491.75</v>
      </c>
      <c r="Y56" s="83" t="s">
        <v>220</v>
      </c>
      <c r="Z56" s="23" t="s">
        <v>231</v>
      </c>
    </row>
    <row r="57" spans="2:28" x14ac:dyDescent="0.3">
      <c r="B57" s="1" t="s">
        <v>57</v>
      </c>
      <c r="C57" s="1"/>
      <c r="D57" s="2" t="s">
        <v>352</v>
      </c>
      <c r="E57" s="40">
        <v>2615</v>
      </c>
      <c r="F57" s="112">
        <f t="shared" si="6"/>
        <v>1699.75</v>
      </c>
      <c r="G57" s="40"/>
      <c r="H57" s="46"/>
      <c r="I57" s="10"/>
      <c r="J57" s="14"/>
      <c r="K57" s="10"/>
      <c r="L57" s="40"/>
      <c r="M57" s="10"/>
      <c r="N57" s="31"/>
      <c r="O57" s="10"/>
      <c r="P57" s="37"/>
      <c r="Q57" s="10"/>
      <c r="U57" s="11"/>
      <c r="V57" s="10"/>
      <c r="W57" s="90"/>
      <c r="X57" s="73">
        <v>61080.71</v>
      </c>
      <c r="Y57" s="24" t="s">
        <v>147</v>
      </c>
      <c r="Z57" s="23" t="s">
        <v>210</v>
      </c>
    </row>
    <row r="58" spans="2:28" x14ac:dyDescent="0.3">
      <c r="B58" s="1" t="s">
        <v>58</v>
      </c>
      <c r="C58" s="1"/>
      <c r="D58" s="2" t="s">
        <v>353</v>
      </c>
      <c r="E58" s="40">
        <v>5000</v>
      </c>
      <c r="F58" s="113">
        <f t="shared" si="6"/>
        <v>3250</v>
      </c>
      <c r="G58" s="40"/>
      <c r="H58" s="46"/>
      <c r="I58" s="10"/>
      <c r="J58" s="14"/>
      <c r="K58" s="10"/>
      <c r="L58" s="40"/>
      <c r="M58" s="10"/>
      <c r="N58" s="31"/>
      <c r="O58" s="10"/>
      <c r="P58" s="37"/>
      <c r="Q58" s="10"/>
      <c r="U58" s="11"/>
      <c r="V58" s="10"/>
      <c r="W58" s="90"/>
      <c r="X58" s="10"/>
      <c r="Y58" s="23"/>
    </row>
    <row r="59" spans="2:28" ht="19.5" thickBot="1" x14ac:dyDescent="0.35">
      <c r="B59" s="1" t="s">
        <v>59</v>
      </c>
      <c r="C59" s="1"/>
      <c r="D59" s="2" t="s">
        <v>354</v>
      </c>
      <c r="E59" s="40">
        <v>15453</v>
      </c>
      <c r="F59" s="102">
        <f t="shared" si="6"/>
        <v>10044.450000000001</v>
      </c>
      <c r="G59" s="40"/>
      <c r="H59" s="48"/>
      <c r="I59" s="15"/>
      <c r="J59" s="16"/>
      <c r="K59" s="10"/>
      <c r="L59" s="40"/>
      <c r="M59" s="10"/>
      <c r="N59" s="31"/>
      <c r="O59" s="10"/>
      <c r="P59" s="37"/>
      <c r="Q59" s="10"/>
      <c r="U59" s="40"/>
      <c r="V59" s="51"/>
      <c r="W59" s="90"/>
      <c r="X59" s="10"/>
      <c r="Y59" s="59"/>
    </row>
    <row r="60" spans="2:28" x14ac:dyDescent="0.3">
      <c r="B60" s="1" t="s">
        <v>45</v>
      </c>
      <c r="C60" s="1"/>
      <c r="F60" s="40"/>
      <c r="G60" s="40"/>
      <c r="H60" s="45"/>
      <c r="I60" s="12"/>
      <c r="J60" s="13">
        <v>3500</v>
      </c>
      <c r="K60" s="10"/>
      <c r="L60" s="40">
        <f>SUM(H60:J62)</f>
        <v>9700</v>
      </c>
      <c r="M60" s="10"/>
      <c r="N60" s="31">
        <v>9500</v>
      </c>
      <c r="O60" s="10"/>
      <c r="P60" s="38">
        <f>7593.42</f>
        <v>7593.42</v>
      </c>
      <c r="Q60" s="10"/>
      <c r="R60" s="40">
        <f t="shared" ref="R60" si="19">L60-P60</f>
        <v>2106.58</v>
      </c>
      <c r="S60" s="51" t="str">
        <f t="shared" ref="S60" si="20">IF(P60&gt;L60,"Over Budget","In Budget")</f>
        <v>In Budget</v>
      </c>
      <c r="T60" s="79">
        <f>X60</f>
        <v>7593.42</v>
      </c>
      <c r="U60" s="11"/>
      <c r="V60" s="10"/>
      <c r="W60" s="89">
        <v>0.15</v>
      </c>
      <c r="X60" s="80">
        <f>7593.42</f>
        <v>7593.42</v>
      </c>
      <c r="Y60" s="83" t="s">
        <v>220</v>
      </c>
    </row>
    <row r="61" spans="2:28" ht="19.5" thickBot="1" x14ac:dyDescent="0.35">
      <c r="B61" s="1" t="s">
        <v>60</v>
      </c>
      <c r="C61" s="1"/>
      <c r="D61" s="1" t="s">
        <v>310</v>
      </c>
      <c r="E61" s="40"/>
      <c r="F61" s="40"/>
      <c r="G61" s="40"/>
      <c r="H61" s="46"/>
      <c r="I61" s="10"/>
      <c r="J61" s="14">
        <v>5000</v>
      </c>
      <c r="K61" s="10"/>
      <c r="L61" s="40"/>
      <c r="M61" s="10"/>
      <c r="N61" s="31"/>
      <c r="O61" s="10"/>
      <c r="P61" s="37"/>
      <c r="Q61" s="10"/>
      <c r="U61" s="11"/>
      <c r="V61" s="10"/>
      <c r="W61" s="90"/>
      <c r="Y61" s="23"/>
    </row>
    <row r="62" spans="2:28" ht="19.5" thickBot="1" x14ac:dyDescent="0.35">
      <c r="B62" s="1" t="s">
        <v>61</v>
      </c>
      <c r="C62" s="1"/>
      <c r="D62" s="121" t="s">
        <v>311</v>
      </c>
      <c r="E62" s="122">
        <v>909500</v>
      </c>
      <c r="F62" s="40"/>
      <c r="G62" s="40"/>
      <c r="H62" s="48"/>
      <c r="I62" s="15"/>
      <c r="J62" s="16">
        <v>1200</v>
      </c>
      <c r="K62" s="10"/>
      <c r="L62" s="40"/>
      <c r="M62" s="10"/>
      <c r="N62" s="31"/>
      <c r="O62" s="10"/>
      <c r="P62" s="37"/>
      <c r="Q62" s="10"/>
      <c r="U62" s="41"/>
      <c r="V62" s="52"/>
      <c r="W62" s="90"/>
      <c r="X62" s="10"/>
    </row>
    <row r="63" spans="2:28" x14ac:dyDescent="0.3">
      <c r="B63" s="1" t="s">
        <v>151</v>
      </c>
      <c r="C63" s="1"/>
      <c r="D63" s="123" t="s">
        <v>302</v>
      </c>
      <c r="E63" s="124">
        <f>SUM(E10:E59)</f>
        <v>598518.5</v>
      </c>
      <c r="F63" s="40">
        <f>SUM(F10:F59)</f>
        <v>295824.80000000005</v>
      </c>
      <c r="G63" s="40"/>
      <c r="H63" s="40"/>
      <c r="I63" s="10"/>
      <c r="J63" s="10">
        <f>R5*175</f>
        <v>0</v>
      </c>
      <c r="K63" s="10"/>
      <c r="L63" s="40">
        <f>SUM(H63:J63)</f>
        <v>0</v>
      </c>
      <c r="M63" s="10"/>
      <c r="N63" s="31">
        <v>5600</v>
      </c>
      <c r="O63" s="10"/>
      <c r="P63" s="37"/>
      <c r="Q63" s="10"/>
      <c r="R63" s="40">
        <f t="shared" ref="R63:R64" si="21">L63-P63</f>
        <v>0</v>
      </c>
      <c r="S63" s="51" t="str">
        <f t="shared" ref="S63:S64" si="22">IF(P63&gt;L63,"Over Budget","In Budget")</f>
        <v>In Budget</v>
      </c>
      <c r="U63" s="41"/>
      <c r="V63" s="52"/>
      <c r="W63" s="90"/>
      <c r="X63" s="10"/>
      <c r="Y63" s="58"/>
    </row>
    <row r="64" spans="2:28" ht="19.5" thickBot="1" x14ac:dyDescent="0.35">
      <c r="B64" s="1" t="s">
        <v>152</v>
      </c>
      <c r="C64" s="1"/>
      <c r="D64" s="125" t="s">
        <v>312</v>
      </c>
      <c r="E64" s="126">
        <f>SUM(E62:E63)</f>
        <v>1508018.5</v>
      </c>
      <c r="F64" s="101">
        <f>F63-H247</f>
        <v>-223.59999999997672</v>
      </c>
      <c r="G64" s="40"/>
      <c r="H64" s="40"/>
      <c r="I64" s="10"/>
      <c r="J64" s="10">
        <f>R4*175</f>
        <v>0</v>
      </c>
      <c r="K64" s="10"/>
      <c r="L64" s="40">
        <f t="shared" ref="L64:L65" si="23">SUM(H64:J64)</f>
        <v>0</v>
      </c>
      <c r="M64" s="10"/>
      <c r="N64" s="31">
        <v>4900</v>
      </c>
      <c r="O64" s="10"/>
      <c r="P64" s="37"/>
      <c r="Q64" s="10"/>
      <c r="R64" s="40">
        <f t="shared" si="21"/>
        <v>0</v>
      </c>
      <c r="S64" s="51" t="str">
        <f t="shared" si="22"/>
        <v>In Budget</v>
      </c>
      <c r="U64" s="40"/>
      <c r="V64" s="51"/>
      <c r="W64" s="90"/>
      <c r="X64" s="10"/>
      <c r="Y64" s="23"/>
    </row>
    <row r="65" spans="2:25" x14ac:dyDescent="0.3">
      <c r="B65" s="1" t="s">
        <v>63</v>
      </c>
      <c r="C65" s="1"/>
      <c r="D65" s="2"/>
      <c r="E65" s="40"/>
      <c r="F65" s="40"/>
      <c r="G65" s="40"/>
      <c r="H65" s="40"/>
      <c r="I65" s="10"/>
      <c r="J65" s="10">
        <v>0</v>
      </c>
      <c r="K65" s="10"/>
      <c r="L65" s="40">
        <f t="shared" si="23"/>
        <v>0</v>
      </c>
      <c r="M65" s="10"/>
      <c r="N65" s="31"/>
      <c r="O65" s="10"/>
      <c r="P65" s="37"/>
      <c r="Q65" s="10"/>
      <c r="U65" s="19" t="s">
        <v>181</v>
      </c>
      <c r="V65" s="51"/>
      <c r="W65" s="90"/>
      <c r="X65" s="10"/>
      <c r="Y65" s="23"/>
    </row>
    <row r="66" spans="2:25" x14ac:dyDescent="0.3">
      <c r="B66" s="214" t="s">
        <v>357</v>
      </c>
      <c r="C66" s="1">
        <v>2310</v>
      </c>
      <c r="D66" s="2"/>
      <c r="E66" s="40"/>
      <c r="F66" s="40"/>
      <c r="G66" s="40"/>
      <c r="H66" s="131">
        <v>749.25</v>
      </c>
      <c r="I66" s="10"/>
      <c r="J66" s="10" t="s">
        <v>193</v>
      </c>
      <c r="K66" s="10"/>
      <c r="L66" s="40">
        <f>SUM(H66:J66)</f>
        <v>749.25</v>
      </c>
      <c r="M66" s="10"/>
      <c r="N66" s="31">
        <v>750</v>
      </c>
      <c r="O66" s="10"/>
      <c r="P66" s="38">
        <f>691.56</f>
        <v>691.56</v>
      </c>
      <c r="Q66" s="10"/>
      <c r="R66" s="40">
        <f>N66-P66</f>
        <v>58.440000000000055</v>
      </c>
      <c r="S66" s="51" t="str">
        <f>IF(P66&gt;N66,"Over Budget","In Budget")</f>
        <v>In Budget</v>
      </c>
      <c r="T66" s="79">
        <f>X66</f>
        <v>691.56</v>
      </c>
      <c r="U66" s="19" t="s">
        <v>181</v>
      </c>
      <c r="V66" s="51"/>
      <c r="W66" s="89">
        <v>0.1</v>
      </c>
      <c r="X66" s="60">
        <v>691.56</v>
      </c>
      <c r="Y66" s="76" t="s">
        <v>271</v>
      </c>
    </row>
    <row r="67" spans="2:25" x14ac:dyDescent="0.3">
      <c r="B67" s="214" t="s">
        <v>358</v>
      </c>
      <c r="C67" s="1"/>
      <c r="D67" s="2"/>
      <c r="E67" s="40"/>
      <c r="F67" s="40"/>
      <c r="G67" s="40"/>
      <c r="H67" s="131">
        <v>300</v>
      </c>
      <c r="I67" s="10"/>
      <c r="J67" s="10"/>
      <c r="K67" s="10"/>
      <c r="L67" s="40">
        <f t="shared" ref="L67:L73" si="24">SUM(H67:J67)</f>
        <v>300</v>
      </c>
      <c r="M67" s="10"/>
      <c r="N67" s="31"/>
      <c r="O67" s="10"/>
      <c r="P67" s="37"/>
      <c r="Q67" s="10"/>
      <c r="R67" s="40"/>
      <c r="S67" s="51"/>
      <c r="T67" s="31"/>
      <c r="U67" s="19"/>
      <c r="V67" s="51"/>
      <c r="W67" s="89"/>
      <c r="X67" s="60"/>
      <c r="Y67" s="76"/>
    </row>
    <row r="68" spans="2:25" x14ac:dyDescent="0.3">
      <c r="B68" s="214" t="s">
        <v>233</v>
      </c>
      <c r="C68" s="1"/>
      <c r="D68" s="2"/>
      <c r="E68" s="10"/>
      <c r="F68" s="40"/>
      <c r="G68" s="40"/>
      <c r="H68" s="131">
        <v>1239.8599999999999</v>
      </c>
      <c r="I68" s="10"/>
      <c r="J68" s="10" t="s">
        <v>193</v>
      </c>
      <c r="K68" s="10"/>
      <c r="L68" s="40">
        <f t="shared" si="24"/>
        <v>1239.8599999999999</v>
      </c>
      <c r="M68" s="10"/>
      <c r="N68" s="31">
        <v>380</v>
      </c>
      <c r="O68" s="10"/>
      <c r="P68" s="38">
        <v>1158.75</v>
      </c>
      <c r="Q68" s="10"/>
      <c r="R68" s="40">
        <f>N68-P68</f>
        <v>-778.75</v>
      </c>
      <c r="S68" s="51" t="str">
        <f>IF(P68&gt;N68,"Over Budget","In Budget")</f>
        <v>Over Budget</v>
      </c>
      <c r="T68" s="79">
        <f t="shared" ref="T68:T72" si="25">X68</f>
        <v>1158.75</v>
      </c>
      <c r="U68" s="40"/>
      <c r="V68" s="51"/>
      <c r="W68" s="90"/>
      <c r="X68" s="57">
        <v>1158.75</v>
      </c>
      <c r="Y68" s="75" t="s">
        <v>270</v>
      </c>
    </row>
    <row r="69" spans="2:25" x14ac:dyDescent="0.3">
      <c r="B69" s="214" t="s">
        <v>355</v>
      </c>
      <c r="C69" s="1"/>
      <c r="D69" s="2"/>
      <c r="E69" s="10"/>
      <c r="F69" s="40"/>
      <c r="G69" s="40"/>
      <c r="H69" s="131">
        <v>250</v>
      </c>
      <c r="I69" s="10"/>
      <c r="J69" s="10"/>
      <c r="K69" s="10"/>
      <c r="L69" s="40">
        <f t="shared" si="24"/>
        <v>250</v>
      </c>
      <c r="M69" s="10"/>
      <c r="N69" s="31"/>
      <c r="O69" s="10"/>
      <c r="P69" s="37"/>
      <c r="Q69" s="10"/>
      <c r="R69" s="40"/>
      <c r="S69" s="51"/>
      <c r="T69" s="31"/>
      <c r="U69" s="40"/>
      <c r="V69" s="51"/>
      <c r="W69" s="90"/>
      <c r="X69" s="57"/>
      <c r="Y69" s="75"/>
    </row>
    <row r="70" spans="2:25" x14ac:dyDescent="0.3">
      <c r="B70" s="215" t="s">
        <v>234</v>
      </c>
      <c r="C70" s="1"/>
      <c r="D70" s="2"/>
      <c r="E70" s="40"/>
      <c r="F70" s="40"/>
      <c r="G70" s="40"/>
      <c r="H70" s="132">
        <v>799.07</v>
      </c>
      <c r="I70" s="10"/>
      <c r="J70" s="10"/>
      <c r="K70" s="10"/>
      <c r="L70" s="40">
        <f t="shared" si="24"/>
        <v>799.07</v>
      </c>
      <c r="M70" s="10"/>
      <c r="N70" s="31">
        <f>L70</f>
        <v>799.07</v>
      </c>
      <c r="O70" s="10"/>
      <c r="P70" s="38">
        <f>691.56</f>
        <v>691.56</v>
      </c>
      <c r="Q70" s="10"/>
      <c r="R70" s="40">
        <f>N70-P70</f>
        <v>107.5100000000001</v>
      </c>
      <c r="S70" s="51" t="str">
        <f>IF(P70&gt;N70,"Over Budget","In Budget")</f>
        <v>In Budget</v>
      </c>
      <c r="T70" s="79">
        <f t="shared" si="25"/>
        <v>691.56</v>
      </c>
      <c r="U70" s="40"/>
      <c r="V70" s="51"/>
      <c r="W70" s="90"/>
      <c r="X70" s="60">
        <v>691.56</v>
      </c>
      <c r="Y70" s="76" t="s">
        <v>271</v>
      </c>
    </row>
    <row r="71" spans="2:25" x14ac:dyDescent="0.3">
      <c r="B71" s="215" t="s">
        <v>360</v>
      </c>
      <c r="C71" s="1"/>
      <c r="D71" s="2"/>
      <c r="E71" s="40"/>
      <c r="F71" s="40"/>
      <c r="G71" s="40"/>
      <c r="H71" s="132">
        <v>300</v>
      </c>
      <c r="I71" s="10"/>
      <c r="J71" s="10"/>
      <c r="K71" s="10"/>
      <c r="L71" s="40">
        <f t="shared" si="24"/>
        <v>300</v>
      </c>
      <c r="M71" s="10"/>
      <c r="N71" s="31"/>
      <c r="O71" s="10"/>
      <c r="P71" s="37"/>
      <c r="Q71" s="10"/>
      <c r="R71" s="40"/>
      <c r="S71" s="51"/>
      <c r="T71" s="31"/>
      <c r="U71" s="40"/>
      <c r="V71" s="51"/>
      <c r="W71" s="90"/>
      <c r="X71" s="60"/>
      <c r="Y71" s="76"/>
    </row>
    <row r="72" spans="2:25" x14ac:dyDescent="0.3">
      <c r="B72" s="215" t="s">
        <v>359</v>
      </c>
      <c r="C72" s="1"/>
      <c r="D72" s="2"/>
      <c r="E72" s="40"/>
      <c r="F72" s="40"/>
      <c r="G72" s="40"/>
      <c r="H72" s="132">
        <v>938.93</v>
      </c>
      <c r="I72" s="10"/>
      <c r="J72" s="10"/>
      <c r="K72" s="10"/>
      <c r="L72" s="40">
        <f t="shared" si="24"/>
        <v>938.93</v>
      </c>
      <c r="M72" s="10"/>
      <c r="N72" s="31">
        <f>L72</f>
        <v>938.93</v>
      </c>
      <c r="O72" s="10"/>
      <c r="P72" s="38">
        <v>877.5</v>
      </c>
      <c r="Q72" s="10"/>
      <c r="R72" s="40">
        <f>N72-P72</f>
        <v>61.42999999999995</v>
      </c>
      <c r="S72" s="51" t="str">
        <f>IF(P72&gt;N72,"Over Budget","In Budget")</f>
        <v>In Budget</v>
      </c>
      <c r="T72" s="79">
        <f t="shared" si="25"/>
        <v>877.5</v>
      </c>
      <c r="U72" s="40"/>
      <c r="V72" s="51"/>
      <c r="W72" s="90"/>
      <c r="X72" s="60">
        <v>877.5</v>
      </c>
      <c r="Y72" s="76" t="s">
        <v>270</v>
      </c>
    </row>
    <row r="73" spans="2:25" x14ac:dyDescent="0.3">
      <c r="B73" s="215" t="s">
        <v>356</v>
      </c>
      <c r="C73" s="1"/>
      <c r="D73" s="2"/>
      <c r="E73" s="40"/>
      <c r="F73" s="40"/>
      <c r="G73" s="40"/>
      <c r="H73" s="132">
        <v>250</v>
      </c>
      <c r="I73" s="10"/>
      <c r="J73" s="10"/>
      <c r="K73" s="10"/>
      <c r="L73" s="40">
        <f t="shared" si="24"/>
        <v>250</v>
      </c>
      <c r="M73" s="10"/>
      <c r="N73" s="31"/>
      <c r="O73" s="10"/>
      <c r="P73" s="37"/>
      <c r="Q73" s="10"/>
      <c r="R73" s="40"/>
      <c r="S73" s="51"/>
      <c r="T73" s="31"/>
      <c r="U73" s="40"/>
      <c r="V73" s="51"/>
      <c r="W73" s="90"/>
      <c r="X73" s="60"/>
      <c r="Y73" s="76"/>
    </row>
    <row r="74" spans="2:25" x14ac:dyDescent="0.3">
      <c r="B74" s="1" t="s">
        <v>64</v>
      </c>
      <c r="C74" s="1"/>
      <c r="D74" s="2"/>
      <c r="E74" s="40"/>
      <c r="F74" s="40"/>
      <c r="G74" s="40"/>
      <c r="H74" s="40"/>
      <c r="I74" s="10"/>
      <c r="J74" s="10">
        <v>4500</v>
      </c>
      <c r="K74" s="10"/>
      <c r="L74" s="40">
        <f>SUM(H74:J74)</f>
        <v>4500</v>
      </c>
      <c r="M74" s="10"/>
      <c r="N74" s="31">
        <v>7200</v>
      </c>
      <c r="O74" s="10"/>
      <c r="P74" s="36">
        <f>1831</f>
        <v>1831</v>
      </c>
      <c r="Q74" s="10"/>
      <c r="R74" s="40">
        <f t="shared" ref="R74:R76" si="26">L74-P74</f>
        <v>2669</v>
      </c>
      <c r="S74" s="51" t="str">
        <f t="shared" ref="S74:S76" si="27">IF(P74&gt;L74,"Over Budget","In Budget")</f>
        <v>In Budget</v>
      </c>
      <c r="T74" s="79">
        <f>X74</f>
        <v>4385</v>
      </c>
      <c r="U74" s="40"/>
      <c r="V74" s="51"/>
      <c r="W74" s="89">
        <v>0.114</v>
      </c>
      <c r="X74" s="60">
        <v>4385</v>
      </c>
      <c r="Y74" s="85" t="s">
        <v>148</v>
      </c>
    </row>
    <row r="75" spans="2:25" ht="19.5" thickBot="1" x14ac:dyDescent="0.35">
      <c r="B75" s="1" t="s">
        <v>65</v>
      </c>
      <c r="C75" s="1"/>
      <c r="D75" s="2"/>
      <c r="E75" s="40"/>
      <c r="F75" s="40"/>
      <c r="G75" s="40"/>
      <c r="H75" s="258">
        <v>-250</v>
      </c>
      <c r="I75" s="10"/>
      <c r="J75" s="10">
        <f>SUM(J4*2.25)</f>
        <v>10570.5</v>
      </c>
      <c r="K75" s="10"/>
      <c r="L75" s="40">
        <f>SUM(H75:J75)</f>
        <v>10320.5</v>
      </c>
      <c r="M75" s="10"/>
      <c r="N75" s="31">
        <v>12250</v>
      </c>
      <c r="O75" s="10"/>
      <c r="P75" s="37"/>
      <c r="Q75" s="10"/>
      <c r="R75" s="40">
        <f t="shared" si="26"/>
        <v>10320.5</v>
      </c>
      <c r="S75" s="51" t="str">
        <f t="shared" si="27"/>
        <v>In Budget</v>
      </c>
      <c r="T75" s="79">
        <f>X75</f>
        <v>9980</v>
      </c>
      <c r="U75" s="41"/>
      <c r="V75" s="52"/>
      <c r="W75" s="90" t="s">
        <v>272</v>
      </c>
      <c r="X75" s="60">
        <v>9980</v>
      </c>
      <c r="Y75" s="85" t="s">
        <v>224</v>
      </c>
    </row>
    <row r="76" spans="2:25" x14ac:dyDescent="0.3">
      <c r="B76" s="1" t="s">
        <v>66</v>
      </c>
      <c r="C76" s="1"/>
      <c r="D76" s="2"/>
      <c r="E76" s="40"/>
      <c r="F76" s="40"/>
      <c r="G76" s="40"/>
      <c r="H76" s="119"/>
      <c r="I76" s="12"/>
      <c r="J76" s="13">
        <v>10000</v>
      </c>
      <c r="K76" s="10"/>
      <c r="L76" s="40">
        <f>SUM(H76:J77)</f>
        <v>10000</v>
      </c>
      <c r="M76" s="10"/>
      <c r="N76" s="31">
        <v>12800</v>
      </c>
      <c r="O76" s="10"/>
      <c r="P76" s="38">
        <f>9829.5+150+425</f>
        <v>10404.5</v>
      </c>
      <c r="Q76" s="10"/>
      <c r="R76" s="40">
        <f t="shared" si="26"/>
        <v>-404.5</v>
      </c>
      <c r="S76" s="51" t="str">
        <f t="shared" si="27"/>
        <v>Over Budget</v>
      </c>
      <c r="T76" s="79">
        <f>X76</f>
        <v>9747.5</v>
      </c>
      <c r="U76" s="11"/>
      <c r="V76" s="10"/>
      <c r="W76" s="90"/>
      <c r="X76" s="60">
        <v>9747.5</v>
      </c>
      <c r="Y76" s="75" t="s">
        <v>208</v>
      </c>
    </row>
    <row r="77" spans="2:25" ht="19.5" thickBot="1" x14ac:dyDescent="0.35">
      <c r="B77" s="216" t="s">
        <v>394</v>
      </c>
      <c r="C77" s="1"/>
      <c r="D77" s="2"/>
      <c r="E77" s="40"/>
      <c r="F77" s="40"/>
      <c r="G77" s="40"/>
      <c r="H77" s="259"/>
      <c r="I77" s="15"/>
      <c r="J77" s="16"/>
      <c r="K77" s="10"/>
      <c r="L77" s="40"/>
      <c r="M77" s="10"/>
      <c r="N77" s="31"/>
      <c r="O77" s="10"/>
      <c r="P77" s="37"/>
      <c r="Q77" s="10"/>
      <c r="U77" s="41"/>
      <c r="V77" s="52"/>
      <c r="W77" s="90"/>
      <c r="X77" s="73">
        <v>9807</v>
      </c>
      <c r="Y77" s="22" t="s">
        <v>172</v>
      </c>
    </row>
    <row r="78" spans="2:25" x14ac:dyDescent="0.3">
      <c r="B78" s="1" t="s">
        <v>67</v>
      </c>
      <c r="C78" s="1"/>
      <c r="D78" s="2"/>
      <c r="E78" s="40"/>
      <c r="F78" s="40"/>
      <c r="G78" s="40"/>
      <c r="H78" s="46"/>
      <c r="I78" s="10"/>
      <c r="J78" s="14">
        <v>4800</v>
      </c>
      <c r="K78" s="10"/>
      <c r="L78" s="40">
        <f>SUM(H78:J84)</f>
        <v>11550</v>
      </c>
      <c r="M78" s="10"/>
      <c r="N78" s="31">
        <v>16000</v>
      </c>
      <c r="O78" s="10"/>
      <c r="P78" s="38">
        <f>9050.94</f>
        <v>9050.94</v>
      </c>
      <c r="Q78" s="10"/>
      <c r="R78" s="40">
        <f>L78-SUM(P78:P84)</f>
        <v>2499.0599999999995</v>
      </c>
      <c r="S78" s="51" t="str">
        <f>IF((SUM(P78:P87))&gt;L78,"Over Budget","In Budget")</f>
        <v>Over Budget</v>
      </c>
      <c r="T78" s="79">
        <f>X78</f>
        <v>9050.94</v>
      </c>
      <c r="U78" s="18"/>
      <c r="V78" s="10"/>
      <c r="W78" s="89">
        <v>0.05</v>
      </c>
      <c r="X78" s="60">
        <v>9050.94</v>
      </c>
      <c r="Y78" s="75" t="s">
        <v>248</v>
      </c>
    </row>
    <row r="79" spans="2:25" x14ac:dyDescent="0.3">
      <c r="B79" s="1" t="s">
        <v>68</v>
      </c>
      <c r="C79" s="1"/>
      <c r="D79" s="2"/>
      <c r="E79" s="40"/>
      <c r="F79" s="40"/>
      <c r="G79" s="40"/>
      <c r="H79" s="46"/>
      <c r="I79" s="10"/>
      <c r="J79" s="14">
        <v>2150</v>
      </c>
      <c r="K79" s="10"/>
      <c r="L79" s="40"/>
      <c r="M79" s="10"/>
      <c r="N79" s="31"/>
      <c r="O79" s="10"/>
      <c r="P79" s="37"/>
      <c r="Q79" s="10"/>
      <c r="U79" s="11"/>
      <c r="V79" s="10"/>
      <c r="W79" s="90"/>
      <c r="X79" s="10"/>
    </row>
    <row r="80" spans="2:25" x14ac:dyDescent="0.3">
      <c r="B80" s="1" t="s">
        <v>69</v>
      </c>
      <c r="C80" s="1"/>
      <c r="D80" s="2"/>
      <c r="E80" s="40"/>
      <c r="F80" s="40"/>
      <c r="G80" s="40"/>
      <c r="H80" s="46"/>
      <c r="I80" s="10"/>
      <c r="J80" s="14">
        <v>700</v>
      </c>
      <c r="K80" s="10"/>
      <c r="L80" s="40"/>
      <c r="M80" s="10"/>
      <c r="N80" s="31"/>
      <c r="O80" s="10"/>
      <c r="P80" s="37"/>
      <c r="Q80" s="10"/>
      <c r="U80" s="11"/>
      <c r="V80" s="10"/>
      <c r="W80" s="90"/>
      <c r="X80" s="10"/>
    </row>
    <row r="81" spans="2:25" x14ac:dyDescent="0.3">
      <c r="B81" s="1" t="s">
        <v>70</v>
      </c>
      <c r="C81" s="1"/>
      <c r="D81" s="2"/>
      <c r="E81" s="40"/>
      <c r="F81" s="40"/>
      <c r="G81" s="40"/>
      <c r="H81" s="46"/>
      <c r="I81" s="10"/>
      <c r="J81" s="14">
        <v>1150</v>
      </c>
      <c r="K81" s="10"/>
      <c r="L81" s="40"/>
      <c r="M81" s="10"/>
      <c r="N81" s="31"/>
      <c r="O81" s="10"/>
      <c r="P81" s="37"/>
      <c r="Q81" s="10"/>
      <c r="U81" s="11"/>
      <c r="V81" s="10"/>
      <c r="W81" s="90"/>
      <c r="X81" s="10"/>
    </row>
    <row r="82" spans="2:25" x14ac:dyDescent="0.3">
      <c r="B82" s="1" t="s">
        <v>71</v>
      </c>
      <c r="C82" s="1"/>
      <c r="D82" s="2"/>
      <c r="E82" s="40"/>
      <c r="F82" s="40"/>
      <c r="G82" s="40"/>
      <c r="H82" s="46"/>
      <c r="I82" s="10"/>
      <c r="J82" s="14">
        <v>750</v>
      </c>
      <c r="K82" s="10"/>
      <c r="L82" s="40"/>
      <c r="M82" s="10"/>
      <c r="N82" s="31"/>
      <c r="O82" s="10"/>
      <c r="P82" s="37"/>
      <c r="Q82" s="10"/>
      <c r="U82" s="11"/>
      <c r="V82" s="10"/>
      <c r="W82" s="90"/>
      <c r="X82" s="10"/>
    </row>
    <row r="83" spans="2:25" x14ac:dyDescent="0.3">
      <c r="B83" s="1" t="s">
        <v>72</v>
      </c>
      <c r="C83" s="1"/>
      <c r="D83" s="2"/>
      <c r="E83" s="40"/>
      <c r="F83" s="40"/>
      <c r="G83" s="40"/>
      <c r="H83" s="46"/>
      <c r="I83" s="10"/>
      <c r="J83" s="14">
        <v>0</v>
      </c>
      <c r="K83" s="10"/>
      <c r="L83" s="40"/>
      <c r="M83" s="10"/>
      <c r="N83" s="31"/>
      <c r="O83" s="10"/>
      <c r="P83" s="37"/>
      <c r="Q83" s="10"/>
      <c r="U83" s="11"/>
      <c r="V83" s="10"/>
      <c r="W83" s="90"/>
      <c r="X83" s="10"/>
      <c r="Y83" s="58"/>
    </row>
    <row r="84" spans="2:25" ht="19.5" thickBot="1" x14ac:dyDescent="0.35">
      <c r="B84" s="1" t="s">
        <v>73</v>
      </c>
      <c r="C84" s="1"/>
      <c r="D84" s="2"/>
      <c r="E84" s="40"/>
      <c r="F84" s="40"/>
      <c r="G84" s="40"/>
      <c r="H84" s="46"/>
      <c r="I84" s="10"/>
      <c r="J84" s="99">
        <v>2000</v>
      </c>
      <c r="K84" s="10"/>
      <c r="L84" s="40"/>
      <c r="M84" s="10"/>
      <c r="N84" s="31"/>
      <c r="O84" s="10"/>
      <c r="P84" s="37"/>
      <c r="Q84" s="10"/>
      <c r="U84" s="11"/>
      <c r="V84" s="10"/>
      <c r="W84" s="90"/>
      <c r="X84" s="10"/>
    </row>
    <row r="85" spans="2:25" x14ac:dyDescent="0.3">
      <c r="B85" s="217" t="s">
        <v>365</v>
      </c>
      <c r="C85" s="1"/>
      <c r="D85" s="2"/>
      <c r="E85" s="40"/>
      <c r="F85" s="40"/>
      <c r="G85" s="40"/>
      <c r="H85" s="204">
        <v>1228.08</v>
      </c>
      <c r="I85" s="12"/>
      <c r="J85" s="13">
        <v>0</v>
      </c>
      <c r="K85" s="10"/>
      <c r="L85" s="40">
        <f>SUM(H85:J86)</f>
        <v>1781.4</v>
      </c>
      <c r="M85" s="10"/>
      <c r="N85" s="31"/>
      <c r="O85" s="10"/>
      <c r="P85" s="38">
        <f>917+899.25</f>
        <v>1816.25</v>
      </c>
      <c r="Q85" s="10"/>
      <c r="T85" s="79">
        <f>X85</f>
        <v>917</v>
      </c>
      <c r="U85" s="11"/>
      <c r="V85" s="10"/>
      <c r="W85" s="90"/>
      <c r="X85" s="60">
        <v>917</v>
      </c>
      <c r="Y85" s="85" t="s">
        <v>270</v>
      </c>
    </row>
    <row r="86" spans="2:25" ht="19.5" thickBot="1" x14ac:dyDescent="0.35">
      <c r="B86" s="217" t="s">
        <v>366</v>
      </c>
      <c r="C86" s="1"/>
      <c r="D86" s="2"/>
      <c r="E86" s="40"/>
      <c r="F86" s="40"/>
      <c r="G86" s="40"/>
      <c r="H86" s="205">
        <v>553.32000000000005</v>
      </c>
      <c r="I86" s="15"/>
      <c r="J86" s="16">
        <v>0</v>
      </c>
      <c r="K86" s="10"/>
      <c r="L86" s="40"/>
      <c r="M86" s="10"/>
      <c r="N86" s="31"/>
      <c r="O86" s="10"/>
      <c r="P86" s="37"/>
      <c r="Q86" s="10"/>
      <c r="T86" s="31"/>
      <c r="U86" s="11"/>
      <c r="V86" s="10"/>
      <c r="W86" s="90"/>
      <c r="X86" s="60"/>
      <c r="Y86" s="85"/>
    </row>
    <row r="87" spans="2:25" x14ac:dyDescent="0.3">
      <c r="B87" s="218" t="s">
        <v>273</v>
      </c>
      <c r="C87" s="1"/>
      <c r="D87" s="2"/>
      <c r="E87" s="40"/>
      <c r="F87" s="40"/>
      <c r="G87" s="40"/>
      <c r="H87" s="206">
        <v>981.19</v>
      </c>
      <c r="I87" s="12"/>
      <c r="J87" s="13">
        <v>0</v>
      </c>
      <c r="K87" s="10"/>
      <c r="L87" s="40">
        <f>SUM(H87:J88)</f>
        <v>1157</v>
      </c>
      <c r="M87" s="10"/>
      <c r="N87" s="31"/>
      <c r="O87" s="10"/>
      <c r="P87" s="38">
        <v>1148</v>
      </c>
      <c r="Q87" s="10"/>
      <c r="T87" s="79">
        <f>X87</f>
        <v>1148</v>
      </c>
      <c r="U87" s="41"/>
      <c r="V87" s="52"/>
      <c r="W87" s="90"/>
      <c r="X87" s="60">
        <v>1148</v>
      </c>
      <c r="Y87" s="85" t="s">
        <v>270</v>
      </c>
    </row>
    <row r="88" spans="2:25" ht="19.5" thickBot="1" x14ac:dyDescent="0.35">
      <c r="B88" s="218" t="s">
        <v>367</v>
      </c>
      <c r="C88" s="1"/>
      <c r="D88" s="2"/>
      <c r="E88" s="40"/>
      <c r="F88" s="40"/>
      <c r="G88" s="40"/>
      <c r="H88" s="207">
        <v>175.81</v>
      </c>
      <c r="I88" s="15"/>
      <c r="J88" s="16">
        <v>0</v>
      </c>
      <c r="K88" s="10"/>
      <c r="L88" s="40"/>
      <c r="M88" s="10"/>
      <c r="N88" s="31"/>
      <c r="O88" s="10"/>
      <c r="P88" s="37"/>
      <c r="Q88" s="10"/>
      <c r="T88" s="31"/>
      <c r="U88" s="41"/>
      <c r="V88" s="52"/>
      <c r="W88" s="90"/>
      <c r="X88" s="60"/>
      <c r="Y88" s="85"/>
    </row>
    <row r="89" spans="2:25" x14ac:dyDescent="0.3">
      <c r="B89" s="219" t="s">
        <v>276</v>
      </c>
      <c r="C89" s="1"/>
      <c r="D89" s="2"/>
      <c r="E89" s="40"/>
      <c r="F89" s="40"/>
      <c r="G89" s="40"/>
      <c r="H89" s="208">
        <v>3068.9</v>
      </c>
      <c r="I89" s="12"/>
      <c r="J89" s="13">
        <v>0</v>
      </c>
      <c r="K89" s="10"/>
      <c r="L89" s="40">
        <f>SUM(H89:J90)</f>
        <v>3968.9</v>
      </c>
      <c r="M89" s="10"/>
      <c r="N89" s="31"/>
      <c r="O89" s="10"/>
      <c r="P89" s="38">
        <f>2868.25</f>
        <v>2868.25</v>
      </c>
      <c r="Q89" s="10"/>
      <c r="T89" s="79">
        <f>X89</f>
        <v>2868.25</v>
      </c>
      <c r="U89" s="41"/>
      <c r="V89" s="52"/>
      <c r="W89" s="90"/>
      <c r="X89" s="60">
        <v>2868.25</v>
      </c>
      <c r="Y89" s="85" t="s">
        <v>270</v>
      </c>
    </row>
    <row r="90" spans="2:25" ht="19.5" thickBot="1" x14ac:dyDescent="0.35">
      <c r="B90" s="219" t="s">
        <v>368</v>
      </c>
      <c r="C90" s="1"/>
      <c r="D90" s="2"/>
      <c r="E90" s="40"/>
      <c r="F90" s="40"/>
      <c r="G90" s="40"/>
      <c r="H90" s="209">
        <v>900</v>
      </c>
      <c r="I90" s="15"/>
      <c r="J90" s="16">
        <v>0</v>
      </c>
      <c r="K90" s="10"/>
      <c r="L90" s="40"/>
      <c r="M90" s="10"/>
      <c r="N90" s="31"/>
      <c r="O90" s="10"/>
      <c r="P90" s="37"/>
      <c r="Q90" s="10"/>
      <c r="T90" s="31"/>
      <c r="U90" s="41"/>
      <c r="V90" s="52"/>
      <c r="W90" s="90"/>
      <c r="X90" s="60"/>
      <c r="Y90" s="85"/>
    </row>
    <row r="91" spans="2:25" x14ac:dyDescent="0.3">
      <c r="B91" s="1" t="s">
        <v>74</v>
      </c>
      <c r="C91" s="1"/>
      <c r="D91" s="2"/>
      <c r="E91" s="40"/>
      <c r="F91" s="40"/>
      <c r="G91" s="40"/>
      <c r="H91" s="46"/>
      <c r="I91" s="10"/>
      <c r="J91" s="14">
        <f>SUM(C3*0.75)+957*0.3</f>
        <v>2507.85</v>
      </c>
      <c r="K91" s="10"/>
      <c r="L91" s="40">
        <f>SUM(H91:J102)</f>
        <v>6007.85</v>
      </c>
      <c r="M91" s="10"/>
      <c r="N91" s="31">
        <f>L91</f>
        <v>6007.85</v>
      </c>
      <c r="O91" s="10"/>
      <c r="P91" s="38">
        <f>5549.51+450</f>
        <v>5999.51</v>
      </c>
      <c r="Q91" s="10"/>
      <c r="R91" s="40">
        <f>L91-SUM(P91:P102)</f>
        <v>8.3400000000001455</v>
      </c>
      <c r="S91" s="51" t="str">
        <f>IF((SUM(P91:P102))&gt;L91,"Over Budget","In Budget")</f>
        <v>In Budget</v>
      </c>
      <c r="T91" s="79">
        <f>X91</f>
        <v>5999.51</v>
      </c>
      <c r="U91" s="11"/>
      <c r="V91" s="10"/>
      <c r="W91" s="90"/>
      <c r="X91" s="60">
        <f>5549.51+450</f>
        <v>5999.51</v>
      </c>
      <c r="Y91" s="75" t="s">
        <v>248</v>
      </c>
    </row>
    <row r="92" spans="2:25" x14ac:dyDescent="0.3">
      <c r="B92" s="1" t="s">
        <v>75</v>
      </c>
      <c r="C92" s="1"/>
      <c r="D92" s="2"/>
      <c r="E92" s="40"/>
      <c r="F92" s="40"/>
      <c r="G92" s="40"/>
      <c r="H92" s="46"/>
      <c r="I92" s="10"/>
      <c r="J92" s="14">
        <v>0</v>
      </c>
      <c r="K92" s="10"/>
      <c r="L92" s="40"/>
      <c r="M92" s="10"/>
      <c r="N92" s="31"/>
      <c r="O92" s="10"/>
      <c r="P92" s="37"/>
      <c r="Q92" s="10"/>
      <c r="U92" s="11"/>
      <c r="V92" s="10"/>
      <c r="W92" s="90"/>
      <c r="X92" s="10"/>
      <c r="Y92" s="23"/>
    </row>
    <row r="93" spans="2:25" x14ac:dyDescent="0.3">
      <c r="B93" s="1" t="s">
        <v>76</v>
      </c>
      <c r="C93" s="1"/>
      <c r="D93" s="1"/>
      <c r="E93" s="40"/>
      <c r="F93" s="40"/>
      <c r="G93" s="40"/>
      <c r="H93" s="46"/>
      <c r="I93" s="10"/>
      <c r="J93" s="14">
        <v>0</v>
      </c>
      <c r="K93" s="10"/>
      <c r="L93" s="40"/>
      <c r="M93" s="10"/>
      <c r="N93" s="31"/>
      <c r="O93" s="10"/>
      <c r="P93" s="37"/>
      <c r="Q93" s="10"/>
      <c r="U93" s="11"/>
      <c r="V93" s="10"/>
      <c r="W93" s="90"/>
      <c r="X93" s="10"/>
      <c r="Y93" s="23"/>
    </row>
    <row r="94" spans="2:25" x14ac:dyDescent="0.3">
      <c r="B94" s="1" t="s">
        <v>77</v>
      </c>
      <c r="C94" s="1"/>
      <c r="D94" s="1"/>
      <c r="E94" s="40"/>
      <c r="F94" s="40"/>
      <c r="G94" s="40"/>
      <c r="H94" s="46"/>
      <c r="I94" s="10"/>
      <c r="J94" s="14">
        <v>2500</v>
      </c>
      <c r="K94" s="10"/>
      <c r="L94" s="40"/>
      <c r="M94" s="10"/>
      <c r="N94" s="31"/>
      <c r="O94" s="10"/>
      <c r="P94" s="37"/>
      <c r="Q94" s="10"/>
      <c r="U94" s="11"/>
      <c r="V94" s="10"/>
      <c r="W94" s="90"/>
      <c r="X94" s="10"/>
      <c r="Y94" s="23"/>
    </row>
    <row r="95" spans="2:25" x14ac:dyDescent="0.3">
      <c r="B95" s="1" t="s">
        <v>78</v>
      </c>
      <c r="C95" s="1"/>
      <c r="D95" s="1"/>
      <c r="E95" s="40"/>
      <c r="F95" s="40"/>
      <c r="G95" s="40"/>
      <c r="H95" s="46"/>
      <c r="I95" s="10"/>
      <c r="J95" s="14">
        <v>500</v>
      </c>
      <c r="K95" s="10"/>
      <c r="L95" s="40"/>
      <c r="M95" s="10"/>
      <c r="N95" s="31"/>
      <c r="O95" s="10"/>
      <c r="P95" s="37"/>
      <c r="Q95" s="10"/>
      <c r="U95" s="19" t="s">
        <v>181</v>
      </c>
      <c r="V95" s="10"/>
      <c r="W95" s="90"/>
      <c r="X95" s="10"/>
      <c r="Y95" s="23"/>
    </row>
    <row r="96" spans="2:25" x14ac:dyDescent="0.3">
      <c r="B96" s="1" t="s">
        <v>175</v>
      </c>
      <c r="C96" s="1"/>
      <c r="D96" s="1"/>
      <c r="E96" s="40"/>
      <c r="F96" s="40"/>
      <c r="G96" s="40"/>
      <c r="H96" s="46"/>
      <c r="I96" s="10"/>
      <c r="J96" s="14">
        <v>0</v>
      </c>
      <c r="K96" s="10"/>
      <c r="L96" s="40"/>
      <c r="M96" s="10"/>
      <c r="N96" s="31"/>
      <c r="O96" s="10"/>
      <c r="P96" s="37"/>
      <c r="Q96" s="10"/>
      <c r="U96" s="11"/>
      <c r="V96" s="10"/>
      <c r="W96" s="90"/>
      <c r="X96" s="10"/>
      <c r="Y96" s="58"/>
    </row>
    <row r="97" spans="2:26" x14ac:dyDescent="0.3">
      <c r="B97" s="1" t="s">
        <v>79</v>
      </c>
      <c r="C97" s="1"/>
      <c r="D97" s="1"/>
      <c r="E97" s="40"/>
      <c r="F97" s="40"/>
      <c r="G97" s="40"/>
      <c r="H97" s="46"/>
      <c r="I97" s="10"/>
      <c r="J97" s="14">
        <v>0</v>
      </c>
      <c r="K97" s="10"/>
      <c r="L97" s="40"/>
      <c r="M97" s="10"/>
      <c r="N97" s="31"/>
      <c r="O97" s="10"/>
      <c r="P97" s="37"/>
      <c r="Q97" s="10"/>
      <c r="U97" s="11"/>
      <c r="V97" s="10"/>
      <c r="W97" s="90"/>
      <c r="X97" s="10"/>
      <c r="Y97" s="23"/>
    </row>
    <row r="98" spans="2:26" x14ac:dyDescent="0.3">
      <c r="B98" s="1" t="s">
        <v>80</v>
      </c>
      <c r="C98" s="1"/>
      <c r="D98" s="1"/>
      <c r="E98" s="40"/>
      <c r="F98" s="40"/>
      <c r="G98" s="40"/>
      <c r="H98" s="46"/>
      <c r="I98" s="10"/>
      <c r="J98" s="14">
        <v>0</v>
      </c>
      <c r="K98" s="10"/>
      <c r="L98" s="40"/>
      <c r="M98" s="10"/>
      <c r="N98" s="31"/>
      <c r="O98" s="10"/>
      <c r="P98" s="37"/>
      <c r="Q98" s="10"/>
      <c r="U98" s="11"/>
      <c r="V98" s="10"/>
      <c r="W98" s="90"/>
      <c r="X98" s="10"/>
      <c r="Y98" s="23"/>
    </row>
    <row r="99" spans="2:26" x14ac:dyDescent="0.3">
      <c r="B99" s="1" t="s">
        <v>81</v>
      </c>
      <c r="C99" s="1"/>
      <c r="D99" s="1"/>
      <c r="E99" s="40"/>
      <c r="F99" s="40"/>
      <c r="G99" s="40"/>
      <c r="H99" s="46"/>
      <c r="I99" s="10"/>
      <c r="J99" s="14">
        <v>0</v>
      </c>
      <c r="K99" s="10"/>
      <c r="L99" s="40"/>
      <c r="M99" s="10"/>
      <c r="N99" s="31"/>
      <c r="O99" s="10"/>
      <c r="P99" s="37"/>
      <c r="Q99" s="10"/>
      <c r="U99" s="11"/>
      <c r="V99" s="10"/>
      <c r="W99" s="90"/>
      <c r="Y99" s="23"/>
    </row>
    <row r="100" spans="2:26" x14ac:dyDescent="0.3">
      <c r="B100" s="1" t="s">
        <v>82</v>
      </c>
      <c r="C100" s="1"/>
      <c r="D100" s="1"/>
      <c r="E100" s="40"/>
      <c r="F100" s="40"/>
      <c r="G100" s="40"/>
      <c r="H100" s="46"/>
      <c r="I100" s="10"/>
      <c r="J100" s="14">
        <v>500</v>
      </c>
      <c r="K100" s="10"/>
      <c r="L100" s="40"/>
      <c r="M100" s="10"/>
      <c r="N100" s="31"/>
      <c r="O100" s="10"/>
      <c r="P100" s="37"/>
      <c r="Q100" s="10"/>
      <c r="U100" s="19" t="s">
        <v>182</v>
      </c>
      <c r="V100" s="10"/>
      <c r="W100" s="90"/>
      <c r="X100" s="10"/>
      <c r="Y100" s="23"/>
    </row>
    <row r="101" spans="2:26" x14ac:dyDescent="0.3">
      <c r="B101" s="1" t="s">
        <v>83</v>
      </c>
      <c r="C101" s="1"/>
      <c r="D101" s="1"/>
      <c r="E101" s="40"/>
      <c r="F101" s="40"/>
      <c r="G101" s="40"/>
      <c r="H101" s="46"/>
      <c r="I101" s="10"/>
      <c r="J101" s="14">
        <v>0</v>
      </c>
      <c r="K101" s="10"/>
      <c r="L101" s="40"/>
      <c r="M101" s="10"/>
      <c r="N101" s="31"/>
      <c r="O101" s="10"/>
      <c r="P101" s="37"/>
      <c r="Q101" s="10"/>
      <c r="U101" s="11"/>
      <c r="V101" s="10" t="s">
        <v>181</v>
      </c>
      <c r="W101" s="68" t="s">
        <v>184</v>
      </c>
      <c r="X101" s="10"/>
      <c r="Y101" s="23"/>
    </row>
    <row r="102" spans="2:26" ht="19.5" thickBot="1" x14ac:dyDescent="0.35">
      <c r="B102" s="1" t="s">
        <v>174</v>
      </c>
      <c r="C102" s="1"/>
      <c r="D102" s="1"/>
      <c r="E102" s="40"/>
      <c r="F102" s="40"/>
      <c r="G102" s="40"/>
      <c r="H102" s="46"/>
      <c r="I102" s="15"/>
      <c r="J102" s="16">
        <v>0</v>
      </c>
      <c r="K102" s="10"/>
      <c r="L102" s="40"/>
      <c r="M102" s="10"/>
      <c r="N102" s="31"/>
      <c r="O102" s="10"/>
      <c r="P102" s="37"/>
      <c r="Q102" s="10"/>
      <c r="U102" s="41"/>
      <c r="V102" s="52"/>
      <c r="W102" s="90"/>
      <c r="X102" s="73">
        <v>12800</v>
      </c>
      <c r="Y102" s="71" t="s">
        <v>298</v>
      </c>
    </row>
    <row r="103" spans="2:26" x14ac:dyDescent="0.3">
      <c r="B103" s="220" t="s">
        <v>347</v>
      </c>
      <c r="C103" s="1"/>
      <c r="D103" s="1"/>
      <c r="E103" s="40"/>
      <c r="F103" s="40"/>
      <c r="G103" s="40"/>
      <c r="H103" s="171">
        <f>F52</f>
        <v>5550.35</v>
      </c>
      <c r="I103" s="12"/>
      <c r="J103" s="13">
        <v>0</v>
      </c>
      <c r="K103" s="10"/>
      <c r="L103" s="31">
        <f>SUM(H103:J103)</f>
        <v>5550.35</v>
      </c>
      <c r="M103" s="10"/>
      <c r="N103" s="31">
        <v>0</v>
      </c>
      <c r="O103" s="10"/>
      <c r="P103" s="38">
        <f>11049.88</f>
        <v>11049.88</v>
      </c>
      <c r="Q103" s="10"/>
      <c r="T103" s="79">
        <f>X103</f>
        <v>11068.37</v>
      </c>
      <c r="U103" s="41"/>
      <c r="V103" s="52"/>
      <c r="W103" s="90"/>
      <c r="X103" s="60">
        <v>11068.37</v>
      </c>
      <c r="Y103" s="76" t="s">
        <v>297</v>
      </c>
    </row>
    <row r="104" spans="2:26" x14ac:dyDescent="0.3">
      <c r="B104" s="221" t="s">
        <v>348</v>
      </c>
      <c r="C104" s="1"/>
      <c r="D104" s="1"/>
      <c r="E104" s="40"/>
      <c r="F104" s="40"/>
      <c r="G104" s="40"/>
      <c r="H104" s="172">
        <f>F53</f>
        <v>3331.25</v>
      </c>
      <c r="I104" s="10"/>
      <c r="J104" s="14">
        <v>0</v>
      </c>
      <c r="K104" s="10"/>
      <c r="L104" s="31">
        <f t="shared" ref="L104:L108" si="28">SUM(H104:J104)</f>
        <v>3331.25</v>
      </c>
      <c r="M104" s="10"/>
      <c r="N104" s="31"/>
      <c r="O104" s="10"/>
      <c r="P104" s="37"/>
      <c r="Q104" s="10"/>
      <c r="T104" s="31"/>
      <c r="U104" s="41"/>
      <c r="V104" s="52"/>
      <c r="W104" s="90"/>
      <c r="X104" s="60"/>
      <c r="Y104" s="76"/>
    </row>
    <row r="105" spans="2:26" x14ac:dyDescent="0.3">
      <c r="B105" s="222" t="s">
        <v>349</v>
      </c>
      <c r="C105" s="1"/>
      <c r="D105" s="1"/>
      <c r="E105" s="40"/>
      <c r="F105" s="40"/>
      <c r="G105" s="40"/>
      <c r="H105" s="173">
        <f>F54</f>
        <v>1561.3</v>
      </c>
      <c r="I105" s="10"/>
      <c r="J105" s="14">
        <v>0</v>
      </c>
      <c r="K105" s="10"/>
      <c r="L105" s="31">
        <f t="shared" si="28"/>
        <v>1561.3</v>
      </c>
      <c r="M105" s="10"/>
      <c r="N105" s="31"/>
      <c r="O105" s="10"/>
      <c r="P105" s="37"/>
      <c r="Q105" s="10"/>
      <c r="T105" s="31"/>
      <c r="U105" s="41"/>
      <c r="V105" s="52"/>
      <c r="W105" s="90"/>
      <c r="X105" s="60"/>
      <c r="Y105" s="76"/>
    </row>
    <row r="106" spans="2:26" ht="19.5" thickBot="1" x14ac:dyDescent="0.35">
      <c r="B106" s="223" t="s">
        <v>350</v>
      </c>
      <c r="C106" s="1"/>
      <c r="D106" s="1"/>
      <c r="E106" s="40"/>
      <c r="F106" s="40"/>
      <c r="G106" s="40"/>
      <c r="H106" s="174">
        <f>F55</f>
        <v>2405</v>
      </c>
      <c r="I106" s="15"/>
      <c r="J106" s="16">
        <v>0</v>
      </c>
      <c r="K106" s="10"/>
      <c r="L106" s="31">
        <f t="shared" si="28"/>
        <v>2405</v>
      </c>
      <c r="M106" s="10"/>
      <c r="N106" s="31"/>
      <c r="O106" s="10"/>
      <c r="P106" s="37"/>
      <c r="Q106" s="10"/>
      <c r="T106" s="31"/>
      <c r="U106" s="41"/>
      <c r="V106" s="52"/>
      <c r="W106" s="90"/>
      <c r="X106" s="60"/>
      <c r="Y106" s="76"/>
    </row>
    <row r="107" spans="2:26" ht="19.5" thickBot="1" x14ac:dyDescent="0.35">
      <c r="B107" s="1" t="s">
        <v>84</v>
      </c>
      <c r="C107" s="1"/>
      <c r="D107" s="1"/>
      <c r="E107" s="40"/>
      <c r="F107" s="40"/>
      <c r="G107" s="40"/>
      <c r="H107" s="48"/>
      <c r="I107" s="15"/>
      <c r="J107" s="16">
        <v>24900</v>
      </c>
      <c r="K107" s="10"/>
      <c r="L107" s="31">
        <f t="shared" si="28"/>
        <v>24900</v>
      </c>
      <c r="M107" s="10"/>
      <c r="N107" s="31"/>
      <c r="O107" s="10"/>
      <c r="P107" s="37"/>
      <c r="Q107" s="10"/>
      <c r="U107" s="41"/>
      <c r="V107" s="52"/>
      <c r="W107" s="90"/>
      <c r="X107" s="60">
        <f>22*50</f>
        <v>1100</v>
      </c>
      <c r="Y107" s="76" t="s">
        <v>232</v>
      </c>
    </row>
    <row r="108" spans="2:26" ht="19.5" thickBot="1" x14ac:dyDescent="0.35">
      <c r="B108" s="1" t="s">
        <v>111</v>
      </c>
      <c r="C108" s="1"/>
      <c r="D108" s="1"/>
      <c r="E108" s="40"/>
      <c r="F108" s="40"/>
      <c r="G108" s="40"/>
      <c r="H108" s="40"/>
      <c r="I108" s="10"/>
      <c r="J108" s="10">
        <v>5800</v>
      </c>
      <c r="K108" s="10"/>
      <c r="L108" s="31">
        <f t="shared" si="28"/>
        <v>5800</v>
      </c>
      <c r="M108" s="10"/>
      <c r="N108" s="31">
        <v>3750</v>
      </c>
      <c r="O108" s="10"/>
      <c r="P108" s="36">
        <f>2870</f>
        <v>2870</v>
      </c>
      <c r="Q108" s="10"/>
      <c r="R108" s="40">
        <f t="shared" ref="R108:R111" si="29">L108-P108</f>
        <v>2930</v>
      </c>
      <c r="S108" s="51" t="str">
        <f t="shared" ref="S108:S111" si="30">IF(P108&gt;L108,"Over Budget","In Budget")</f>
        <v>In Budget</v>
      </c>
      <c r="T108" s="79">
        <f>X108</f>
        <v>5740</v>
      </c>
      <c r="U108" s="41"/>
      <c r="V108" s="52"/>
      <c r="W108" s="90"/>
      <c r="X108" s="60">
        <v>5740</v>
      </c>
      <c r="Y108" s="76" t="s">
        <v>235</v>
      </c>
    </row>
    <row r="109" spans="2:26" x14ac:dyDescent="0.3">
      <c r="B109" s="224" t="s">
        <v>380</v>
      </c>
      <c r="C109" s="1"/>
      <c r="D109" s="1"/>
      <c r="E109" s="40"/>
      <c r="F109" s="40"/>
      <c r="G109" s="40"/>
      <c r="H109" s="169">
        <v>2500</v>
      </c>
      <c r="I109" s="12"/>
      <c r="J109" s="117" t="s">
        <v>292</v>
      </c>
      <c r="K109" s="10"/>
      <c r="L109" s="31">
        <f>SUM(H109:J110)</f>
        <v>3525</v>
      </c>
      <c r="M109" s="10"/>
      <c r="N109" s="31"/>
      <c r="O109" s="10"/>
      <c r="P109" s="38">
        <f>2517.98</f>
        <v>2517.98</v>
      </c>
      <c r="Q109" s="10"/>
      <c r="R109" s="40"/>
      <c r="S109" s="51"/>
      <c r="T109" s="79">
        <f>X109</f>
        <v>2517.98</v>
      </c>
      <c r="U109" s="41"/>
      <c r="V109" s="52"/>
      <c r="W109" s="90"/>
      <c r="X109" s="60">
        <v>2517.98</v>
      </c>
      <c r="Y109" s="76" t="s">
        <v>251</v>
      </c>
    </row>
    <row r="110" spans="2:26" ht="19.5" thickBot="1" x14ac:dyDescent="0.35">
      <c r="B110" s="224" t="s">
        <v>381</v>
      </c>
      <c r="C110" s="1"/>
      <c r="D110" s="1"/>
      <c r="E110" s="40"/>
      <c r="F110" s="40"/>
      <c r="G110" s="40"/>
      <c r="H110" s="170">
        <v>1025</v>
      </c>
      <c r="I110" s="15"/>
      <c r="J110" s="118" t="s">
        <v>292</v>
      </c>
      <c r="K110" s="10"/>
      <c r="L110" s="40"/>
      <c r="M110" s="10"/>
      <c r="N110" s="31"/>
      <c r="O110" s="10"/>
      <c r="P110" s="37"/>
      <c r="Q110" s="10"/>
      <c r="R110" s="40"/>
      <c r="S110" s="51"/>
      <c r="T110" s="31"/>
      <c r="U110" s="31"/>
      <c r="V110" s="10"/>
      <c r="W110" s="90"/>
      <c r="X110" s="60"/>
      <c r="Y110" s="76"/>
    </row>
    <row r="111" spans="2:26" ht="19.5" thickBot="1" x14ac:dyDescent="0.35">
      <c r="B111" s="1" t="s">
        <v>255</v>
      </c>
      <c r="C111" s="1"/>
      <c r="D111" s="1"/>
      <c r="E111" s="40"/>
      <c r="F111" s="40"/>
      <c r="G111" s="40"/>
      <c r="H111" s="40"/>
      <c r="I111" s="10"/>
      <c r="J111" s="14">
        <v>1725</v>
      </c>
      <c r="K111" s="10"/>
      <c r="L111" s="40">
        <f>SUM(H111:J118)</f>
        <v>7206.1900000000005</v>
      </c>
      <c r="M111" s="10"/>
      <c r="N111" s="31">
        <f>L111</f>
        <v>7206.1900000000005</v>
      </c>
      <c r="O111" s="10"/>
      <c r="P111" s="38">
        <f>7031.5</f>
        <v>7031.5</v>
      </c>
      <c r="Q111" s="10"/>
      <c r="R111" s="40">
        <f t="shared" si="29"/>
        <v>174.69000000000051</v>
      </c>
      <c r="S111" s="51" t="str">
        <f t="shared" si="30"/>
        <v>In Budget</v>
      </c>
      <c r="T111" s="79">
        <f>X111</f>
        <v>1725</v>
      </c>
      <c r="U111" s="11"/>
      <c r="V111" s="10"/>
      <c r="W111" s="90"/>
      <c r="X111" s="60">
        <v>1725</v>
      </c>
      <c r="Y111" s="85" t="s">
        <v>238</v>
      </c>
      <c r="Z111" s="23" t="s">
        <v>261</v>
      </c>
    </row>
    <row r="112" spans="2:26" x14ac:dyDescent="0.3">
      <c r="B112" s="225" t="s">
        <v>236</v>
      </c>
      <c r="C112" s="1"/>
      <c r="D112" s="1"/>
      <c r="E112" s="40"/>
      <c r="F112" s="40"/>
      <c r="G112" s="40"/>
      <c r="H112" s="175">
        <v>900</v>
      </c>
      <c r="I112" s="12"/>
      <c r="J112" s="117" t="s">
        <v>292</v>
      </c>
      <c r="K112" s="10"/>
      <c r="L112" s="40"/>
      <c r="M112" s="10"/>
      <c r="N112" s="31"/>
      <c r="O112" s="10"/>
      <c r="P112" s="37"/>
      <c r="Q112" s="10"/>
      <c r="T112" s="79">
        <f t="shared" ref="T112:T126" si="31">X112</f>
        <v>483</v>
      </c>
      <c r="U112" s="11"/>
      <c r="V112" s="10"/>
      <c r="W112" s="68"/>
      <c r="X112" s="60">
        <v>483</v>
      </c>
      <c r="Y112" s="85" t="s">
        <v>238</v>
      </c>
      <c r="Z112" s="23" t="s">
        <v>262</v>
      </c>
    </row>
    <row r="113" spans="2:26" x14ac:dyDescent="0.3">
      <c r="B113" s="214" t="s">
        <v>362</v>
      </c>
      <c r="C113" s="1"/>
      <c r="D113" s="1"/>
      <c r="E113" s="40"/>
      <c r="F113" s="40"/>
      <c r="G113" s="40"/>
      <c r="H113" s="163">
        <v>898.19</v>
      </c>
      <c r="I113" s="10"/>
      <c r="J113" s="116" t="s">
        <v>292</v>
      </c>
      <c r="K113" s="10"/>
      <c r="L113" s="40"/>
      <c r="M113" s="10"/>
      <c r="N113" s="31"/>
      <c r="O113" s="10"/>
      <c r="P113" s="37"/>
      <c r="Q113" s="10"/>
      <c r="T113" s="79">
        <f t="shared" si="31"/>
        <v>1063.1300000000001</v>
      </c>
      <c r="U113" s="11"/>
      <c r="V113" s="10"/>
      <c r="W113" s="90"/>
      <c r="X113" s="60">
        <v>1063.1300000000001</v>
      </c>
      <c r="Y113" s="85" t="s">
        <v>238</v>
      </c>
      <c r="Z113" s="23" t="s">
        <v>263</v>
      </c>
    </row>
    <row r="114" spans="2:26" x14ac:dyDescent="0.3">
      <c r="B114" s="215" t="s">
        <v>363</v>
      </c>
      <c r="C114" s="1"/>
      <c r="D114" s="1"/>
      <c r="E114" s="40"/>
      <c r="F114" s="40"/>
      <c r="G114" s="40"/>
      <c r="H114" s="164">
        <v>565.5</v>
      </c>
      <c r="I114" s="10"/>
      <c r="J114" s="116" t="s">
        <v>292</v>
      </c>
      <c r="K114" s="10"/>
      <c r="L114" s="40"/>
      <c r="M114" s="10"/>
      <c r="N114" s="31"/>
      <c r="O114" s="10"/>
      <c r="P114" s="37"/>
      <c r="Q114" s="10"/>
      <c r="T114" s="31"/>
      <c r="U114" s="11"/>
      <c r="V114" s="10"/>
      <c r="W114" s="90"/>
      <c r="X114" s="60"/>
      <c r="Y114" s="85"/>
    </row>
    <row r="115" spans="2:26" x14ac:dyDescent="0.3">
      <c r="B115" s="223" t="s">
        <v>258</v>
      </c>
      <c r="C115" s="1"/>
      <c r="D115" s="1"/>
      <c r="E115" s="40"/>
      <c r="F115" s="40"/>
      <c r="G115" s="40"/>
      <c r="H115" s="165">
        <v>500</v>
      </c>
      <c r="I115" s="10"/>
      <c r="J115" s="116" t="s">
        <v>292</v>
      </c>
      <c r="K115" s="10"/>
      <c r="L115" s="40"/>
      <c r="M115" s="10"/>
      <c r="N115" s="31"/>
      <c r="O115" s="10"/>
      <c r="P115" s="37"/>
      <c r="Q115" s="10"/>
      <c r="T115" s="79">
        <f t="shared" si="31"/>
        <v>355</v>
      </c>
      <c r="U115" s="11"/>
      <c r="V115" s="10"/>
      <c r="W115" s="90"/>
      <c r="X115" s="60">
        <v>355</v>
      </c>
      <c r="Y115" s="85" t="s">
        <v>238</v>
      </c>
      <c r="Z115" s="23" t="s">
        <v>163</v>
      </c>
    </row>
    <row r="116" spans="2:26" x14ac:dyDescent="0.3">
      <c r="B116" s="226" t="s">
        <v>391</v>
      </c>
      <c r="C116" s="1"/>
      <c r="D116" s="1"/>
      <c r="E116" s="40"/>
      <c r="F116" s="40"/>
      <c r="G116" s="40"/>
      <c r="H116" s="166">
        <v>877.5</v>
      </c>
      <c r="I116" s="10"/>
      <c r="J116" s="116" t="s">
        <v>292</v>
      </c>
      <c r="K116" s="10"/>
      <c r="L116" s="40"/>
      <c r="M116" s="10"/>
      <c r="N116" s="31"/>
      <c r="O116" s="10"/>
      <c r="P116" s="37"/>
      <c r="Q116" s="10"/>
      <c r="T116" s="79">
        <f t="shared" si="31"/>
        <v>283.5</v>
      </c>
      <c r="U116" s="11"/>
      <c r="V116" s="10"/>
      <c r="W116" s="90"/>
      <c r="X116" s="60">
        <v>283.5</v>
      </c>
      <c r="Y116" s="85" t="s">
        <v>238</v>
      </c>
      <c r="Z116" s="23" t="s">
        <v>264</v>
      </c>
    </row>
    <row r="117" spans="2:26" x14ac:dyDescent="0.3">
      <c r="B117" s="227" t="s">
        <v>338</v>
      </c>
      <c r="C117" s="1"/>
      <c r="D117" s="1"/>
      <c r="E117" s="40"/>
      <c r="F117" s="40"/>
      <c r="G117" s="40"/>
      <c r="H117" s="167">
        <v>500</v>
      </c>
      <c r="I117" s="10"/>
      <c r="J117" s="116" t="s">
        <v>292</v>
      </c>
      <c r="K117" s="10"/>
      <c r="L117" s="40"/>
      <c r="M117" s="10"/>
      <c r="N117" s="31"/>
      <c r="O117" s="10"/>
      <c r="P117" s="37"/>
      <c r="Q117" s="10"/>
      <c r="T117" s="31"/>
      <c r="U117" s="11"/>
      <c r="V117" s="10"/>
      <c r="W117" s="90"/>
      <c r="X117" s="60"/>
      <c r="Y117" s="85"/>
    </row>
    <row r="118" spans="2:26" ht="19.5" thickBot="1" x14ac:dyDescent="0.35">
      <c r="B118" s="228" t="s">
        <v>259</v>
      </c>
      <c r="C118" s="1"/>
      <c r="D118" s="1"/>
      <c r="E118" s="40"/>
      <c r="F118" s="40"/>
      <c r="G118" s="40"/>
      <c r="H118" s="168">
        <v>1240</v>
      </c>
      <c r="I118" s="15"/>
      <c r="J118" s="118" t="s">
        <v>292</v>
      </c>
      <c r="K118" s="10"/>
      <c r="L118" s="40"/>
      <c r="M118" s="10"/>
      <c r="N118" s="31"/>
      <c r="O118" s="10"/>
      <c r="P118" s="37"/>
      <c r="Q118" s="10"/>
      <c r="T118" s="79">
        <f t="shared" si="31"/>
        <v>850.5</v>
      </c>
      <c r="U118" s="11"/>
      <c r="V118" s="10"/>
      <c r="W118" s="90"/>
      <c r="X118" s="60">
        <v>850.5</v>
      </c>
      <c r="Y118" s="85" t="s">
        <v>238</v>
      </c>
      <c r="Z118" s="23" t="s">
        <v>265</v>
      </c>
    </row>
    <row r="119" spans="2:26" x14ac:dyDescent="0.3">
      <c r="B119" s="1" t="s">
        <v>256</v>
      </c>
      <c r="C119" s="1"/>
      <c r="D119" s="1"/>
      <c r="E119" s="40"/>
      <c r="F119" s="40"/>
      <c r="G119" s="40"/>
      <c r="H119" s="46"/>
      <c r="I119" s="10"/>
      <c r="J119" s="14">
        <v>1725</v>
      </c>
      <c r="K119" s="10"/>
      <c r="L119" s="40">
        <f>SUM(H119:J126)</f>
        <v>6841.2</v>
      </c>
      <c r="M119" s="10"/>
      <c r="N119" s="31">
        <f>L119</f>
        <v>6841.2</v>
      </c>
      <c r="O119" s="10"/>
      <c r="P119" s="37"/>
      <c r="Q119" s="10"/>
      <c r="R119" s="40">
        <f t="shared" ref="R119" si="32">L119-P119</f>
        <v>6841.2</v>
      </c>
      <c r="S119" s="51" t="str">
        <f t="shared" ref="S119" si="33">IF(P119&gt;L119,"Over Budget","In Budget")</f>
        <v>In Budget</v>
      </c>
      <c r="T119" s="79">
        <f t="shared" si="31"/>
        <v>1725</v>
      </c>
      <c r="U119" s="11"/>
      <c r="V119" s="10"/>
      <c r="W119" s="90"/>
      <c r="X119" s="60">
        <v>1725</v>
      </c>
      <c r="Y119" s="85" t="s">
        <v>238</v>
      </c>
      <c r="Z119" s="23" t="s">
        <v>261</v>
      </c>
    </row>
    <row r="120" spans="2:26" x14ac:dyDescent="0.3">
      <c r="B120" s="225" t="s">
        <v>237</v>
      </c>
      <c r="C120" s="1"/>
      <c r="D120" s="1"/>
      <c r="E120" s="40"/>
      <c r="F120" s="40"/>
      <c r="G120" s="40"/>
      <c r="H120" s="162">
        <v>725</v>
      </c>
      <c r="I120" s="10"/>
      <c r="J120" s="116" t="s">
        <v>292</v>
      </c>
      <c r="K120" s="10"/>
      <c r="L120" s="40"/>
      <c r="M120" s="10"/>
      <c r="N120" s="31"/>
      <c r="O120" s="10"/>
      <c r="P120" s="37"/>
      <c r="Q120" s="10"/>
      <c r="T120" s="79">
        <f t="shared" si="31"/>
        <v>483</v>
      </c>
      <c r="U120" s="41"/>
      <c r="V120" s="61"/>
      <c r="W120" s="90"/>
      <c r="X120" s="60">
        <v>483</v>
      </c>
      <c r="Y120" s="85" t="s">
        <v>238</v>
      </c>
      <c r="Z120" s="23" t="s">
        <v>262</v>
      </c>
    </row>
    <row r="121" spans="2:26" x14ac:dyDescent="0.3">
      <c r="B121" s="214" t="s">
        <v>361</v>
      </c>
      <c r="C121" s="1"/>
      <c r="D121" s="1"/>
      <c r="E121" s="40"/>
      <c r="F121" s="40"/>
      <c r="G121" s="40"/>
      <c r="H121" s="163">
        <v>898.2</v>
      </c>
      <c r="I121" s="10"/>
      <c r="J121" s="116" t="s">
        <v>292</v>
      </c>
      <c r="K121" s="10"/>
      <c r="L121" s="40"/>
      <c r="M121" s="10"/>
      <c r="N121" s="31"/>
      <c r="O121" s="10"/>
      <c r="P121" s="37"/>
      <c r="Q121" s="10"/>
      <c r="T121" s="79">
        <f t="shared" si="31"/>
        <v>1063.1300000000001</v>
      </c>
      <c r="U121" s="11"/>
      <c r="V121" s="10"/>
      <c r="W121" s="90"/>
      <c r="X121" s="60">
        <v>1063.1300000000001</v>
      </c>
      <c r="Y121" s="85" t="s">
        <v>238</v>
      </c>
      <c r="Z121" s="23" t="s">
        <v>263</v>
      </c>
    </row>
    <row r="122" spans="2:26" x14ac:dyDescent="0.3">
      <c r="B122" s="215" t="s">
        <v>364</v>
      </c>
      <c r="C122" s="1"/>
      <c r="D122" s="1"/>
      <c r="E122" s="40"/>
      <c r="F122" s="40"/>
      <c r="G122" s="40"/>
      <c r="H122" s="164">
        <v>565.5</v>
      </c>
      <c r="I122" s="10"/>
      <c r="J122" s="116" t="s">
        <v>292</v>
      </c>
      <c r="K122" s="10"/>
      <c r="L122" s="40"/>
      <c r="M122" s="10"/>
      <c r="N122" s="31"/>
      <c r="O122" s="10"/>
      <c r="P122" s="37"/>
      <c r="Q122" s="10"/>
      <c r="T122" s="31"/>
      <c r="U122" s="11"/>
      <c r="V122" s="10"/>
      <c r="W122" s="90"/>
      <c r="X122" s="60"/>
      <c r="Y122" s="85"/>
    </row>
    <row r="123" spans="2:26" x14ac:dyDescent="0.3">
      <c r="B123" s="223" t="s">
        <v>257</v>
      </c>
      <c r="C123" s="1"/>
      <c r="D123" s="1"/>
      <c r="E123" s="40"/>
      <c r="F123" s="40"/>
      <c r="G123" s="40"/>
      <c r="H123" s="165">
        <v>475</v>
      </c>
      <c r="I123" s="10"/>
      <c r="J123" s="116" t="s">
        <v>292</v>
      </c>
      <c r="K123" s="10"/>
      <c r="L123" s="40"/>
      <c r="M123" s="10"/>
      <c r="N123" s="31"/>
      <c r="O123" s="10"/>
      <c r="P123" s="37"/>
      <c r="Q123" s="10"/>
      <c r="T123" s="79">
        <f t="shared" si="31"/>
        <v>355</v>
      </c>
      <c r="U123" s="41">
        <v>4950</v>
      </c>
      <c r="V123" s="61" t="s">
        <v>185</v>
      </c>
      <c r="W123" s="90"/>
      <c r="X123" s="60">
        <v>355</v>
      </c>
      <c r="Y123" s="85" t="s">
        <v>238</v>
      </c>
      <c r="Z123" s="23" t="s">
        <v>163</v>
      </c>
    </row>
    <row r="124" spans="2:26" x14ac:dyDescent="0.3">
      <c r="B124" s="226" t="s">
        <v>390</v>
      </c>
      <c r="C124" s="1"/>
      <c r="D124" s="1"/>
      <c r="E124" s="40"/>
      <c r="F124" s="40"/>
      <c r="G124" s="40"/>
      <c r="H124" s="166">
        <v>877.5</v>
      </c>
      <c r="I124" s="10"/>
      <c r="J124" s="116" t="s">
        <v>292</v>
      </c>
      <c r="K124" s="10"/>
      <c r="L124" s="40"/>
      <c r="M124" s="10"/>
      <c r="N124" s="31"/>
      <c r="O124" s="10"/>
      <c r="P124" s="37"/>
      <c r="Q124" s="10"/>
      <c r="T124" s="79">
        <f t="shared" si="31"/>
        <v>283.5</v>
      </c>
      <c r="U124" s="41"/>
      <c r="V124" s="61"/>
      <c r="W124" s="90"/>
      <c r="X124" s="60">
        <v>283.5</v>
      </c>
      <c r="Y124" s="85" t="s">
        <v>238</v>
      </c>
      <c r="Z124" s="23" t="s">
        <v>264</v>
      </c>
    </row>
    <row r="125" spans="2:26" x14ac:dyDescent="0.3">
      <c r="B125" s="227" t="s">
        <v>392</v>
      </c>
      <c r="C125" s="1"/>
      <c r="D125" s="1"/>
      <c r="E125" s="40"/>
      <c r="F125" s="40"/>
      <c r="G125" s="40"/>
      <c r="H125" s="167">
        <v>475</v>
      </c>
      <c r="I125" s="10"/>
      <c r="J125" s="116" t="s">
        <v>292</v>
      </c>
      <c r="K125" s="10"/>
      <c r="L125" s="40"/>
      <c r="M125" s="10"/>
      <c r="N125" s="31"/>
      <c r="O125" s="10"/>
      <c r="P125" s="37"/>
      <c r="Q125" s="10"/>
      <c r="T125" s="31"/>
      <c r="U125" s="41"/>
      <c r="V125" s="61"/>
      <c r="W125" s="90"/>
      <c r="X125" s="60"/>
      <c r="Y125" s="85"/>
    </row>
    <row r="126" spans="2:26" ht="19.5" thickBot="1" x14ac:dyDescent="0.35">
      <c r="B126" s="228" t="s">
        <v>260</v>
      </c>
      <c r="C126" s="1"/>
      <c r="D126" s="1"/>
      <c r="E126" s="40"/>
      <c r="F126" s="40"/>
      <c r="G126" s="40"/>
      <c r="H126" s="168">
        <v>1100</v>
      </c>
      <c r="I126" s="15"/>
      <c r="J126" s="118" t="s">
        <v>292</v>
      </c>
      <c r="K126" s="10"/>
      <c r="L126" s="40"/>
      <c r="M126" s="10"/>
      <c r="N126" s="31"/>
      <c r="O126" s="10"/>
      <c r="P126" s="37"/>
      <c r="Q126" s="10"/>
      <c r="T126" s="79">
        <f t="shared" si="31"/>
        <v>850.5</v>
      </c>
      <c r="U126" s="41"/>
      <c r="V126" s="61"/>
      <c r="W126" s="90"/>
      <c r="X126" s="60">
        <v>850.5</v>
      </c>
      <c r="Y126" s="85" t="s">
        <v>238</v>
      </c>
      <c r="Z126" s="23" t="s">
        <v>265</v>
      </c>
    </row>
    <row r="127" spans="2:26" ht="19.5" thickBot="1" x14ac:dyDescent="0.35">
      <c r="B127" s="1" t="s">
        <v>49</v>
      </c>
      <c r="C127" s="1"/>
      <c r="D127" s="1"/>
      <c r="E127" s="40"/>
      <c r="F127" s="40"/>
      <c r="G127" s="40"/>
      <c r="H127" s="40"/>
      <c r="I127" s="10"/>
      <c r="J127" s="10">
        <v>5600</v>
      </c>
      <c r="K127" s="10"/>
      <c r="L127" s="49">
        <f>SUM(E127:J127)</f>
        <v>5600</v>
      </c>
      <c r="M127" s="10"/>
      <c r="N127" s="31">
        <f>L127</f>
        <v>5600</v>
      </c>
      <c r="O127" s="10"/>
      <c r="P127" s="37"/>
      <c r="Q127" s="10"/>
      <c r="R127" s="40">
        <f t="shared" ref="R127:R128" si="34">L127-P127</f>
        <v>5600</v>
      </c>
      <c r="S127" s="51" t="str">
        <f t="shared" ref="S127:S128" si="35">IF(P127&gt;L127,"Over Budget","In Budget")</f>
        <v>In Budget</v>
      </c>
      <c r="T127" s="79">
        <f>X127</f>
        <v>5594</v>
      </c>
      <c r="V127" s="51"/>
      <c r="W127" s="90"/>
      <c r="X127" s="60">
        <v>5594</v>
      </c>
      <c r="Y127" s="75" t="s">
        <v>214</v>
      </c>
    </row>
    <row r="128" spans="2:26" x14ac:dyDescent="0.3">
      <c r="B128" s="1" t="s">
        <v>85</v>
      </c>
      <c r="C128" s="1"/>
      <c r="D128" s="1"/>
      <c r="E128" s="40"/>
      <c r="F128" s="40"/>
      <c r="G128" s="40"/>
      <c r="H128" s="45"/>
      <c r="I128" s="12"/>
      <c r="J128" s="13">
        <f>SUM(J4*5)</f>
        <v>23490</v>
      </c>
      <c r="K128" s="10"/>
      <c r="L128" s="40">
        <f>SUM(H128:J137)</f>
        <v>25840</v>
      </c>
      <c r="M128" s="10"/>
      <c r="N128" s="31">
        <f>L128</f>
        <v>25840</v>
      </c>
      <c r="O128" s="10"/>
      <c r="P128" s="36">
        <f>7500</f>
        <v>7500</v>
      </c>
      <c r="Q128" s="10"/>
      <c r="R128" s="40">
        <f t="shared" si="34"/>
        <v>18340</v>
      </c>
      <c r="S128" s="51" t="str">
        <f t="shared" si="35"/>
        <v>In Budget</v>
      </c>
      <c r="T128" s="79">
        <f>X128</f>
        <v>17542.68</v>
      </c>
      <c r="U128" s="18"/>
      <c r="V128" s="10"/>
      <c r="W128" s="97">
        <v>3366.32</v>
      </c>
      <c r="X128" s="60">
        <v>17542.68</v>
      </c>
      <c r="Y128" s="76" t="s">
        <v>218</v>
      </c>
    </row>
    <row r="129" spans="2:25" x14ac:dyDescent="0.3">
      <c r="B129" s="1" t="s">
        <v>87</v>
      </c>
      <c r="C129" s="1"/>
      <c r="D129" s="1"/>
      <c r="E129" s="40"/>
      <c r="F129" s="40"/>
      <c r="G129" s="40"/>
      <c r="H129" s="46"/>
      <c r="I129" s="10"/>
      <c r="J129" s="14"/>
      <c r="K129" s="10"/>
      <c r="L129" s="40"/>
      <c r="M129" s="10"/>
      <c r="N129" s="31"/>
      <c r="O129" s="10"/>
      <c r="P129" s="37"/>
      <c r="Q129" s="10"/>
      <c r="U129" s="11"/>
      <c r="V129" s="10"/>
      <c r="W129" s="92"/>
      <c r="X129" s="73">
        <v>20536</v>
      </c>
      <c r="Y129" s="24" t="s">
        <v>219</v>
      </c>
    </row>
    <row r="130" spans="2:25" x14ac:dyDescent="0.3">
      <c r="B130" s="1" t="s">
        <v>170</v>
      </c>
      <c r="C130" s="1"/>
      <c r="D130" s="1"/>
      <c r="E130" s="40"/>
      <c r="F130" s="40"/>
      <c r="G130" s="40"/>
      <c r="H130" s="46"/>
      <c r="I130" s="10"/>
      <c r="J130" s="14" t="s">
        <v>86</v>
      </c>
      <c r="K130" s="10"/>
      <c r="L130" s="40"/>
      <c r="M130" s="10"/>
      <c r="N130" s="31"/>
      <c r="O130" s="10"/>
      <c r="P130" s="37"/>
      <c r="Q130" s="10"/>
      <c r="U130" s="11"/>
      <c r="V130" s="10"/>
      <c r="W130" s="90"/>
      <c r="X130" s="10"/>
      <c r="Y130" s="23"/>
    </row>
    <row r="131" spans="2:25" x14ac:dyDescent="0.3">
      <c r="B131" s="1" t="s">
        <v>88</v>
      </c>
      <c r="C131" s="1"/>
      <c r="D131" s="1"/>
      <c r="E131" s="40"/>
      <c r="F131" s="40"/>
      <c r="G131" s="40"/>
      <c r="H131" s="46"/>
      <c r="I131" s="10"/>
      <c r="J131" s="14" t="s">
        <v>86</v>
      </c>
      <c r="K131" s="10"/>
      <c r="L131" s="40"/>
      <c r="M131" s="10"/>
      <c r="N131" s="31"/>
      <c r="O131" s="10"/>
      <c r="P131" s="37"/>
      <c r="Q131" s="10"/>
      <c r="U131" s="11"/>
      <c r="V131" s="10"/>
      <c r="W131" s="90"/>
      <c r="X131" s="10"/>
      <c r="Y131" s="23"/>
    </row>
    <row r="132" spans="2:25" x14ac:dyDescent="0.3">
      <c r="B132" s="1" t="s">
        <v>89</v>
      </c>
      <c r="C132" s="1"/>
      <c r="D132" s="1"/>
      <c r="E132" s="40"/>
      <c r="F132" s="40"/>
      <c r="G132" s="40"/>
      <c r="H132" s="46"/>
      <c r="I132" s="10"/>
      <c r="J132" s="14" t="s">
        <v>86</v>
      </c>
      <c r="K132" s="10"/>
      <c r="L132" s="40"/>
      <c r="M132" s="10"/>
      <c r="N132" s="31"/>
      <c r="O132" s="10"/>
      <c r="P132" s="37"/>
      <c r="Q132" s="10"/>
      <c r="U132" s="11"/>
      <c r="V132" s="10"/>
      <c r="W132" s="90"/>
      <c r="X132" s="10"/>
      <c r="Y132" s="23"/>
    </row>
    <row r="133" spans="2:25" x14ac:dyDescent="0.3">
      <c r="B133" s="1" t="s">
        <v>90</v>
      </c>
      <c r="C133" s="1"/>
      <c r="D133" s="1"/>
      <c r="E133" s="40"/>
      <c r="F133" s="40"/>
      <c r="G133" s="40"/>
      <c r="H133" s="46"/>
      <c r="I133" s="10"/>
      <c r="J133" s="14" t="s">
        <v>86</v>
      </c>
      <c r="K133" s="10"/>
      <c r="L133" s="40"/>
      <c r="M133" s="10"/>
      <c r="N133" s="31"/>
      <c r="O133" s="10"/>
      <c r="P133" s="37"/>
      <c r="Q133" s="10"/>
      <c r="U133" s="11"/>
      <c r="V133" s="10"/>
      <c r="W133" s="90"/>
      <c r="X133" s="10"/>
      <c r="Y133" s="23"/>
    </row>
    <row r="134" spans="2:25" x14ac:dyDescent="0.3">
      <c r="B134" s="1" t="s">
        <v>91</v>
      </c>
      <c r="C134" s="1"/>
      <c r="D134" s="1"/>
      <c r="E134" s="40"/>
      <c r="F134" s="40"/>
      <c r="G134" s="40"/>
      <c r="H134" s="46"/>
      <c r="I134" s="10"/>
      <c r="J134" s="14">
        <v>0</v>
      </c>
      <c r="K134" s="10"/>
      <c r="L134" s="40"/>
      <c r="M134" s="10"/>
      <c r="N134" s="31"/>
      <c r="O134" s="10"/>
      <c r="P134" s="37"/>
      <c r="Q134" s="10"/>
      <c r="U134" s="11"/>
      <c r="V134" s="10"/>
      <c r="W134" s="97"/>
      <c r="X134" s="10"/>
      <c r="Y134" s="23"/>
    </row>
    <row r="135" spans="2:25" x14ac:dyDescent="0.3">
      <c r="B135" s="1" t="s">
        <v>92</v>
      </c>
      <c r="C135" s="1"/>
      <c r="D135" s="1"/>
      <c r="E135" s="40"/>
      <c r="F135" s="40"/>
      <c r="G135" s="40"/>
      <c r="H135" s="46"/>
      <c r="I135" s="10"/>
      <c r="J135" s="14">
        <v>0</v>
      </c>
      <c r="K135" s="10"/>
      <c r="L135" s="40"/>
      <c r="M135" s="10"/>
      <c r="N135" s="31"/>
      <c r="O135" s="10"/>
      <c r="P135" s="37"/>
      <c r="Q135" s="10"/>
      <c r="U135" s="11"/>
      <c r="V135" s="10"/>
      <c r="W135" s="90"/>
      <c r="X135" s="10"/>
      <c r="Y135" s="23"/>
    </row>
    <row r="136" spans="2:25" x14ac:dyDescent="0.3">
      <c r="B136" s="229" t="s">
        <v>387</v>
      </c>
      <c r="C136" s="1"/>
      <c r="D136" s="1"/>
      <c r="E136" s="40"/>
      <c r="F136" s="40"/>
      <c r="G136" s="40"/>
      <c r="H136" s="176">
        <v>1325</v>
      </c>
      <c r="I136" s="10"/>
      <c r="J136" s="14" t="s">
        <v>292</v>
      </c>
      <c r="K136" s="10"/>
      <c r="L136" s="40"/>
      <c r="M136" s="10"/>
      <c r="N136" s="31"/>
      <c r="O136" s="10"/>
      <c r="P136" s="37"/>
      <c r="Q136" s="10"/>
      <c r="U136" s="11"/>
      <c r="V136" s="10"/>
      <c r="W136" s="90"/>
      <c r="X136" s="10"/>
      <c r="Y136" s="23"/>
    </row>
    <row r="137" spans="2:25" ht="19.5" thickBot="1" x14ac:dyDescent="0.35">
      <c r="B137" s="224" t="s">
        <v>382</v>
      </c>
      <c r="C137" s="1"/>
      <c r="D137" s="1"/>
      <c r="E137" s="40"/>
      <c r="F137" s="40"/>
      <c r="G137" s="40"/>
      <c r="H137" s="170">
        <v>1025</v>
      </c>
      <c r="I137" s="15"/>
      <c r="J137" s="16" t="s">
        <v>292</v>
      </c>
      <c r="K137" s="10"/>
      <c r="L137" s="40"/>
      <c r="M137" s="10"/>
      <c r="N137" s="31"/>
      <c r="O137" s="10"/>
      <c r="P137" s="37"/>
      <c r="Q137" s="10"/>
      <c r="U137" s="11"/>
      <c r="V137" s="10"/>
      <c r="W137" s="90"/>
      <c r="X137" s="10"/>
      <c r="Y137" s="23"/>
    </row>
    <row r="138" spans="2:25" ht="19.5" thickBot="1" x14ac:dyDescent="0.35">
      <c r="B138" s="1" t="s">
        <v>93</v>
      </c>
      <c r="C138" s="1"/>
      <c r="D138" s="1"/>
      <c r="E138" s="40"/>
      <c r="F138" s="40"/>
      <c r="G138" s="40"/>
      <c r="H138" s="100"/>
      <c r="I138" s="15"/>
      <c r="J138" s="16">
        <f>SUM(N3*5)</f>
        <v>4785</v>
      </c>
      <c r="K138" s="10"/>
      <c r="L138" s="40">
        <f>SUM(H138:J138)</f>
        <v>4785</v>
      </c>
      <c r="M138" s="10"/>
      <c r="N138" s="31"/>
      <c r="O138" s="10"/>
      <c r="P138" s="37"/>
      <c r="Q138" s="10"/>
      <c r="T138" s="79">
        <f>X138</f>
        <v>3828</v>
      </c>
      <c r="U138" s="40"/>
      <c r="V138" s="51"/>
      <c r="W138" s="91">
        <f>(1-(X138/L138))</f>
        <v>0.19999999999999996</v>
      </c>
      <c r="X138" s="60">
        <v>3828</v>
      </c>
      <c r="Y138" s="85" t="s">
        <v>253</v>
      </c>
    </row>
    <row r="139" spans="2:25" x14ac:dyDescent="0.3">
      <c r="B139" s="1" t="s">
        <v>94</v>
      </c>
      <c r="C139" s="1"/>
      <c r="D139" s="1" t="s">
        <v>277</v>
      </c>
      <c r="E139" s="40"/>
      <c r="F139" s="40"/>
      <c r="G139" s="40"/>
      <c r="H139" s="115"/>
      <c r="I139" s="12"/>
      <c r="J139" s="13">
        <f>SUM(J6*7.93)</f>
        <v>23480.73</v>
      </c>
      <c r="K139" s="10"/>
      <c r="L139" s="40">
        <f>SUM(H139:J155)</f>
        <v>40733.18</v>
      </c>
      <c r="M139" s="10"/>
      <c r="N139" s="31">
        <f>L139</f>
        <v>40733.18</v>
      </c>
      <c r="O139" s="10"/>
      <c r="P139" s="38">
        <f>24786+672.75+5845.5</f>
        <v>31304.25</v>
      </c>
      <c r="Q139" s="10"/>
      <c r="R139" s="40">
        <f>L139-P139</f>
        <v>9428.93</v>
      </c>
      <c r="S139" s="51" t="str">
        <f t="shared" ref="S139" si="36">IF(P139&gt;L139,"Over Budget","In Budget")</f>
        <v>In Budget</v>
      </c>
      <c r="T139" s="79">
        <f>X139</f>
        <v>30725.38</v>
      </c>
      <c r="U139" s="11"/>
      <c r="V139" s="10"/>
      <c r="W139" s="91">
        <v>0.15</v>
      </c>
      <c r="X139" s="60">
        <v>30725.38</v>
      </c>
      <c r="Y139" s="85" t="s">
        <v>254</v>
      </c>
    </row>
    <row r="140" spans="2:25" x14ac:dyDescent="0.3">
      <c r="B140" s="1" t="s">
        <v>95</v>
      </c>
      <c r="C140" s="1"/>
      <c r="D140" s="1"/>
      <c r="E140" s="40"/>
      <c r="F140" s="40"/>
      <c r="G140" s="40"/>
      <c r="H140" s="46"/>
      <c r="I140" s="10"/>
      <c r="J140" s="14" t="s">
        <v>86</v>
      </c>
      <c r="K140" s="10"/>
      <c r="L140" s="40"/>
      <c r="M140" s="10"/>
      <c r="N140" s="31"/>
      <c r="O140" s="10"/>
      <c r="P140" s="37"/>
      <c r="Q140" s="10"/>
      <c r="U140" s="11"/>
      <c r="V140" s="10"/>
      <c r="W140" s="90"/>
      <c r="X140" s="10"/>
      <c r="Y140" s="23"/>
    </row>
    <row r="141" spans="2:25" x14ac:dyDescent="0.3">
      <c r="B141" s="230" t="s">
        <v>393</v>
      </c>
      <c r="C141" s="1"/>
      <c r="D141" s="1"/>
      <c r="E141" s="40"/>
      <c r="F141" s="40"/>
      <c r="G141" s="40"/>
      <c r="H141" s="177">
        <f>F47</f>
        <v>5677.75</v>
      </c>
      <c r="I141" s="10"/>
      <c r="J141" s="14">
        <v>0</v>
      </c>
      <c r="K141" s="10"/>
      <c r="L141" s="40"/>
      <c r="M141" s="10"/>
      <c r="N141" s="31"/>
      <c r="O141" s="10"/>
      <c r="P141" s="37"/>
      <c r="Q141" s="10"/>
      <c r="R141" s="40"/>
      <c r="S141" s="51"/>
      <c r="T141" s="31"/>
      <c r="U141" s="11"/>
      <c r="V141" s="10"/>
      <c r="W141" s="91"/>
      <c r="X141" s="60"/>
      <c r="Y141" s="85"/>
    </row>
    <row r="142" spans="2:25" x14ac:dyDescent="0.3">
      <c r="B142" s="1" t="s">
        <v>161</v>
      </c>
      <c r="C142" s="1"/>
      <c r="D142" s="1"/>
      <c r="E142" s="40"/>
      <c r="F142" s="40"/>
      <c r="G142" s="40"/>
      <c r="H142" s="127"/>
      <c r="I142" s="10"/>
      <c r="J142" s="14">
        <v>0</v>
      </c>
      <c r="K142" s="10"/>
      <c r="L142" s="40"/>
      <c r="M142" s="10"/>
      <c r="N142" s="31"/>
      <c r="O142" s="10"/>
      <c r="P142" s="37"/>
      <c r="Q142" s="10"/>
      <c r="U142" s="11"/>
      <c r="V142" s="10"/>
      <c r="W142" s="90"/>
      <c r="X142" s="10"/>
      <c r="Y142" s="23"/>
    </row>
    <row r="143" spans="2:25" x14ac:dyDescent="0.3">
      <c r="B143" s="1" t="s">
        <v>96</v>
      </c>
      <c r="C143" s="1"/>
      <c r="D143" s="1"/>
      <c r="E143" s="40"/>
      <c r="F143" s="40"/>
      <c r="G143" s="40"/>
      <c r="H143" s="127"/>
      <c r="I143" s="10"/>
      <c r="J143" s="14">
        <v>0</v>
      </c>
      <c r="K143" s="10"/>
      <c r="L143" s="40"/>
      <c r="M143" s="10"/>
      <c r="N143" s="31"/>
      <c r="O143" s="10"/>
      <c r="P143" s="37"/>
      <c r="Q143" s="10"/>
      <c r="U143" s="11"/>
      <c r="V143" s="10"/>
      <c r="W143" s="90"/>
      <c r="X143" s="10"/>
      <c r="Y143" s="23"/>
    </row>
    <row r="144" spans="2:25" x14ac:dyDescent="0.3">
      <c r="B144" s="231" t="s">
        <v>345</v>
      </c>
      <c r="C144" s="1"/>
      <c r="D144" s="1"/>
      <c r="E144" s="40"/>
      <c r="F144" s="40"/>
      <c r="G144" s="40"/>
      <c r="H144" s="178">
        <f>F50</f>
        <v>487.5</v>
      </c>
      <c r="I144" s="10"/>
      <c r="J144" s="14">
        <v>0</v>
      </c>
      <c r="K144" s="10"/>
      <c r="L144" s="40"/>
      <c r="M144" s="10"/>
      <c r="N144" s="31"/>
      <c r="O144" s="10"/>
      <c r="P144" s="37"/>
      <c r="Q144" s="10"/>
      <c r="R144" s="40"/>
      <c r="S144" s="51"/>
      <c r="T144" s="31"/>
      <c r="U144" s="11"/>
      <c r="V144" s="10"/>
      <c r="W144" s="91"/>
      <c r="X144" s="60"/>
      <c r="Y144" s="85"/>
    </row>
    <row r="145" spans="2:25" x14ac:dyDescent="0.3">
      <c r="B145" s="232" t="s">
        <v>346</v>
      </c>
      <c r="C145" s="1"/>
      <c r="D145" s="1"/>
      <c r="E145" s="40"/>
      <c r="F145" s="40"/>
      <c r="G145" s="40"/>
      <c r="H145" s="179">
        <f>F51</f>
        <v>122.2</v>
      </c>
      <c r="I145" s="10"/>
      <c r="J145" s="14">
        <v>0</v>
      </c>
      <c r="K145" s="10"/>
      <c r="L145" s="40"/>
      <c r="M145" s="10"/>
      <c r="N145" s="31"/>
      <c r="O145" s="10"/>
      <c r="P145" s="37"/>
      <c r="Q145" s="10"/>
      <c r="R145" s="40"/>
      <c r="S145" s="51"/>
      <c r="T145" s="31"/>
      <c r="U145" s="11"/>
      <c r="V145" s="10"/>
      <c r="W145" s="91"/>
      <c r="X145" s="60"/>
      <c r="Y145" s="85"/>
    </row>
    <row r="146" spans="2:25" x14ac:dyDescent="0.3">
      <c r="B146" s="1" t="s">
        <v>278</v>
      </c>
      <c r="C146" s="1"/>
      <c r="D146" s="1"/>
      <c r="E146" s="40"/>
      <c r="F146" s="40"/>
      <c r="G146" s="40"/>
      <c r="H146" s="127"/>
      <c r="I146" s="10"/>
      <c r="J146" s="14">
        <v>1672</v>
      </c>
      <c r="K146" s="10"/>
      <c r="L146" s="40"/>
      <c r="M146" s="10"/>
      <c r="N146" s="31"/>
      <c r="O146" s="10"/>
      <c r="P146" s="37"/>
      <c r="Q146" s="10"/>
      <c r="U146" s="11"/>
      <c r="V146" s="10"/>
      <c r="W146" s="90"/>
      <c r="X146" s="10"/>
      <c r="Y146" s="23"/>
    </row>
    <row r="147" spans="2:25" x14ac:dyDescent="0.3">
      <c r="B147" s="1" t="s">
        <v>97</v>
      </c>
      <c r="C147" s="1"/>
      <c r="D147" s="1"/>
      <c r="E147" s="40"/>
      <c r="F147" s="40"/>
      <c r="G147" s="40"/>
      <c r="H147" s="127"/>
      <c r="I147" s="10"/>
      <c r="J147" s="14">
        <v>800</v>
      </c>
      <c r="K147" s="10"/>
      <c r="L147" s="40"/>
      <c r="M147" s="10"/>
      <c r="N147" s="31"/>
      <c r="O147" s="10"/>
      <c r="P147" s="37"/>
      <c r="Q147" s="10"/>
      <c r="U147" s="11"/>
      <c r="V147" s="10"/>
      <c r="W147" s="90"/>
      <c r="X147" s="10"/>
      <c r="Y147" s="23"/>
    </row>
    <row r="148" spans="2:25" x14ac:dyDescent="0.3">
      <c r="B148" s="1" t="s">
        <v>98</v>
      </c>
      <c r="C148" s="1"/>
      <c r="D148" s="1"/>
      <c r="E148" s="40"/>
      <c r="F148" s="40"/>
      <c r="G148" s="40"/>
      <c r="H148" s="46"/>
      <c r="I148" s="10"/>
      <c r="J148" s="14">
        <v>0</v>
      </c>
      <c r="K148" s="10"/>
      <c r="L148" s="40"/>
      <c r="M148" s="10"/>
      <c r="N148" s="31"/>
      <c r="O148" s="10"/>
      <c r="P148" s="37"/>
      <c r="Q148" s="10"/>
      <c r="U148" s="11"/>
      <c r="V148" s="10"/>
      <c r="W148" s="90"/>
      <c r="X148" s="10"/>
      <c r="Y148" s="23"/>
    </row>
    <row r="149" spans="2:25" x14ac:dyDescent="0.3">
      <c r="B149" s="1" t="s">
        <v>162</v>
      </c>
      <c r="C149" s="1"/>
      <c r="D149" s="1"/>
      <c r="E149" s="40"/>
      <c r="F149" s="40"/>
      <c r="G149" s="40"/>
      <c r="H149" s="46"/>
      <c r="I149" s="10"/>
      <c r="J149" s="14">
        <v>4775</v>
      </c>
      <c r="K149" s="10"/>
      <c r="L149" s="40"/>
      <c r="M149" s="10"/>
      <c r="N149" s="31"/>
      <c r="O149" s="10"/>
      <c r="P149" s="37"/>
      <c r="Q149" s="10"/>
      <c r="U149" s="11"/>
      <c r="V149" s="10"/>
      <c r="W149" s="90"/>
      <c r="X149" s="10"/>
      <c r="Y149" s="23"/>
    </row>
    <row r="150" spans="2:25" x14ac:dyDescent="0.3">
      <c r="B150" s="233" t="s">
        <v>343</v>
      </c>
      <c r="C150" s="1"/>
      <c r="D150" s="1"/>
      <c r="E150" s="40"/>
      <c r="F150" s="40"/>
      <c r="G150" s="40"/>
      <c r="H150" s="180">
        <f>F48</f>
        <v>728</v>
      </c>
      <c r="I150" s="10"/>
      <c r="J150" s="14">
        <v>0</v>
      </c>
      <c r="K150" s="10"/>
      <c r="L150" s="40"/>
      <c r="M150" s="10"/>
      <c r="N150" s="31"/>
      <c r="O150" s="10"/>
      <c r="P150" s="37"/>
      <c r="Q150" s="10"/>
      <c r="R150" s="40"/>
      <c r="S150" s="51"/>
      <c r="T150" s="31"/>
      <c r="U150" s="11"/>
      <c r="V150" s="10"/>
      <c r="W150" s="91"/>
      <c r="X150" s="60"/>
      <c r="Y150" s="85"/>
    </row>
    <row r="151" spans="2:25" x14ac:dyDescent="0.3">
      <c r="B151" s="234" t="s">
        <v>344</v>
      </c>
      <c r="C151" s="1"/>
      <c r="D151" s="1"/>
      <c r="E151" s="40"/>
      <c r="F151" s="40"/>
      <c r="G151" s="40"/>
      <c r="H151" s="181">
        <f>F49</f>
        <v>390</v>
      </c>
      <c r="I151" s="10"/>
      <c r="J151" s="14">
        <v>0</v>
      </c>
      <c r="K151" s="10"/>
      <c r="L151" s="40"/>
      <c r="M151" s="10"/>
      <c r="N151" s="31"/>
      <c r="O151" s="10"/>
      <c r="P151" s="37"/>
      <c r="Q151" s="10"/>
      <c r="R151" s="40"/>
      <c r="S151" s="51"/>
      <c r="T151" s="31"/>
      <c r="U151" s="11"/>
      <c r="V151" s="10"/>
      <c r="W151" s="91"/>
      <c r="X151" s="60"/>
      <c r="Y151" s="85"/>
    </row>
    <row r="152" spans="2:25" x14ac:dyDescent="0.3">
      <c r="B152" s="1" t="s">
        <v>163</v>
      </c>
      <c r="C152" s="1"/>
      <c r="D152" s="1"/>
      <c r="E152" s="40"/>
      <c r="F152" s="40"/>
      <c r="G152" s="40"/>
      <c r="H152" s="46"/>
      <c r="I152" s="10"/>
      <c r="J152" s="14">
        <v>750</v>
      </c>
      <c r="K152" s="10"/>
      <c r="L152" s="40"/>
      <c r="M152" s="10"/>
      <c r="N152" s="31"/>
      <c r="O152" s="10"/>
      <c r="P152" s="37"/>
      <c r="Q152" s="10"/>
      <c r="U152" s="11"/>
      <c r="V152" s="10"/>
      <c r="W152" s="90"/>
      <c r="X152" s="10"/>
      <c r="Y152" s="23"/>
    </row>
    <row r="153" spans="2:25" x14ac:dyDescent="0.3">
      <c r="B153" s="1" t="s">
        <v>99</v>
      </c>
      <c r="C153" s="1"/>
      <c r="D153" s="1"/>
      <c r="E153" s="40"/>
      <c r="F153" s="40"/>
      <c r="G153" s="40"/>
      <c r="H153" s="46"/>
      <c r="I153" s="10"/>
      <c r="J153" s="14">
        <v>1100</v>
      </c>
      <c r="K153" s="10"/>
      <c r="L153" s="40"/>
      <c r="M153" s="10"/>
      <c r="N153" s="31"/>
      <c r="O153" s="10"/>
      <c r="P153" s="37"/>
      <c r="Q153" s="10"/>
      <c r="U153" s="11"/>
      <c r="V153" s="10"/>
      <c r="W153" s="90"/>
      <c r="X153" s="10"/>
      <c r="Y153" s="23"/>
    </row>
    <row r="154" spans="2:25" x14ac:dyDescent="0.3">
      <c r="B154" s="1" t="s">
        <v>100</v>
      </c>
      <c r="C154" s="1"/>
      <c r="D154" s="1"/>
      <c r="E154" s="40"/>
      <c r="F154" s="40"/>
      <c r="G154" s="40"/>
      <c r="H154" s="46"/>
      <c r="I154" s="10"/>
      <c r="J154" s="14">
        <v>750</v>
      </c>
      <c r="K154" s="10"/>
      <c r="L154" s="40"/>
      <c r="M154" s="10"/>
      <c r="N154" s="31"/>
      <c r="O154" s="10"/>
      <c r="P154" s="37"/>
      <c r="Q154" s="10"/>
      <c r="U154" s="11"/>
      <c r="V154" s="10"/>
      <c r="W154" s="90"/>
      <c r="X154" s="10"/>
      <c r="Y154" s="23"/>
    </row>
    <row r="155" spans="2:25" ht="19.5" thickBot="1" x14ac:dyDescent="0.35">
      <c r="B155" s="1" t="s">
        <v>101</v>
      </c>
      <c r="C155" s="1"/>
      <c r="D155" s="1"/>
      <c r="E155" s="40"/>
      <c r="F155" s="40"/>
      <c r="G155" s="40"/>
      <c r="H155" s="48"/>
      <c r="I155" s="15"/>
      <c r="J155" s="16">
        <v>0</v>
      </c>
      <c r="K155" s="10"/>
      <c r="L155" s="40"/>
      <c r="M155" s="10"/>
      <c r="N155" s="31"/>
      <c r="O155" s="10"/>
      <c r="P155" s="37"/>
      <c r="Q155" s="10"/>
      <c r="U155" s="40"/>
      <c r="V155" s="51"/>
      <c r="W155" s="90"/>
      <c r="X155" s="10"/>
      <c r="Y155" s="23"/>
    </row>
    <row r="156" spans="2:25" ht="19.5" thickBot="1" x14ac:dyDescent="0.35">
      <c r="B156" s="1" t="s">
        <v>149</v>
      </c>
      <c r="C156" s="1"/>
      <c r="D156" s="1"/>
      <c r="E156" s="40"/>
      <c r="F156" s="40"/>
      <c r="G156" s="40"/>
      <c r="H156" s="40"/>
      <c r="I156" s="10"/>
      <c r="J156" s="10">
        <v>0</v>
      </c>
      <c r="K156" s="10"/>
      <c r="L156" s="40">
        <f>SUM(E156:J156)</f>
        <v>0</v>
      </c>
      <c r="M156" s="10"/>
      <c r="N156" s="31">
        <v>6500</v>
      </c>
      <c r="O156" s="10"/>
      <c r="P156" s="37"/>
      <c r="Q156" s="10"/>
      <c r="R156" s="40">
        <f t="shared" ref="R156:R159" si="37">L156-P156</f>
        <v>0</v>
      </c>
      <c r="S156" s="51" t="str">
        <f t="shared" ref="S156:S159" si="38">IF(P156&gt;L156,"Over Budget","In Budget")</f>
        <v>In Budget</v>
      </c>
      <c r="U156" s="41">
        <v>5615</v>
      </c>
      <c r="V156" s="52" t="s">
        <v>183</v>
      </c>
      <c r="W156" s="90"/>
      <c r="X156" s="10"/>
      <c r="Y156" s="23"/>
    </row>
    <row r="157" spans="2:25" x14ac:dyDescent="0.3">
      <c r="B157" s="231" t="s">
        <v>62</v>
      </c>
      <c r="C157" s="1"/>
      <c r="D157" s="1"/>
      <c r="E157" s="40"/>
      <c r="F157" s="40"/>
      <c r="G157" s="40"/>
      <c r="H157" s="182">
        <f>F28</f>
        <v>4409.6000000000004</v>
      </c>
      <c r="I157" s="12"/>
      <c r="J157" s="13" t="s">
        <v>292</v>
      </c>
      <c r="K157" s="10"/>
      <c r="L157" s="40">
        <f>SUM(H157:J158)</f>
        <v>5709.6</v>
      </c>
      <c r="M157" s="10"/>
      <c r="N157" s="31">
        <v>3650</v>
      </c>
      <c r="O157" s="10"/>
      <c r="P157" s="36">
        <f>3410+3118</f>
        <v>6528</v>
      </c>
      <c r="Q157" s="10"/>
      <c r="R157" s="40">
        <f t="shared" si="37"/>
        <v>-818.39999999999964</v>
      </c>
      <c r="S157" s="51" t="str">
        <f t="shared" si="38"/>
        <v>Over Budget</v>
      </c>
      <c r="T157" s="79">
        <f>X157</f>
        <v>6767.8</v>
      </c>
      <c r="U157" s="41">
        <v>5615</v>
      </c>
      <c r="V157" s="52" t="s">
        <v>183</v>
      </c>
      <c r="W157" s="90"/>
      <c r="X157" s="60">
        <v>6767.8</v>
      </c>
      <c r="Y157" s="85" t="s">
        <v>223</v>
      </c>
    </row>
    <row r="158" spans="2:25" ht="19.5" thickBot="1" x14ac:dyDescent="0.35">
      <c r="B158" s="235" t="s">
        <v>383</v>
      </c>
      <c r="C158" s="1"/>
      <c r="D158" s="1"/>
      <c r="E158" s="40"/>
      <c r="F158" s="40"/>
      <c r="G158" s="40"/>
      <c r="H158" s="183">
        <f>F29</f>
        <v>1300</v>
      </c>
      <c r="I158" s="15"/>
      <c r="J158" s="16" t="s">
        <v>292</v>
      </c>
      <c r="K158" s="10"/>
      <c r="L158" s="40"/>
      <c r="M158" s="10"/>
      <c r="N158" s="31"/>
      <c r="O158" s="10"/>
      <c r="P158" s="37"/>
      <c r="Q158" s="10"/>
      <c r="R158" s="40"/>
      <c r="S158" s="51"/>
      <c r="T158" s="31"/>
      <c r="U158" s="41"/>
      <c r="V158" s="52"/>
      <c r="W158" s="90"/>
      <c r="X158" s="10"/>
      <c r="Y158" s="23"/>
    </row>
    <row r="159" spans="2:25" x14ac:dyDescent="0.3">
      <c r="B159" s="1" t="s">
        <v>194</v>
      </c>
      <c r="C159" s="1"/>
      <c r="D159" s="1"/>
      <c r="E159" s="40"/>
      <c r="F159" s="40"/>
      <c r="G159" s="40"/>
      <c r="H159" s="119"/>
      <c r="I159" s="12"/>
      <c r="J159" s="13">
        <v>2000</v>
      </c>
      <c r="K159" s="10"/>
      <c r="L159" s="40">
        <f>SUM(H159:J160)</f>
        <v>2975</v>
      </c>
      <c r="M159" s="10"/>
      <c r="N159" s="31">
        <v>3650</v>
      </c>
      <c r="O159" s="10"/>
      <c r="P159" s="37"/>
      <c r="Q159" s="10"/>
      <c r="R159" s="40">
        <f t="shared" si="37"/>
        <v>2975</v>
      </c>
      <c r="S159" s="51" t="str">
        <f t="shared" si="38"/>
        <v>In Budget</v>
      </c>
      <c r="U159" s="40"/>
      <c r="V159" s="51"/>
      <c r="W159" s="90"/>
      <c r="X159" s="10"/>
      <c r="Y159" s="23"/>
    </row>
    <row r="160" spans="2:25" ht="19.5" thickBot="1" x14ac:dyDescent="0.35">
      <c r="B160" s="236" t="s">
        <v>384</v>
      </c>
      <c r="C160" s="1"/>
      <c r="D160" s="1"/>
      <c r="E160" s="40"/>
      <c r="F160" s="40"/>
      <c r="G160" s="40"/>
      <c r="H160" s="184">
        <f>F30</f>
        <v>975</v>
      </c>
      <c r="I160" s="15"/>
      <c r="J160" s="16" t="s">
        <v>292</v>
      </c>
      <c r="K160" s="10"/>
      <c r="L160" s="40"/>
      <c r="M160" s="10"/>
      <c r="N160" s="31"/>
      <c r="O160" s="10"/>
      <c r="P160" s="37"/>
      <c r="Q160" s="10"/>
      <c r="R160" s="40"/>
      <c r="S160" s="51"/>
      <c r="U160" s="40"/>
      <c r="V160" s="51"/>
      <c r="W160" s="90"/>
      <c r="X160" s="10"/>
      <c r="Y160" s="23"/>
    </row>
    <row r="161" spans="2:25" x14ac:dyDescent="0.3">
      <c r="B161" s="1" t="s">
        <v>164</v>
      </c>
      <c r="C161" s="1"/>
      <c r="D161" s="1"/>
      <c r="E161" s="40"/>
      <c r="F161" s="40"/>
      <c r="G161" s="40"/>
      <c r="H161" s="45"/>
      <c r="I161" s="12"/>
      <c r="J161" s="13">
        <v>17000</v>
      </c>
      <c r="K161" s="10"/>
      <c r="L161" s="49">
        <f>SUM(H161:J169)</f>
        <v>26477.120000000003</v>
      </c>
      <c r="M161" s="10"/>
      <c r="N161" s="31">
        <v>26500</v>
      </c>
      <c r="O161" s="10"/>
      <c r="P161" s="38">
        <f>6000+5000+6240</f>
        <v>17240</v>
      </c>
      <c r="Q161" s="10"/>
      <c r="R161" s="40">
        <f>L161-SUM(P161:P165)</f>
        <v>6095.0400000000045</v>
      </c>
      <c r="S161" s="51" t="str">
        <f>IF((SUM(P161:P165))&gt;L161,"Over Budget","In Budget")</f>
        <v>In Budget</v>
      </c>
      <c r="T161" s="79">
        <f>X161</f>
        <v>16500</v>
      </c>
      <c r="U161" s="11"/>
      <c r="V161" s="10"/>
      <c r="W161" s="90"/>
      <c r="X161" s="60">
        <v>16500</v>
      </c>
      <c r="Y161" s="85" t="s">
        <v>226</v>
      </c>
    </row>
    <row r="162" spans="2:25" x14ac:dyDescent="0.3">
      <c r="B162" s="1" t="s">
        <v>165</v>
      </c>
      <c r="C162" s="1"/>
      <c r="D162" s="1"/>
      <c r="E162" s="40"/>
      <c r="F162" s="40"/>
      <c r="G162" s="40"/>
      <c r="H162" s="46"/>
      <c r="I162" s="10"/>
      <c r="J162" s="14">
        <v>5000</v>
      </c>
      <c r="K162" s="10"/>
      <c r="L162" s="40"/>
      <c r="M162" s="10"/>
      <c r="N162" s="31">
        <v>5400</v>
      </c>
      <c r="O162" s="10"/>
      <c r="P162" s="38">
        <v>1921.19</v>
      </c>
      <c r="Q162" s="10"/>
      <c r="U162" s="11"/>
      <c r="V162" s="10"/>
      <c r="W162" s="90"/>
    </row>
    <row r="163" spans="2:25" x14ac:dyDescent="0.3">
      <c r="B163" s="1" t="s">
        <v>102</v>
      </c>
      <c r="C163" s="1"/>
      <c r="D163" s="1"/>
      <c r="E163" s="40"/>
      <c r="F163" s="40"/>
      <c r="G163" s="40"/>
      <c r="H163" s="46"/>
      <c r="I163" s="10"/>
      <c r="J163" s="14">
        <v>1250</v>
      </c>
      <c r="K163" s="10"/>
      <c r="L163" s="40"/>
      <c r="M163" s="10"/>
      <c r="N163" s="31"/>
      <c r="O163" s="10"/>
      <c r="P163" s="38">
        <f>1097.02+123.87</f>
        <v>1220.8899999999999</v>
      </c>
      <c r="Q163" s="10"/>
      <c r="T163" s="79">
        <f>X163</f>
        <v>1097.02</v>
      </c>
      <c r="U163" s="11"/>
      <c r="V163" s="10"/>
      <c r="W163" s="89">
        <v>0.25</v>
      </c>
      <c r="X163" s="57">
        <v>1097.02</v>
      </c>
      <c r="Y163" s="75" t="s">
        <v>252</v>
      </c>
    </row>
    <row r="164" spans="2:25" x14ac:dyDescent="0.3">
      <c r="B164" s="1" t="s">
        <v>103</v>
      </c>
      <c r="C164" s="1"/>
      <c r="D164" s="1"/>
      <c r="E164" s="40"/>
      <c r="F164" s="40"/>
      <c r="G164" s="40"/>
      <c r="H164" s="46"/>
      <c r="I164" s="10"/>
      <c r="J164" s="14">
        <v>0</v>
      </c>
      <c r="K164" s="10"/>
      <c r="L164" s="40"/>
      <c r="M164" s="10"/>
      <c r="N164" s="31"/>
      <c r="O164" s="10"/>
      <c r="P164" s="37"/>
      <c r="Q164" s="10"/>
      <c r="U164" s="11"/>
      <c r="V164" s="10"/>
      <c r="W164" s="90"/>
      <c r="X164" s="10"/>
      <c r="Y164" s="23"/>
    </row>
    <row r="165" spans="2:25" x14ac:dyDescent="0.3">
      <c r="B165" s="1" t="s">
        <v>104</v>
      </c>
      <c r="C165" s="1"/>
      <c r="D165" s="1"/>
      <c r="E165" s="40"/>
      <c r="F165" s="40"/>
      <c r="G165" s="40"/>
      <c r="H165" s="46"/>
      <c r="I165" s="10"/>
      <c r="J165" s="14">
        <v>800</v>
      </c>
      <c r="K165" s="10"/>
      <c r="L165" s="40"/>
      <c r="M165" s="10"/>
      <c r="N165" s="31"/>
      <c r="O165" s="10"/>
      <c r="P165" s="37"/>
      <c r="Q165" s="10"/>
      <c r="U165" s="41"/>
      <c r="V165" s="52"/>
      <c r="W165" s="90"/>
      <c r="X165" s="10"/>
      <c r="Y165" s="23"/>
    </row>
    <row r="166" spans="2:25" x14ac:dyDescent="0.3">
      <c r="B166" s="237" t="s">
        <v>389</v>
      </c>
      <c r="C166" s="1"/>
      <c r="D166" s="1"/>
      <c r="E166" s="40"/>
      <c r="F166" s="40"/>
      <c r="G166" s="40"/>
      <c r="H166" s="185">
        <f>F41</f>
        <v>1106.95</v>
      </c>
      <c r="I166" s="10"/>
      <c r="J166" s="14" t="s">
        <v>292</v>
      </c>
      <c r="K166" s="10"/>
      <c r="L166" s="40"/>
      <c r="M166" s="10"/>
      <c r="N166" s="31"/>
      <c r="O166" s="10"/>
      <c r="P166" s="37"/>
      <c r="Q166" s="10"/>
      <c r="U166" s="41"/>
      <c r="V166" s="52"/>
      <c r="W166" s="90"/>
      <c r="X166" s="10"/>
      <c r="Y166" s="23"/>
    </row>
    <row r="167" spans="2:25" x14ac:dyDescent="0.3">
      <c r="B167" s="238" t="s">
        <v>369</v>
      </c>
      <c r="C167" s="1"/>
      <c r="D167" s="1"/>
      <c r="E167" s="40"/>
      <c r="F167" s="40"/>
      <c r="G167" s="40"/>
      <c r="H167" s="186">
        <v>428.97</v>
      </c>
      <c r="I167" s="10"/>
      <c r="J167" s="14" t="s">
        <v>292</v>
      </c>
      <c r="K167" s="10"/>
      <c r="L167" s="40"/>
      <c r="M167" s="10"/>
      <c r="N167" s="31"/>
      <c r="O167" s="10"/>
      <c r="P167" s="37"/>
      <c r="Q167" s="10"/>
      <c r="U167" s="41"/>
      <c r="V167" s="52"/>
      <c r="W167" s="90"/>
      <c r="X167" s="10"/>
      <c r="Y167" s="23"/>
    </row>
    <row r="168" spans="2:25" x14ac:dyDescent="0.3">
      <c r="B168" s="239" t="s">
        <v>373</v>
      </c>
      <c r="C168" s="1"/>
      <c r="D168" s="1"/>
      <c r="E168" s="40"/>
      <c r="F168" s="40"/>
      <c r="G168" s="40"/>
      <c r="H168" s="187">
        <v>448.77</v>
      </c>
      <c r="I168" s="10"/>
      <c r="J168" s="14" t="s">
        <v>292</v>
      </c>
      <c r="K168" s="10"/>
      <c r="L168" s="40"/>
      <c r="M168" s="10"/>
      <c r="N168" s="31"/>
      <c r="O168" s="10"/>
      <c r="P168" s="39"/>
      <c r="Q168" s="20"/>
      <c r="U168" s="40"/>
      <c r="W168" s="69"/>
      <c r="X168" s="10"/>
      <c r="Y168" s="23"/>
    </row>
    <row r="169" spans="2:25" ht="19.5" thickBot="1" x14ac:dyDescent="0.35">
      <c r="B169" s="240" t="s">
        <v>370</v>
      </c>
      <c r="C169" s="1"/>
      <c r="D169" s="1"/>
      <c r="E169" s="40"/>
      <c r="F169" s="40"/>
      <c r="G169" s="40"/>
      <c r="H169" s="188">
        <v>442.43</v>
      </c>
      <c r="I169" s="15"/>
      <c r="J169" s="16" t="s">
        <v>292</v>
      </c>
      <c r="K169" s="10"/>
      <c r="L169" s="40"/>
      <c r="M169" s="10"/>
      <c r="N169" s="31"/>
      <c r="O169" s="10"/>
      <c r="P169" s="37"/>
      <c r="Q169" s="10"/>
      <c r="U169" s="41"/>
      <c r="V169" s="52"/>
      <c r="W169" s="90"/>
      <c r="X169" s="10"/>
      <c r="Y169" s="23"/>
    </row>
    <row r="170" spans="2:25" x14ac:dyDescent="0.3">
      <c r="B170" s="1" t="s">
        <v>105</v>
      </c>
      <c r="C170" s="1"/>
      <c r="D170" s="1"/>
      <c r="E170" s="40"/>
      <c r="F170" s="40"/>
      <c r="G170" s="40"/>
      <c r="H170" s="45"/>
      <c r="I170" s="12"/>
      <c r="J170" s="13">
        <v>19600</v>
      </c>
      <c r="K170" s="10"/>
      <c r="L170" s="40">
        <f>SUM(H170:J172)</f>
        <v>23997.25</v>
      </c>
      <c r="M170" s="10"/>
      <c r="N170" s="31">
        <v>22000</v>
      </c>
      <c r="O170" s="10"/>
      <c r="P170" s="38">
        <f>9800+12450</f>
        <v>22250</v>
      </c>
      <c r="Q170" s="10"/>
      <c r="R170" s="40">
        <f t="shared" ref="R170" si="39">L170-P170</f>
        <v>1747.25</v>
      </c>
      <c r="S170" s="51" t="str">
        <f t="shared" ref="S170" si="40">IF(P170&gt;L170,"Over Budget","In Budget")</f>
        <v>In Budget</v>
      </c>
      <c r="T170" s="79">
        <f>X170</f>
        <v>19600</v>
      </c>
      <c r="U170" s="11"/>
      <c r="V170" s="10"/>
      <c r="W170" s="90"/>
      <c r="X170" s="60">
        <v>19600</v>
      </c>
      <c r="Y170" s="85" t="s">
        <v>150</v>
      </c>
    </row>
    <row r="171" spans="2:25" x14ac:dyDescent="0.3">
      <c r="B171" s="241" t="s">
        <v>351</v>
      </c>
      <c r="C171" s="1"/>
      <c r="E171" s="40"/>
      <c r="F171" s="40"/>
      <c r="G171" s="40"/>
      <c r="H171" s="189">
        <f>F56</f>
        <v>2697.5</v>
      </c>
      <c r="I171" s="10"/>
      <c r="J171" s="14"/>
      <c r="K171" s="10"/>
      <c r="L171" s="40"/>
      <c r="M171" s="10"/>
      <c r="N171" s="31"/>
      <c r="O171" s="10"/>
      <c r="P171" s="37"/>
      <c r="Q171" s="10"/>
      <c r="R171" s="40"/>
      <c r="S171" s="51"/>
      <c r="T171" s="31"/>
      <c r="U171" s="11"/>
      <c r="V171" s="10"/>
      <c r="W171" s="90"/>
      <c r="X171" s="60"/>
      <c r="Y171" s="85"/>
    </row>
    <row r="172" spans="2:25" x14ac:dyDescent="0.3">
      <c r="B172" s="242" t="s">
        <v>352</v>
      </c>
      <c r="C172" s="1"/>
      <c r="E172" s="40"/>
      <c r="F172" s="40"/>
      <c r="G172" s="40"/>
      <c r="H172" s="190">
        <f>F57</f>
        <v>1699.75</v>
      </c>
      <c r="I172" s="10"/>
      <c r="J172" s="14"/>
      <c r="K172" s="10"/>
      <c r="L172" s="40"/>
      <c r="M172" s="10"/>
      <c r="N172" s="31"/>
      <c r="O172" s="10"/>
      <c r="P172" s="37"/>
      <c r="Q172" s="10"/>
      <c r="R172" s="40"/>
      <c r="S172" s="51"/>
      <c r="T172" s="31"/>
      <c r="U172" s="11"/>
      <c r="V172" s="10"/>
      <c r="W172" s="90"/>
      <c r="X172" s="60"/>
      <c r="Y172" s="85"/>
    </row>
    <row r="173" spans="2:25" ht="19.5" thickBot="1" x14ac:dyDescent="0.35">
      <c r="B173" s="1" t="s">
        <v>154</v>
      </c>
      <c r="C173" s="1"/>
      <c r="D173" s="1"/>
      <c r="E173" s="40"/>
      <c r="F173" s="40"/>
      <c r="G173" s="40"/>
      <c r="H173" s="48"/>
      <c r="I173" s="15"/>
      <c r="J173" s="16">
        <v>650</v>
      </c>
      <c r="K173" s="10"/>
      <c r="L173" s="40">
        <f>SUM(H173:J173)</f>
        <v>650</v>
      </c>
      <c r="M173" s="10"/>
      <c r="N173" s="31"/>
      <c r="O173" s="10"/>
      <c r="P173" s="37"/>
      <c r="Q173" s="10"/>
      <c r="U173" s="40"/>
      <c r="V173" s="51"/>
      <c r="W173" s="90"/>
      <c r="X173" s="10"/>
      <c r="Y173" s="23"/>
    </row>
    <row r="174" spans="2:25" x14ac:dyDescent="0.3">
      <c r="B174" s="1" t="s">
        <v>106</v>
      </c>
      <c r="C174" s="1"/>
      <c r="D174" s="1"/>
      <c r="E174" s="40"/>
      <c r="F174" s="40"/>
      <c r="G174" s="40"/>
      <c r="H174" s="115"/>
      <c r="I174" s="12"/>
      <c r="J174" s="13">
        <f>SUM(C3*7.5)</f>
        <v>22207.5</v>
      </c>
      <c r="K174" s="10"/>
      <c r="L174" s="49">
        <f>SUM(H174:J177)</f>
        <v>33716.9</v>
      </c>
      <c r="M174" s="10"/>
      <c r="N174" s="31">
        <v>26500</v>
      </c>
      <c r="O174" s="10"/>
      <c r="P174" s="38">
        <f>14472+7792</f>
        <v>22264</v>
      </c>
      <c r="Q174" s="10"/>
      <c r="R174" s="40">
        <f>L174-SUM(P174:P175)</f>
        <v>3647.9000000000015</v>
      </c>
      <c r="S174" s="51" t="str">
        <f>IF((SUM(P174:P175))&gt;L174,"Over Budget","In Budget")</f>
        <v>In Budget</v>
      </c>
      <c r="T174" s="79">
        <f>SUM(X174:X175)</f>
        <v>29685</v>
      </c>
      <c r="U174" s="11"/>
      <c r="V174" s="10"/>
      <c r="W174" s="67"/>
      <c r="X174" s="60">
        <v>22265</v>
      </c>
      <c r="Y174" s="85" t="s">
        <v>241</v>
      </c>
    </row>
    <row r="175" spans="2:25" x14ac:dyDescent="0.3">
      <c r="B175" s="1" t="s">
        <v>279</v>
      </c>
      <c r="C175" s="1"/>
      <c r="D175" s="1"/>
      <c r="E175" s="40"/>
      <c r="F175" s="40"/>
      <c r="G175" s="40"/>
      <c r="H175" s="46"/>
      <c r="I175" s="10"/>
      <c r="J175" s="14">
        <v>6000</v>
      </c>
      <c r="K175" s="10"/>
      <c r="L175" s="40"/>
      <c r="M175" s="10"/>
      <c r="N175" s="31"/>
      <c r="O175" s="10"/>
      <c r="P175" s="38">
        <f>7420+385</f>
        <v>7805</v>
      </c>
      <c r="Q175" s="10"/>
      <c r="T175" s="79">
        <f>X175</f>
        <v>7420</v>
      </c>
      <c r="U175" s="11"/>
      <c r="V175" s="10"/>
      <c r="W175" s="67"/>
      <c r="X175" s="60">
        <v>7420</v>
      </c>
      <c r="Y175" s="85" t="s">
        <v>242</v>
      </c>
    </row>
    <row r="176" spans="2:25" x14ac:dyDescent="0.3">
      <c r="B176" s="243" t="s">
        <v>239</v>
      </c>
      <c r="C176" s="1"/>
      <c r="D176" s="1"/>
      <c r="E176" s="40"/>
      <c r="F176" s="40"/>
      <c r="G176" s="40"/>
      <c r="H176" s="191">
        <f>F25</f>
        <v>2749.5</v>
      </c>
      <c r="I176" s="10"/>
      <c r="J176" s="14"/>
      <c r="K176" s="10"/>
      <c r="L176" s="40"/>
      <c r="M176" s="10"/>
      <c r="N176" s="31"/>
      <c r="O176" s="10"/>
      <c r="P176" s="37"/>
      <c r="Q176" s="10"/>
      <c r="U176" s="41">
        <f>16183-2500</f>
        <v>13683</v>
      </c>
      <c r="W176" s="68" t="s">
        <v>180</v>
      </c>
      <c r="X176" s="10"/>
      <c r="Y176" s="23"/>
    </row>
    <row r="177" spans="2:25" ht="19.5" thickBot="1" x14ac:dyDescent="0.35">
      <c r="B177" s="244" t="s">
        <v>379</v>
      </c>
      <c r="C177" s="1"/>
      <c r="D177" s="1"/>
      <c r="E177" s="40"/>
      <c r="F177" s="40"/>
      <c r="G177" s="40"/>
      <c r="H177" s="192">
        <f>F26</f>
        <v>2759.9</v>
      </c>
      <c r="I177" s="15"/>
      <c r="J177" s="16"/>
      <c r="K177" s="10"/>
      <c r="L177" s="40"/>
      <c r="M177" s="10"/>
      <c r="N177" s="31"/>
      <c r="O177" s="10"/>
      <c r="P177" s="37"/>
      <c r="Q177" s="10"/>
      <c r="U177" s="41"/>
      <c r="W177" s="68"/>
      <c r="X177" s="10"/>
      <c r="Y177" s="23"/>
    </row>
    <row r="178" spans="2:25" ht="19.5" thickBot="1" x14ac:dyDescent="0.35">
      <c r="B178" s="1" t="s">
        <v>107</v>
      </c>
      <c r="C178" s="1"/>
      <c r="D178" s="1"/>
      <c r="E178" s="40"/>
      <c r="F178" s="40"/>
      <c r="G178" s="40"/>
      <c r="H178" s="40"/>
      <c r="I178" s="10"/>
      <c r="J178" s="114">
        <v>10000</v>
      </c>
      <c r="K178" s="10"/>
      <c r="L178" s="49">
        <f>SUM(H178:J178)</f>
        <v>10000</v>
      </c>
      <c r="M178" s="10"/>
      <c r="N178" s="31">
        <v>2500</v>
      </c>
      <c r="O178" s="10"/>
      <c r="P178" s="38">
        <v>10423.629999999999</v>
      </c>
      <c r="Q178" s="10"/>
      <c r="R178" s="40">
        <f t="shared" ref="R178" si="41">L178-P178</f>
        <v>-423.6299999999992</v>
      </c>
      <c r="S178" s="51" t="str">
        <f t="shared" ref="S178" si="42">IF(P178&gt;L178,"Over Budget","In Budget")</f>
        <v>Over Budget</v>
      </c>
      <c r="T178" s="79">
        <f>X178</f>
        <v>12344.9</v>
      </c>
      <c r="U178" s="11"/>
      <c r="W178" s="37"/>
      <c r="X178" s="60">
        <v>12344.9</v>
      </c>
      <c r="Y178" s="85" t="s">
        <v>243</v>
      </c>
    </row>
    <row r="179" spans="2:25" x14ac:dyDescent="0.3">
      <c r="B179" s="1" t="s">
        <v>108</v>
      </c>
      <c r="C179" s="1"/>
      <c r="D179" s="1"/>
      <c r="E179" s="40"/>
      <c r="F179" s="40"/>
      <c r="G179" s="40"/>
      <c r="H179" s="45"/>
      <c r="I179" s="12"/>
      <c r="J179" s="96">
        <v>10000</v>
      </c>
      <c r="K179" s="10"/>
      <c r="L179" s="49">
        <f>SUM(H179:J185)</f>
        <v>21369.800000000003</v>
      </c>
      <c r="M179" s="10"/>
      <c r="N179" s="31"/>
      <c r="O179" s="10"/>
      <c r="P179" s="37"/>
      <c r="Q179" s="10"/>
      <c r="U179" s="41">
        <v>38966.080000000002</v>
      </c>
      <c r="W179" s="68" t="s">
        <v>180</v>
      </c>
      <c r="X179" s="73"/>
      <c r="Y179" s="71"/>
    </row>
    <row r="180" spans="2:25" x14ac:dyDescent="0.3">
      <c r="B180" s="1" t="s">
        <v>109</v>
      </c>
      <c r="C180" s="1"/>
      <c r="D180" s="1"/>
      <c r="E180" s="40"/>
      <c r="F180" s="40"/>
      <c r="G180" s="40"/>
      <c r="H180" s="46"/>
      <c r="I180" s="10"/>
      <c r="J180" s="14">
        <v>0</v>
      </c>
      <c r="K180" s="10"/>
      <c r="L180" s="40"/>
      <c r="M180" s="10"/>
      <c r="N180" s="31"/>
      <c r="O180" s="10"/>
      <c r="P180" s="37"/>
      <c r="Q180" s="10"/>
      <c r="U180" s="41"/>
      <c r="W180" s="68"/>
      <c r="X180" s="73"/>
      <c r="Y180" s="71"/>
    </row>
    <row r="181" spans="2:25" x14ac:dyDescent="0.3">
      <c r="B181" s="245" t="s">
        <v>330</v>
      </c>
      <c r="C181" s="1"/>
      <c r="D181" s="1"/>
      <c r="E181" s="40"/>
      <c r="F181" s="40"/>
      <c r="G181" s="40"/>
      <c r="H181" s="193">
        <f>F35</f>
        <v>2247.7000000000003</v>
      </c>
      <c r="I181" s="10"/>
      <c r="J181" s="116" t="s">
        <v>292</v>
      </c>
      <c r="K181" s="10"/>
      <c r="L181" s="40"/>
      <c r="M181" s="10"/>
      <c r="N181" s="31"/>
      <c r="O181" s="10"/>
      <c r="P181" s="37"/>
      <c r="Q181" s="10"/>
      <c r="U181" s="41"/>
      <c r="W181" s="68"/>
      <c r="X181" s="73"/>
      <c r="Y181" s="71"/>
    </row>
    <row r="182" spans="2:25" x14ac:dyDescent="0.3">
      <c r="B182" s="246" t="s">
        <v>331</v>
      </c>
      <c r="C182" s="1"/>
      <c r="D182" s="1"/>
      <c r="E182" s="40"/>
      <c r="F182" s="40"/>
      <c r="G182" s="40"/>
      <c r="H182" s="194">
        <f>F36</f>
        <v>1838.8500000000001</v>
      </c>
      <c r="I182" s="10"/>
      <c r="J182" s="116" t="s">
        <v>292</v>
      </c>
      <c r="M182" s="10"/>
      <c r="N182" s="31">
        <v>3500</v>
      </c>
      <c r="O182" s="10"/>
      <c r="P182" s="38">
        <f>11427</f>
        <v>11427</v>
      </c>
      <c r="Q182" s="10"/>
      <c r="R182" s="40">
        <f>L179-P182</f>
        <v>9942.8000000000029</v>
      </c>
      <c r="S182" s="51" t="str">
        <f>IF(P182&gt;L179,"Over Budget","In Budget")</f>
        <v>In Budget</v>
      </c>
      <c r="T182" s="79">
        <f>X182</f>
        <v>11427</v>
      </c>
      <c r="U182" s="11"/>
      <c r="W182" s="37"/>
      <c r="X182" s="60">
        <v>11427</v>
      </c>
      <c r="Y182" s="85" t="s">
        <v>240</v>
      </c>
    </row>
    <row r="183" spans="2:25" x14ac:dyDescent="0.3">
      <c r="B183" s="247" t="s">
        <v>332</v>
      </c>
      <c r="C183" s="1"/>
      <c r="D183" s="1"/>
      <c r="E183" s="40"/>
      <c r="F183" s="40"/>
      <c r="G183" s="40"/>
      <c r="H183" s="195">
        <f>F37</f>
        <v>5255.25</v>
      </c>
      <c r="I183" s="10"/>
      <c r="J183" s="116" t="s">
        <v>292</v>
      </c>
      <c r="M183" s="10"/>
      <c r="N183" s="31"/>
      <c r="O183" s="10"/>
      <c r="P183" s="38"/>
      <c r="Q183" s="10"/>
      <c r="R183" s="40"/>
      <c r="S183" s="51"/>
      <c r="T183" s="79"/>
      <c r="U183" s="11"/>
      <c r="W183" s="37"/>
      <c r="X183" s="60"/>
      <c r="Y183" s="85"/>
    </row>
    <row r="184" spans="2:25" x14ac:dyDescent="0.3">
      <c r="B184" s="248" t="s">
        <v>333</v>
      </c>
      <c r="C184" s="1"/>
      <c r="D184" s="1"/>
      <c r="E184" s="40"/>
      <c r="F184" s="40"/>
      <c r="G184" s="40"/>
      <c r="H184" s="196">
        <f>F38</f>
        <v>2028</v>
      </c>
      <c r="I184" s="10"/>
      <c r="J184" s="116" t="s">
        <v>292</v>
      </c>
      <c r="K184" s="10"/>
      <c r="L184" s="40"/>
      <c r="M184" s="10"/>
      <c r="N184" s="31"/>
      <c r="O184" s="10"/>
      <c r="P184" s="37"/>
      <c r="Q184" s="10"/>
      <c r="U184" s="11"/>
      <c r="W184" s="37"/>
      <c r="X184" s="10"/>
      <c r="Y184" s="23"/>
    </row>
    <row r="185" spans="2:25" ht="19.5" thickBot="1" x14ac:dyDescent="0.35">
      <c r="B185" s="249" t="s">
        <v>334</v>
      </c>
      <c r="C185" s="1"/>
      <c r="D185" s="1"/>
      <c r="E185" s="40"/>
      <c r="F185" s="40"/>
      <c r="G185" s="40"/>
      <c r="H185" s="197">
        <f>F39</f>
        <v>0</v>
      </c>
      <c r="I185" s="15"/>
      <c r="J185" s="118" t="s">
        <v>292</v>
      </c>
      <c r="K185" s="10"/>
      <c r="L185" s="40"/>
      <c r="M185" s="10"/>
      <c r="N185" s="31"/>
      <c r="O185" s="10"/>
      <c r="P185" s="37"/>
      <c r="Q185" s="10"/>
      <c r="U185" s="41"/>
      <c r="W185" s="68"/>
      <c r="X185" s="10"/>
      <c r="Y185" s="23"/>
    </row>
    <row r="186" spans="2:25" x14ac:dyDescent="0.3">
      <c r="B186" s="229" t="s">
        <v>385</v>
      </c>
      <c r="C186" s="1"/>
      <c r="D186" s="1"/>
      <c r="E186" s="40"/>
      <c r="F186" s="40"/>
      <c r="G186" s="40"/>
      <c r="H186" s="150" t="s">
        <v>388</v>
      </c>
      <c r="I186" s="10"/>
      <c r="J186" s="10" t="s">
        <v>280</v>
      </c>
      <c r="K186" s="10"/>
      <c r="L186" s="40">
        <f>SUM(H186:J186)</f>
        <v>0</v>
      </c>
      <c r="M186" s="10"/>
      <c r="N186" s="31">
        <v>4875</v>
      </c>
      <c r="O186" s="10"/>
      <c r="P186" s="38">
        <f>4800</f>
        <v>4800</v>
      </c>
      <c r="Q186" s="10"/>
      <c r="R186" s="40">
        <f t="shared" ref="R186:R188" si="43">L186-P186</f>
        <v>-4800</v>
      </c>
      <c r="S186" s="51" t="str">
        <f t="shared" ref="S186:S188" si="44">IF(P186&gt;L186,"Over Budget","In Budget")</f>
        <v>Over Budget</v>
      </c>
      <c r="T186" s="79">
        <f>X186</f>
        <v>4800</v>
      </c>
      <c r="U186" s="41"/>
      <c r="W186" s="77">
        <v>0.2</v>
      </c>
      <c r="X186" s="60">
        <v>4800</v>
      </c>
      <c r="Y186" s="85" t="s">
        <v>147</v>
      </c>
    </row>
    <row r="187" spans="2:25" x14ac:dyDescent="0.3">
      <c r="B187" s="229" t="s">
        <v>386</v>
      </c>
      <c r="C187" s="1"/>
      <c r="D187" s="1"/>
      <c r="E187" s="40"/>
      <c r="F187" s="40"/>
      <c r="G187" s="40"/>
      <c r="H187" s="150">
        <v>2250</v>
      </c>
      <c r="I187" s="10"/>
      <c r="J187" s="10" t="s">
        <v>280</v>
      </c>
      <c r="K187" s="10"/>
      <c r="L187" s="40">
        <f t="shared" ref="L187:L189" si="45">SUM(H187:J187)</f>
        <v>2250</v>
      </c>
      <c r="M187" s="10"/>
      <c r="N187" s="31">
        <v>4000</v>
      </c>
      <c r="O187" s="10"/>
      <c r="P187" s="38">
        <f>2532.37</f>
        <v>2532.37</v>
      </c>
      <c r="Q187" s="10"/>
      <c r="R187" s="40">
        <f t="shared" si="43"/>
        <v>-282.36999999999989</v>
      </c>
      <c r="S187" s="51" t="str">
        <f t="shared" si="44"/>
        <v>Over Budget</v>
      </c>
      <c r="T187" s="79">
        <f>X187</f>
        <v>2532.37</v>
      </c>
      <c r="U187" s="41" t="s">
        <v>193</v>
      </c>
      <c r="W187" s="69"/>
      <c r="X187" s="60">
        <v>2532.37</v>
      </c>
      <c r="Y187" s="85" t="s">
        <v>147</v>
      </c>
    </row>
    <row r="188" spans="2:25" x14ac:dyDescent="0.3">
      <c r="B188" s="250" t="s">
        <v>110</v>
      </c>
      <c r="C188" s="1"/>
      <c r="D188" s="1"/>
      <c r="E188" s="40"/>
      <c r="F188" s="40"/>
      <c r="G188" s="40"/>
      <c r="H188" s="40"/>
      <c r="I188" s="10"/>
      <c r="J188" s="74" t="s">
        <v>195</v>
      </c>
      <c r="K188" s="10"/>
      <c r="L188" s="40">
        <f t="shared" si="45"/>
        <v>0</v>
      </c>
      <c r="M188" s="10"/>
      <c r="N188" s="31">
        <v>3125</v>
      </c>
      <c r="O188" s="10"/>
      <c r="P188" s="37"/>
      <c r="Q188" s="10"/>
      <c r="R188" s="40">
        <f t="shared" si="43"/>
        <v>0</v>
      </c>
      <c r="S188" s="51" t="str">
        <f t="shared" si="44"/>
        <v>In Budget</v>
      </c>
      <c r="T188" s="79">
        <f>X188</f>
        <v>2858</v>
      </c>
      <c r="U188" s="11"/>
      <c r="W188" s="77">
        <v>0.1</v>
      </c>
      <c r="X188" s="60">
        <v>2858</v>
      </c>
      <c r="Y188" s="76" t="s">
        <v>148</v>
      </c>
    </row>
    <row r="189" spans="2:25" ht="19.5" thickBot="1" x14ac:dyDescent="0.35">
      <c r="B189" s="1" t="s">
        <v>112</v>
      </c>
      <c r="C189" s="1"/>
      <c r="D189" s="1"/>
      <c r="E189" s="40"/>
      <c r="F189" s="40"/>
      <c r="G189" s="40"/>
      <c r="H189" s="40"/>
      <c r="I189" s="10"/>
      <c r="J189" s="10">
        <v>0</v>
      </c>
      <c r="K189" s="10"/>
      <c r="L189" s="40">
        <f t="shared" si="45"/>
        <v>0</v>
      </c>
      <c r="M189" s="10"/>
      <c r="N189" s="31"/>
      <c r="O189" s="10"/>
      <c r="P189" s="37"/>
      <c r="Q189" s="10"/>
      <c r="U189" s="41">
        <f>17318-4000</f>
        <v>13318</v>
      </c>
      <c r="W189" s="68" t="s">
        <v>180</v>
      </c>
      <c r="X189" s="10"/>
      <c r="Y189" s="23"/>
    </row>
    <row r="190" spans="2:25" x14ac:dyDescent="0.3">
      <c r="B190" s="1" t="s">
        <v>113</v>
      </c>
      <c r="C190" s="1"/>
      <c r="D190" s="1"/>
      <c r="E190" s="40"/>
      <c r="F190" s="40"/>
      <c r="G190" s="40"/>
      <c r="H190" s="115"/>
      <c r="I190" s="12"/>
      <c r="J190" s="96">
        <v>10000</v>
      </c>
      <c r="K190" s="10"/>
      <c r="L190" s="49">
        <f>SUM(H190:J191)</f>
        <v>13250</v>
      </c>
      <c r="M190" s="10"/>
      <c r="N190" s="31">
        <v>4000</v>
      </c>
      <c r="O190" s="10"/>
      <c r="P190" s="37"/>
      <c r="Q190" s="10"/>
      <c r="R190" s="40">
        <f t="shared" ref="R190" si="46">L190-P190</f>
        <v>13250</v>
      </c>
      <c r="S190" s="51" t="str">
        <f t="shared" ref="S190" si="47">IF(P190&gt;L190,"Over Budget","In Budget")</f>
        <v>In Budget</v>
      </c>
      <c r="T190" s="79">
        <f>X190</f>
        <v>14030.91</v>
      </c>
      <c r="U190" s="40"/>
      <c r="W190" s="69"/>
      <c r="X190" s="57">
        <v>14030.91</v>
      </c>
      <c r="Y190" s="76" t="s">
        <v>266</v>
      </c>
    </row>
    <row r="191" spans="2:25" ht="19.5" thickBot="1" x14ac:dyDescent="0.35">
      <c r="B191" s="251" t="s">
        <v>353</v>
      </c>
      <c r="C191" s="1"/>
      <c r="D191" s="1"/>
      <c r="E191" s="40"/>
      <c r="F191" s="40"/>
      <c r="G191" s="40"/>
      <c r="H191" s="198">
        <f>F58</f>
        <v>3250</v>
      </c>
      <c r="I191" s="15"/>
      <c r="J191" s="16"/>
      <c r="K191" s="10"/>
      <c r="L191" s="40"/>
      <c r="M191" s="10"/>
      <c r="N191" s="31"/>
      <c r="O191" s="10"/>
      <c r="P191" s="37"/>
      <c r="Q191" s="10"/>
      <c r="R191" s="40"/>
      <c r="S191" s="51"/>
      <c r="T191" s="31"/>
      <c r="U191" s="40"/>
      <c r="W191" s="69"/>
      <c r="X191" s="57"/>
      <c r="Y191" s="76"/>
    </row>
    <row r="192" spans="2:25" x14ac:dyDescent="0.3">
      <c r="B192" s="1" t="s">
        <v>176</v>
      </c>
      <c r="C192" s="1"/>
      <c r="D192" s="1"/>
      <c r="E192" s="40"/>
      <c r="F192" s="40"/>
      <c r="G192" s="40"/>
      <c r="H192" s="41"/>
      <c r="I192" s="10"/>
      <c r="J192" s="10">
        <v>0</v>
      </c>
      <c r="K192" s="10"/>
      <c r="L192" s="40">
        <f t="shared" ref="L192:L194" si="48">SUM(E192:J192)</f>
        <v>0</v>
      </c>
      <c r="M192" s="10"/>
      <c r="N192" s="31"/>
      <c r="O192" s="10"/>
      <c r="P192" s="37"/>
      <c r="Q192" s="10"/>
      <c r="T192" s="79">
        <f t="shared" ref="T192:T193" si="49">X192</f>
        <v>1857.5200000000002</v>
      </c>
      <c r="U192" s="41">
        <f>5991-3200</f>
        <v>2791</v>
      </c>
      <c r="W192" s="68" t="s">
        <v>180</v>
      </c>
      <c r="X192" s="57">
        <f>1736*1.07</f>
        <v>1857.5200000000002</v>
      </c>
      <c r="Y192" s="85" t="s">
        <v>266</v>
      </c>
    </row>
    <row r="193" spans="2:26" x14ac:dyDescent="0.3">
      <c r="B193" s="240" t="s">
        <v>114</v>
      </c>
      <c r="C193" s="1"/>
      <c r="D193" s="1"/>
      <c r="E193" s="40"/>
      <c r="F193" s="40"/>
      <c r="G193" s="40"/>
      <c r="H193" s="161">
        <v>2242.7199999999998</v>
      </c>
      <c r="I193" s="10"/>
      <c r="J193" s="74" t="s">
        <v>193</v>
      </c>
      <c r="K193" s="10"/>
      <c r="L193" s="40">
        <f>SUM(H193:J193)</f>
        <v>2242.7199999999998</v>
      </c>
      <c r="M193" s="10"/>
      <c r="N193" s="31">
        <v>3200</v>
      </c>
      <c r="O193" s="10"/>
      <c r="P193" s="37"/>
      <c r="Q193" s="10"/>
      <c r="R193" s="40">
        <f t="shared" ref="R193:R195" si="50">L193-P193</f>
        <v>2242.7199999999998</v>
      </c>
      <c r="S193" s="51" t="str">
        <f t="shared" ref="S193:S195" si="51">IF(P193&gt;L193,"Over Budget","In Budget")</f>
        <v>In Budget</v>
      </c>
      <c r="T193" s="79">
        <f t="shared" si="49"/>
        <v>5664.58</v>
      </c>
      <c r="U193" s="41"/>
      <c r="W193" s="68"/>
      <c r="X193" s="57">
        <f>7522.1-X192</f>
        <v>5664.58</v>
      </c>
      <c r="Y193" s="85" t="s">
        <v>266</v>
      </c>
    </row>
    <row r="194" spans="2:26" ht="19.5" thickBot="1" x14ac:dyDescent="0.35">
      <c r="B194" s="1" t="s">
        <v>115</v>
      </c>
      <c r="C194" s="1"/>
      <c r="D194" s="1"/>
      <c r="E194" s="40"/>
      <c r="F194" s="40"/>
      <c r="G194" s="40"/>
      <c r="H194" s="40"/>
      <c r="I194" s="10"/>
      <c r="J194" s="10">
        <v>1000</v>
      </c>
      <c r="K194" s="10"/>
      <c r="L194" s="40">
        <f t="shared" si="48"/>
        <v>1000</v>
      </c>
      <c r="M194" s="10"/>
      <c r="N194" s="31">
        <v>1500</v>
      </c>
      <c r="O194" s="10"/>
      <c r="P194" s="38">
        <f>850</f>
        <v>850</v>
      </c>
      <c r="Q194" s="10"/>
      <c r="R194" s="40">
        <f t="shared" si="50"/>
        <v>150</v>
      </c>
      <c r="S194" s="51" t="str">
        <f t="shared" si="51"/>
        <v>In Budget</v>
      </c>
      <c r="U194" s="41">
        <f>P195-N195</f>
        <v>5175.01</v>
      </c>
      <c r="W194" s="68" t="s">
        <v>180</v>
      </c>
      <c r="X194" s="10"/>
      <c r="Y194" s="23"/>
    </row>
    <row r="195" spans="2:26" x14ac:dyDescent="0.3">
      <c r="B195" s="1" t="s">
        <v>116</v>
      </c>
      <c r="C195" s="1"/>
      <c r="D195" s="1"/>
      <c r="E195" s="40"/>
      <c r="F195" s="40"/>
      <c r="G195" s="40"/>
      <c r="H195" s="45"/>
      <c r="I195" s="12"/>
      <c r="J195" s="13">
        <f>SUM(C6*6.5)</f>
        <v>9100</v>
      </c>
      <c r="K195" s="10"/>
      <c r="L195" s="40">
        <f>SUM(H195:J198)</f>
        <v>19144.45</v>
      </c>
      <c r="M195" s="10"/>
      <c r="N195" s="31">
        <v>9850</v>
      </c>
      <c r="O195" s="10"/>
      <c r="P195" s="36">
        <f>300+14725.01</f>
        <v>15025.01</v>
      </c>
      <c r="Q195" s="10"/>
      <c r="R195" s="40">
        <f t="shared" si="50"/>
        <v>4119.4400000000005</v>
      </c>
      <c r="S195" s="51" t="str">
        <f t="shared" si="51"/>
        <v>In Budget</v>
      </c>
      <c r="T195" s="79">
        <f>X195</f>
        <v>15606.17</v>
      </c>
      <c r="U195" s="11"/>
      <c r="W195" s="77">
        <f>1-(15606.17/17340.18)</f>
        <v>9.99995386437742E-2</v>
      </c>
      <c r="X195" s="60">
        <v>15606.17</v>
      </c>
      <c r="Y195" s="76" t="s">
        <v>254</v>
      </c>
    </row>
    <row r="196" spans="2:26" x14ac:dyDescent="0.3">
      <c r="B196" s="252" t="s">
        <v>395</v>
      </c>
      <c r="C196" s="1"/>
      <c r="D196" s="1"/>
      <c r="E196" s="40"/>
      <c r="F196" s="40"/>
      <c r="G196" s="40"/>
      <c r="H196" s="199">
        <f>F59</f>
        <v>10044.450000000001</v>
      </c>
      <c r="I196" s="10"/>
      <c r="J196" s="14">
        <f>SUM(R6*8)</f>
        <v>0</v>
      </c>
      <c r="K196" s="10"/>
      <c r="L196" s="40"/>
      <c r="M196" s="10"/>
      <c r="N196" s="31"/>
      <c r="O196" s="10"/>
      <c r="P196" s="37"/>
      <c r="Q196" s="10"/>
      <c r="U196" s="41"/>
      <c r="W196" s="68"/>
      <c r="X196" s="10"/>
      <c r="Y196" s="23"/>
    </row>
    <row r="197" spans="2:26" x14ac:dyDescent="0.3">
      <c r="B197" s="1" t="s">
        <v>196</v>
      </c>
      <c r="C197" s="1"/>
      <c r="D197" s="1"/>
      <c r="E197" s="40"/>
      <c r="F197" s="40"/>
      <c r="G197" s="40"/>
      <c r="H197" s="46"/>
      <c r="I197" s="10"/>
      <c r="J197" s="14">
        <f>SUM(R5*25)</f>
        <v>0</v>
      </c>
      <c r="K197" s="10"/>
      <c r="L197" s="40"/>
      <c r="M197" s="10"/>
      <c r="N197" s="31"/>
      <c r="O197" s="10"/>
      <c r="P197" s="37"/>
      <c r="Q197" s="10"/>
      <c r="U197" s="40"/>
      <c r="W197" s="69"/>
      <c r="X197" s="10"/>
      <c r="Y197" s="23"/>
    </row>
    <row r="198" spans="2:26" ht="19.5" thickBot="1" x14ac:dyDescent="0.35">
      <c r="B198" s="1" t="s">
        <v>167</v>
      </c>
      <c r="C198" s="1"/>
      <c r="D198" s="1"/>
      <c r="E198" s="40"/>
      <c r="F198" s="40"/>
      <c r="G198" s="40"/>
      <c r="H198" s="48"/>
      <c r="I198" s="15"/>
      <c r="J198" s="16">
        <v>0</v>
      </c>
      <c r="K198" s="10"/>
      <c r="L198" s="40"/>
      <c r="M198" s="10"/>
      <c r="N198" s="31"/>
      <c r="O198" s="10"/>
      <c r="P198" s="37"/>
      <c r="Q198" s="10"/>
      <c r="U198" s="40"/>
      <c r="W198" s="69"/>
      <c r="X198" s="10"/>
      <c r="Y198" s="23"/>
    </row>
    <row r="199" spans="2:26" x14ac:dyDescent="0.3">
      <c r="B199" s="1" t="s">
        <v>117</v>
      </c>
      <c r="C199" s="1"/>
      <c r="D199" s="1"/>
      <c r="E199" s="40"/>
      <c r="F199" s="40"/>
      <c r="G199" s="40"/>
      <c r="H199" s="40"/>
      <c r="I199" s="10"/>
      <c r="J199" s="10">
        <v>550</v>
      </c>
      <c r="K199" s="10"/>
      <c r="L199" s="40">
        <f>SUM(H199:J199)</f>
        <v>550</v>
      </c>
      <c r="M199" s="10"/>
      <c r="N199" s="31">
        <v>1000</v>
      </c>
      <c r="O199" s="10"/>
      <c r="P199" s="38">
        <f>750</f>
        <v>750</v>
      </c>
      <c r="Q199" s="10"/>
      <c r="R199" s="40">
        <f t="shared" ref="R199:R202" si="52">L199-P199</f>
        <v>-200</v>
      </c>
      <c r="S199" s="51" t="str">
        <f t="shared" ref="S199:S202" si="53">IF(P199&gt;L199,"Over Budget","In Budget")</f>
        <v>Over Budget</v>
      </c>
      <c r="U199" s="41"/>
      <c r="W199" s="68"/>
      <c r="X199" s="10"/>
      <c r="Y199" s="23"/>
    </row>
    <row r="200" spans="2:26" x14ac:dyDescent="0.3">
      <c r="B200" s="1" t="s">
        <v>198</v>
      </c>
      <c r="C200" s="1"/>
      <c r="D200" s="1"/>
      <c r="E200" s="40"/>
      <c r="F200" s="40"/>
      <c r="G200" s="40"/>
      <c r="H200" s="40"/>
      <c r="I200" s="10"/>
      <c r="J200" s="10">
        <v>750</v>
      </c>
      <c r="K200" s="10"/>
      <c r="L200" s="40">
        <f t="shared" ref="L200:L201" si="54">SUM(H200:J200)</f>
        <v>750</v>
      </c>
      <c r="M200" s="10"/>
      <c r="N200" s="31">
        <v>1200</v>
      </c>
      <c r="O200" s="10"/>
      <c r="P200" s="38">
        <f>1400</f>
        <v>1400</v>
      </c>
      <c r="Q200" s="10"/>
      <c r="R200" s="40">
        <f t="shared" si="52"/>
        <v>-650</v>
      </c>
      <c r="S200" s="51" t="str">
        <f t="shared" si="53"/>
        <v>Over Budget</v>
      </c>
      <c r="U200" s="41"/>
      <c r="W200" s="68"/>
      <c r="X200" s="10"/>
      <c r="Y200" s="23"/>
    </row>
    <row r="201" spans="2:26" ht="19.5" thickBot="1" x14ac:dyDescent="0.35">
      <c r="B201" s="1" t="s">
        <v>197</v>
      </c>
      <c r="C201" s="1"/>
      <c r="D201" s="1"/>
      <c r="E201" s="40"/>
      <c r="F201" s="40"/>
      <c r="G201" s="40"/>
      <c r="H201" s="40"/>
      <c r="I201" s="10"/>
      <c r="J201" s="10">
        <v>1500</v>
      </c>
      <c r="K201" s="10"/>
      <c r="L201" s="40">
        <f t="shared" si="54"/>
        <v>1500</v>
      </c>
      <c r="M201" s="10"/>
      <c r="N201" s="31">
        <v>1685</v>
      </c>
      <c r="O201" s="10"/>
      <c r="P201" s="38">
        <f>1602.04</f>
        <v>1602.04</v>
      </c>
      <c r="Q201" s="10"/>
      <c r="R201" s="40">
        <f t="shared" si="52"/>
        <v>-102.03999999999996</v>
      </c>
      <c r="S201" s="51" t="str">
        <f t="shared" si="53"/>
        <v>Over Budget</v>
      </c>
      <c r="U201" s="41">
        <v>10600</v>
      </c>
      <c r="W201" s="68" t="s">
        <v>180</v>
      </c>
      <c r="X201" s="10" t="s">
        <v>187</v>
      </c>
      <c r="Y201" s="23"/>
    </row>
    <row r="202" spans="2:26" x14ac:dyDescent="0.3">
      <c r="B202" s="1" t="s">
        <v>35</v>
      </c>
      <c r="C202" s="1"/>
      <c r="D202" s="1"/>
      <c r="E202" s="40"/>
      <c r="F202" s="40"/>
      <c r="G202" s="40"/>
      <c r="H202" s="45"/>
      <c r="I202" s="12"/>
      <c r="J202" s="86">
        <v>3500</v>
      </c>
      <c r="K202" s="10"/>
      <c r="L202" s="87">
        <f>SUM(H202:J203)</f>
        <v>18500</v>
      </c>
      <c r="M202" s="10"/>
      <c r="N202" s="31">
        <v>12500</v>
      </c>
      <c r="O202" s="10"/>
      <c r="P202" s="38">
        <f>21664.8+100</f>
        <v>21764.799999999999</v>
      </c>
      <c r="Q202" s="10"/>
      <c r="R202" s="40">
        <f t="shared" si="52"/>
        <v>-3264.7999999999993</v>
      </c>
      <c r="S202" s="51" t="str">
        <f t="shared" si="53"/>
        <v>Over Budget</v>
      </c>
      <c r="T202" s="79">
        <f>X202</f>
        <v>0</v>
      </c>
      <c r="U202" s="11"/>
      <c r="W202" s="37"/>
      <c r="X202" s="60"/>
      <c r="Y202" s="85" t="s">
        <v>268</v>
      </c>
    </row>
    <row r="203" spans="2:26" ht="19.5" thickBot="1" x14ac:dyDescent="0.35">
      <c r="B203" s="1" t="s">
        <v>33</v>
      </c>
      <c r="C203" s="1"/>
      <c r="D203" s="1"/>
      <c r="E203" s="40"/>
      <c r="F203" s="40"/>
      <c r="G203" s="40"/>
      <c r="H203" s="48"/>
      <c r="I203" s="15"/>
      <c r="J203" s="88">
        <v>15000</v>
      </c>
      <c r="K203" s="10"/>
      <c r="L203" s="40"/>
      <c r="M203" s="10"/>
      <c r="N203" s="31"/>
      <c r="O203" s="10"/>
      <c r="P203" s="37"/>
      <c r="Q203" s="10"/>
      <c r="U203" s="41"/>
      <c r="W203" s="68"/>
      <c r="X203" s="10"/>
      <c r="Y203" s="23"/>
    </row>
    <row r="204" spans="2:26" ht="19.5" thickBot="1" x14ac:dyDescent="0.35">
      <c r="B204" s="240" t="s">
        <v>118</v>
      </c>
      <c r="C204" s="1"/>
      <c r="D204" s="1"/>
      <c r="E204" s="40"/>
      <c r="F204" s="40"/>
      <c r="G204" s="40"/>
      <c r="H204" s="161">
        <v>10613.5</v>
      </c>
      <c r="I204" s="10"/>
      <c r="J204" s="10" t="s">
        <v>193</v>
      </c>
      <c r="K204" s="10"/>
      <c r="L204" s="40">
        <f>SUM(H204:J204)</f>
        <v>10613.5</v>
      </c>
      <c r="M204" s="10"/>
      <c r="N204" s="31">
        <v>5800</v>
      </c>
      <c r="O204" s="10"/>
      <c r="P204" s="38">
        <f>8261</f>
        <v>8261</v>
      </c>
      <c r="Q204" s="10"/>
      <c r="R204" s="40">
        <f t="shared" ref="R204:R205" si="55">L204-P204</f>
        <v>2352.5</v>
      </c>
      <c r="S204" s="51" t="str">
        <f t="shared" ref="S204:S205" si="56">IF(P204&gt;L204,"Over Budget","In Budget")</f>
        <v>In Budget</v>
      </c>
      <c r="T204" s="79">
        <v>8261</v>
      </c>
      <c r="U204" s="40"/>
      <c r="W204" s="77">
        <f>1-(8261/9761)</f>
        <v>0.15367277942833724</v>
      </c>
      <c r="X204" s="60">
        <v>9761</v>
      </c>
      <c r="Y204" s="76" t="s">
        <v>244</v>
      </c>
    </row>
    <row r="205" spans="2:26" x14ac:dyDescent="0.3">
      <c r="B205" s="1" t="s">
        <v>119</v>
      </c>
      <c r="C205" s="1" t="s">
        <v>290</v>
      </c>
      <c r="D205" s="1"/>
      <c r="E205" s="40"/>
      <c r="F205" s="40"/>
      <c r="G205" s="40"/>
      <c r="H205" s="45"/>
      <c r="I205" s="12"/>
      <c r="J205" s="13">
        <f>14436+3035+702+850+751+759+176+258</f>
        <v>20967</v>
      </c>
      <c r="K205" s="10"/>
      <c r="L205" s="49">
        <f>SUM(H205:J216)</f>
        <v>47288.1</v>
      </c>
      <c r="M205" s="10"/>
      <c r="N205" s="31">
        <v>29900</v>
      </c>
      <c r="O205" s="10"/>
      <c r="P205" s="38">
        <f>18592</f>
        <v>18592</v>
      </c>
      <c r="Q205" s="20"/>
      <c r="R205" s="40">
        <f t="shared" si="55"/>
        <v>28696.1</v>
      </c>
      <c r="S205" s="51" t="str">
        <f t="shared" si="56"/>
        <v>In Budget</v>
      </c>
      <c r="T205" s="79">
        <v>18954</v>
      </c>
      <c r="U205" s="11"/>
      <c r="W205" s="77">
        <f>1-(T205/50684)</f>
        <v>0.62603582984768369</v>
      </c>
      <c r="X205" s="60">
        <f>30823+362</f>
        <v>31185</v>
      </c>
      <c r="Y205" s="76" t="s">
        <v>244</v>
      </c>
      <c r="Z205" s="23" t="s">
        <v>245</v>
      </c>
    </row>
    <row r="206" spans="2:26" x14ac:dyDescent="0.3">
      <c r="B206" s="1" t="s">
        <v>289</v>
      </c>
      <c r="C206" s="1"/>
      <c r="D206" s="1"/>
      <c r="E206" s="40"/>
      <c r="F206" s="40"/>
      <c r="G206" s="40"/>
      <c r="H206" s="46"/>
      <c r="I206" s="10"/>
      <c r="J206" s="99" t="s">
        <v>291</v>
      </c>
      <c r="K206" s="10"/>
      <c r="L206" s="40"/>
      <c r="M206" s="10"/>
      <c r="N206" s="31"/>
      <c r="O206" s="10"/>
      <c r="P206" s="37"/>
      <c r="Q206" s="20"/>
      <c r="R206" s="40"/>
      <c r="S206" s="51"/>
      <c r="T206" s="31"/>
      <c r="U206" s="11"/>
      <c r="W206" s="77"/>
      <c r="X206" s="60">
        <v>19499</v>
      </c>
      <c r="Y206" s="76" t="s">
        <v>244</v>
      </c>
      <c r="Z206" s="23" t="s">
        <v>246</v>
      </c>
    </row>
    <row r="207" spans="2:26" x14ac:dyDescent="0.3">
      <c r="B207" s="253" t="s">
        <v>378</v>
      </c>
      <c r="C207" s="1"/>
      <c r="D207" s="1"/>
      <c r="E207" s="40"/>
      <c r="F207" s="40"/>
      <c r="G207" s="40"/>
      <c r="H207" s="200">
        <f>F24</f>
        <v>3376.1</v>
      </c>
      <c r="I207" s="10"/>
      <c r="J207" s="14"/>
      <c r="K207" s="10"/>
      <c r="L207" s="40"/>
      <c r="M207" s="10"/>
      <c r="N207" s="31"/>
      <c r="O207" s="10"/>
      <c r="P207" s="37"/>
      <c r="Q207" s="20"/>
      <c r="R207" s="40"/>
      <c r="S207" s="51"/>
      <c r="T207" s="31"/>
      <c r="U207" s="11"/>
      <c r="W207" s="77"/>
      <c r="X207" s="60"/>
      <c r="Y207" s="76"/>
    </row>
    <row r="208" spans="2:26" x14ac:dyDescent="0.3">
      <c r="B208" s="1" t="s">
        <v>287</v>
      </c>
      <c r="C208" s="1"/>
      <c r="D208" s="1"/>
      <c r="E208" s="40"/>
      <c r="F208" s="40"/>
      <c r="G208" s="40"/>
      <c r="H208" s="46"/>
      <c r="I208" s="10"/>
      <c r="J208" s="14">
        <v>3324</v>
      </c>
      <c r="K208" s="10"/>
      <c r="L208" s="40"/>
      <c r="M208" s="10"/>
      <c r="N208" s="31"/>
      <c r="O208" s="10"/>
      <c r="P208" s="39"/>
      <c r="Q208" s="20"/>
      <c r="T208" s="31"/>
      <c r="U208" s="11"/>
      <c r="W208" s="39"/>
    </row>
    <row r="209" spans="2:25" x14ac:dyDescent="0.3">
      <c r="B209" s="1" t="s">
        <v>120</v>
      </c>
      <c r="C209" s="1"/>
      <c r="D209" s="1"/>
      <c r="E209" s="40"/>
      <c r="F209" s="40"/>
      <c r="G209" s="40"/>
      <c r="H209" s="46"/>
      <c r="I209" s="10"/>
      <c r="J209" s="14">
        <f>4763+80</f>
        <v>4843</v>
      </c>
      <c r="K209" s="10"/>
      <c r="L209" s="40"/>
      <c r="M209" s="10"/>
      <c r="N209" s="31"/>
      <c r="O209" s="10"/>
      <c r="P209" s="39"/>
      <c r="Q209" s="20"/>
      <c r="U209" s="19" t="s">
        <v>201</v>
      </c>
      <c r="W209" s="39"/>
      <c r="X209" s="10"/>
      <c r="Y209" s="23"/>
    </row>
    <row r="210" spans="2:25" x14ac:dyDescent="0.3">
      <c r="B210" s="1" t="s">
        <v>215</v>
      </c>
      <c r="C210" s="1"/>
      <c r="D210" s="1"/>
      <c r="E210" s="40"/>
      <c r="F210" s="40"/>
      <c r="G210" s="40"/>
      <c r="H210" s="46"/>
      <c r="I210" s="10"/>
      <c r="J210" s="14">
        <f>1785+446</f>
        <v>2231</v>
      </c>
      <c r="K210" s="10"/>
      <c r="L210" s="40"/>
      <c r="M210" s="10"/>
      <c r="N210" s="31"/>
      <c r="O210" s="10"/>
      <c r="P210" s="39"/>
      <c r="Q210" s="20"/>
      <c r="U210" s="19"/>
      <c r="W210" s="39"/>
      <c r="X210" s="10"/>
      <c r="Y210" s="23"/>
    </row>
    <row r="211" spans="2:25" x14ac:dyDescent="0.3">
      <c r="B211" s="1" t="s">
        <v>121</v>
      </c>
      <c r="C211" s="1"/>
      <c r="D211" s="1"/>
      <c r="E211" s="40"/>
      <c r="F211" s="40"/>
      <c r="G211" s="40"/>
      <c r="H211" s="46"/>
      <c r="I211" s="10"/>
      <c r="J211" s="14">
        <f>1017+254</f>
        <v>1271</v>
      </c>
      <c r="K211" s="10"/>
      <c r="L211" s="40"/>
      <c r="M211" s="10"/>
      <c r="N211" s="31"/>
      <c r="O211" s="10"/>
      <c r="P211" s="39"/>
      <c r="Q211" s="20"/>
      <c r="U211" s="11"/>
      <c r="W211" s="39"/>
      <c r="X211" s="10"/>
      <c r="Y211" s="23"/>
    </row>
    <row r="212" spans="2:25" x14ac:dyDescent="0.3">
      <c r="B212" s="1" t="s">
        <v>250</v>
      </c>
      <c r="C212" s="1"/>
      <c r="D212" s="1"/>
      <c r="E212" s="40"/>
      <c r="F212" s="40"/>
      <c r="G212" s="40"/>
      <c r="H212" s="46"/>
      <c r="I212" s="10"/>
      <c r="J212" s="14">
        <v>983</v>
      </c>
      <c r="K212" s="10"/>
      <c r="L212" s="40"/>
      <c r="M212" s="10"/>
      <c r="N212" s="31"/>
      <c r="O212" s="10"/>
      <c r="P212" s="39"/>
      <c r="Q212" s="20"/>
      <c r="U212" s="40"/>
      <c r="W212" s="69"/>
      <c r="X212" s="10"/>
      <c r="Y212" s="23"/>
    </row>
    <row r="213" spans="2:25" x14ac:dyDescent="0.3">
      <c r="B213" s="218" t="s">
        <v>122</v>
      </c>
      <c r="C213" s="1"/>
      <c r="D213" s="1"/>
      <c r="E213" s="40"/>
      <c r="F213" s="40"/>
      <c r="G213" s="40"/>
      <c r="H213" s="201">
        <v>2020</v>
      </c>
      <c r="I213" s="10"/>
      <c r="J213" s="14" t="s">
        <v>292</v>
      </c>
      <c r="K213" s="10"/>
      <c r="L213" s="40"/>
      <c r="M213" s="10"/>
      <c r="N213" s="31"/>
      <c r="O213" s="10"/>
      <c r="P213" s="39"/>
      <c r="Q213" s="20"/>
      <c r="U213" s="11"/>
      <c r="W213" s="39"/>
      <c r="X213" s="10"/>
      <c r="Y213" s="23"/>
    </row>
    <row r="214" spans="2:25" x14ac:dyDescent="0.3">
      <c r="B214" s="238" t="s">
        <v>123</v>
      </c>
      <c r="C214" s="1"/>
      <c r="D214" s="1"/>
      <c r="E214" s="40"/>
      <c r="F214" s="40"/>
      <c r="G214" s="40"/>
      <c r="H214" s="186">
        <v>2543</v>
      </c>
      <c r="I214" s="10"/>
      <c r="J214" s="14" t="s">
        <v>292</v>
      </c>
      <c r="K214" s="10"/>
      <c r="L214" s="40"/>
      <c r="M214" s="10"/>
      <c r="N214" s="31"/>
      <c r="O214" s="10"/>
      <c r="P214" s="39"/>
      <c r="Q214" s="20"/>
      <c r="U214" s="11"/>
      <c r="W214" s="39"/>
      <c r="X214" s="10"/>
      <c r="Y214" s="23"/>
    </row>
    <row r="215" spans="2:25" x14ac:dyDescent="0.3">
      <c r="B215" s="239" t="s">
        <v>249</v>
      </c>
      <c r="C215" s="1"/>
      <c r="D215" s="1"/>
      <c r="E215" s="40"/>
      <c r="F215" s="40"/>
      <c r="G215" s="40"/>
      <c r="H215" s="187">
        <v>4585</v>
      </c>
      <c r="I215" s="10"/>
      <c r="J215" s="14" t="s">
        <v>292</v>
      </c>
      <c r="K215" s="10"/>
      <c r="L215" s="40"/>
      <c r="M215" s="10"/>
      <c r="N215" s="31"/>
      <c r="O215" s="10"/>
      <c r="P215" s="39"/>
      <c r="Q215" s="20"/>
      <c r="U215" s="11"/>
      <c r="W215" s="39"/>
      <c r="X215" s="10"/>
      <c r="Y215" s="23"/>
    </row>
    <row r="216" spans="2:25" ht="19.5" thickBot="1" x14ac:dyDescent="0.35">
      <c r="B216" s="254" t="s">
        <v>377</v>
      </c>
      <c r="C216" s="1"/>
      <c r="D216" s="1"/>
      <c r="E216" s="40"/>
      <c r="F216" s="40"/>
      <c r="G216" s="40"/>
      <c r="H216" s="211">
        <v>1145</v>
      </c>
      <c r="I216" s="10"/>
      <c r="J216" s="14" t="s">
        <v>292</v>
      </c>
      <c r="K216" s="10"/>
      <c r="L216" s="40"/>
      <c r="M216" s="10"/>
      <c r="N216" s="31"/>
      <c r="O216" s="10"/>
      <c r="P216" s="39"/>
      <c r="Q216" s="20"/>
      <c r="U216" s="11"/>
      <c r="W216" s="39"/>
      <c r="X216" s="10"/>
      <c r="Y216" s="23"/>
    </row>
    <row r="217" spans="2:25" x14ac:dyDescent="0.3">
      <c r="B217" s="1" t="s">
        <v>124</v>
      </c>
      <c r="C217" s="1"/>
      <c r="D217" s="1"/>
      <c r="E217" s="40"/>
      <c r="F217" s="40"/>
      <c r="G217" s="40"/>
      <c r="H217" s="45"/>
      <c r="I217" s="12"/>
      <c r="J217" s="13">
        <v>7261</v>
      </c>
      <c r="K217" s="10"/>
      <c r="L217" s="49">
        <f>SUM(H217:J232)</f>
        <v>33370.07</v>
      </c>
      <c r="M217" s="10"/>
      <c r="N217" s="31">
        <v>14000</v>
      </c>
      <c r="O217" s="10"/>
      <c r="P217" s="36">
        <f>19641.95</f>
        <v>19641.95</v>
      </c>
      <c r="Q217" s="10"/>
      <c r="R217" s="40">
        <f>L217-SUM(P217:P232)</f>
        <v>12638.64</v>
      </c>
      <c r="S217" s="51" t="str">
        <f t="shared" ref="S217" si="57">IF(P217&gt;L217,"Over Budget","In Budget")</f>
        <v>In Budget</v>
      </c>
      <c r="T217" s="95">
        <v>25398.9</v>
      </c>
      <c r="U217" s="11"/>
      <c r="W217" s="77">
        <v>0.28999999999999998</v>
      </c>
      <c r="X217" s="60">
        <v>29703.1</v>
      </c>
      <c r="Y217" s="85" t="s">
        <v>267</v>
      </c>
    </row>
    <row r="218" spans="2:25" x14ac:dyDescent="0.3">
      <c r="B218" s="1" t="s">
        <v>125</v>
      </c>
      <c r="C218" s="1"/>
      <c r="D218" s="1"/>
      <c r="E218" s="40"/>
      <c r="F218" s="40"/>
      <c r="G218" s="40"/>
      <c r="H218" s="46"/>
      <c r="I218" s="10"/>
      <c r="J218" s="14">
        <v>1037</v>
      </c>
      <c r="K218" s="10"/>
      <c r="L218" s="40"/>
      <c r="M218" s="10"/>
      <c r="N218" s="31"/>
      <c r="O218" s="10"/>
      <c r="P218" s="37"/>
      <c r="Q218" s="10"/>
      <c r="R218" s="25" t="s">
        <v>275</v>
      </c>
      <c r="U218" s="11"/>
      <c r="W218" s="77">
        <v>0.1</v>
      </c>
      <c r="X218" s="60">
        <v>25398.9</v>
      </c>
      <c r="Y218" s="85" t="s">
        <v>300</v>
      </c>
    </row>
    <row r="219" spans="2:25" x14ac:dyDescent="0.3">
      <c r="B219" s="1" t="s">
        <v>126</v>
      </c>
      <c r="C219" s="1"/>
      <c r="D219" s="1"/>
      <c r="E219" s="40"/>
      <c r="F219" s="40"/>
      <c r="G219" s="40"/>
      <c r="H219" s="46"/>
      <c r="I219" s="10"/>
      <c r="J219" s="14">
        <v>3200</v>
      </c>
      <c r="K219" s="10"/>
      <c r="L219" s="40"/>
      <c r="M219" s="10"/>
      <c r="N219" s="31"/>
      <c r="O219" s="10"/>
      <c r="P219" s="37"/>
      <c r="Q219" s="10"/>
      <c r="U219" s="11"/>
      <c r="W219" s="37"/>
      <c r="X219" s="10"/>
      <c r="Y219" s="23"/>
    </row>
    <row r="220" spans="2:25" x14ac:dyDescent="0.3">
      <c r="B220" s="1" t="s">
        <v>127</v>
      </c>
      <c r="C220" s="1"/>
      <c r="D220" s="1"/>
      <c r="E220" s="40"/>
      <c r="F220" s="40"/>
      <c r="G220" s="40"/>
      <c r="H220" s="46"/>
      <c r="I220" s="10"/>
      <c r="J220" s="14">
        <v>825</v>
      </c>
      <c r="K220" s="10"/>
      <c r="L220" s="40"/>
      <c r="M220" s="10"/>
      <c r="N220" s="31"/>
      <c r="O220" s="10"/>
      <c r="P220" s="37"/>
      <c r="Q220" s="10"/>
      <c r="U220" s="11"/>
      <c r="W220" s="37"/>
      <c r="X220" s="10"/>
      <c r="Y220" s="23"/>
    </row>
    <row r="221" spans="2:25" x14ac:dyDescent="0.3">
      <c r="B221" s="1" t="s">
        <v>128</v>
      </c>
      <c r="C221" s="1"/>
      <c r="D221" s="1"/>
      <c r="E221" s="40"/>
      <c r="F221" s="40"/>
      <c r="G221" s="40"/>
      <c r="H221" s="46"/>
      <c r="I221" s="10"/>
      <c r="J221" s="14">
        <v>667</v>
      </c>
      <c r="K221" s="10"/>
      <c r="L221" s="40"/>
      <c r="M221" s="10"/>
      <c r="N221" s="31"/>
      <c r="O221" s="10"/>
      <c r="P221" s="37"/>
      <c r="Q221" s="10"/>
      <c r="U221" s="11"/>
      <c r="W221" s="37"/>
      <c r="X221" s="10"/>
      <c r="Y221" s="23"/>
    </row>
    <row r="222" spans="2:25" x14ac:dyDescent="0.3">
      <c r="B222" s="1" t="s">
        <v>129</v>
      </c>
      <c r="C222" s="1"/>
      <c r="D222" s="1"/>
      <c r="E222" s="40"/>
      <c r="F222" s="40"/>
      <c r="G222" s="40"/>
      <c r="H222" s="46"/>
      <c r="I222" s="10"/>
      <c r="J222" s="14" t="s">
        <v>288</v>
      </c>
      <c r="K222" s="10"/>
      <c r="L222" s="40"/>
      <c r="M222" s="10"/>
      <c r="N222" s="31"/>
      <c r="O222" s="10"/>
      <c r="P222" s="37"/>
      <c r="Q222" s="10"/>
      <c r="U222" s="11"/>
      <c r="W222" s="37"/>
      <c r="X222" s="10"/>
      <c r="Y222" s="23"/>
    </row>
    <row r="223" spans="2:25" x14ac:dyDescent="0.3">
      <c r="B223" s="1" t="s">
        <v>293</v>
      </c>
      <c r="C223" s="1"/>
      <c r="D223" s="1"/>
      <c r="E223" s="40"/>
      <c r="F223" s="40"/>
      <c r="G223" s="40"/>
      <c r="H223" s="46"/>
      <c r="I223" s="10"/>
      <c r="J223" s="14">
        <v>1000</v>
      </c>
      <c r="K223" s="10"/>
      <c r="L223" s="40"/>
      <c r="M223" s="10"/>
      <c r="N223" s="31"/>
      <c r="O223" s="10"/>
      <c r="P223" s="39"/>
      <c r="Q223" s="20"/>
      <c r="U223" s="40"/>
      <c r="W223" s="69"/>
      <c r="X223" s="10"/>
      <c r="Y223" s="23"/>
    </row>
    <row r="224" spans="2:25" x14ac:dyDescent="0.3">
      <c r="B224" s="1" t="s">
        <v>168</v>
      </c>
      <c r="C224" s="1"/>
      <c r="D224" s="1"/>
      <c r="E224" s="40"/>
      <c r="F224" s="40"/>
      <c r="G224" s="40"/>
      <c r="H224" s="46"/>
      <c r="I224" s="10"/>
      <c r="J224" s="14">
        <v>1000</v>
      </c>
      <c r="K224" s="10"/>
      <c r="L224" s="40"/>
      <c r="M224" s="10"/>
      <c r="N224" s="31"/>
      <c r="O224" s="10"/>
      <c r="P224" s="38">
        <f>1089.48</f>
        <v>1089.48</v>
      </c>
      <c r="Q224" s="10"/>
      <c r="T224" s="79">
        <f>X224</f>
        <v>1089.48</v>
      </c>
      <c r="U224" s="11"/>
      <c r="W224" s="37"/>
      <c r="X224" s="60">
        <v>1089.48</v>
      </c>
      <c r="Y224" s="85" t="s">
        <v>274</v>
      </c>
    </row>
    <row r="225" spans="2:25" x14ac:dyDescent="0.3">
      <c r="B225" s="255" t="s">
        <v>307</v>
      </c>
      <c r="C225" s="1"/>
      <c r="D225" s="1"/>
      <c r="E225" s="40"/>
      <c r="F225" s="40"/>
      <c r="G225" s="40"/>
      <c r="H225" s="212">
        <f>F31</f>
        <v>4574.7</v>
      </c>
      <c r="I225" s="10"/>
      <c r="J225" s="14" t="s">
        <v>292</v>
      </c>
      <c r="K225" s="10"/>
      <c r="L225" s="40"/>
      <c r="M225" s="10"/>
      <c r="N225" s="31"/>
      <c r="O225" s="10"/>
      <c r="P225" s="37"/>
      <c r="Q225" s="10"/>
      <c r="T225" s="31"/>
      <c r="U225" s="11"/>
      <c r="W225" s="37"/>
      <c r="X225" s="60">
        <v>25398.9</v>
      </c>
      <c r="Y225" s="85" t="s">
        <v>300</v>
      </c>
    </row>
    <row r="226" spans="2:25" x14ac:dyDescent="0.3">
      <c r="B226" s="256" t="s">
        <v>309</v>
      </c>
      <c r="C226" s="1"/>
      <c r="D226" s="1"/>
      <c r="E226" s="40"/>
      <c r="F226" s="40"/>
      <c r="G226" s="40"/>
      <c r="H226" s="202">
        <f>F32</f>
        <v>2310.1</v>
      </c>
      <c r="I226" s="10"/>
      <c r="J226" s="14" t="s">
        <v>292</v>
      </c>
      <c r="K226" s="10"/>
      <c r="L226" s="40"/>
      <c r="M226" s="10"/>
      <c r="N226" s="31"/>
      <c r="O226" s="10"/>
      <c r="P226" s="37"/>
      <c r="Q226" s="10"/>
      <c r="T226" s="31"/>
      <c r="U226" s="11"/>
      <c r="W226" s="37"/>
      <c r="X226" s="10"/>
      <c r="Y226" s="23"/>
    </row>
    <row r="227" spans="2:25" x14ac:dyDescent="0.3">
      <c r="B227" s="257" t="s">
        <v>308</v>
      </c>
      <c r="C227" s="1"/>
      <c r="D227" s="1"/>
      <c r="E227" s="40"/>
      <c r="F227" s="40"/>
      <c r="G227" s="40"/>
      <c r="H227" s="203">
        <f>F33</f>
        <v>1181.7</v>
      </c>
      <c r="I227" s="10"/>
      <c r="J227" s="14" t="s">
        <v>292</v>
      </c>
      <c r="K227" s="10"/>
      <c r="L227" s="40"/>
      <c r="M227" s="10"/>
      <c r="N227" s="31"/>
      <c r="O227" s="10"/>
      <c r="P227" s="37"/>
      <c r="Q227" s="10"/>
      <c r="T227" s="31"/>
      <c r="U227" s="11"/>
      <c r="W227" s="37"/>
      <c r="X227" s="10"/>
      <c r="Y227" s="23"/>
    </row>
    <row r="228" spans="2:25" x14ac:dyDescent="0.3">
      <c r="B228" s="218" t="s">
        <v>372</v>
      </c>
      <c r="C228" s="1"/>
      <c r="D228" s="1"/>
      <c r="E228" s="40"/>
      <c r="F228" s="40"/>
      <c r="G228" s="40"/>
      <c r="H228" s="201">
        <v>528</v>
      </c>
      <c r="I228" s="10"/>
      <c r="J228" s="14" t="s">
        <v>292</v>
      </c>
      <c r="K228" s="10"/>
      <c r="L228" s="40"/>
      <c r="M228" s="10"/>
      <c r="N228" s="31"/>
      <c r="O228" s="10"/>
      <c r="P228" s="39"/>
      <c r="Q228" s="20"/>
      <c r="U228" s="11"/>
      <c r="W228" s="39"/>
      <c r="X228" s="10"/>
      <c r="Y228" s="23"/>
    </row>
    <row r="229" spans="2:25" x14ac:dyDescent="0.3">
      <c r="B229" s="238" t="s">
        <v>371</v>
      </c>
      <c r="C229" s="1"/>
      <c r="D229" s="1"/>
      <c r="E229" s="40"/>
      <c r="F229" s="40"/>
      <c r="G229" s="40"/>
      <c r="H229" s="186">
        <v>2090.88</v>
      </c>
      <c r="I229" s="10"/>
      <c r="J229" s="14" t="s">
        <v>292</v>
      </c>
      <c r="K229" s="10"/>
      <c r="L229" s="40"/>
      <c r="M229" s="10"/>
      <c r="N229" s="31"/>
      <c r="O229" s="10"/>
      <c r="P229" s="39"/>
      <c r="Q229" s="20"/>
      <c r="U229" s="11"/>
      <c r="W229" s="39"/>
      <c r="X229" s="10"/>
      <c r="Y229" s="23"/>
    </row>
    <row r="230" spans="2:25" x14ac:dyDescent="0.3">
      <c r="B230" s="239" t="s">
        <v>374</v>
      </c>
      <c r="C230" s="1"/>
      <c r="D230" s="1"/>
      <c r="E230" s="40"/>
      <c r="F230" s="40"/>
      <c r="G230" s="40"/>
      <c r="H230" s="187">
        <v>938.43</v>
      </c>
      <c r="I230" s="10"/>
      <c r="J230" s="14" t="s">
        <v>292</v>
      </c>
      <c r="K230" s="10"/>
      <c r="L230" s="40"/>
      <c r="M230" s="10"/>
      <c r="N230" s="31"/>
      <c r="O230" s="10"/>
      <c r="P230" s="39"/>
      <c r="Q230" s="20"/>
      <c r="U230" s="11"/>
      <c r="W230" s="39"/>
      <c r="X230" s="10"/>
      <c r="Y230" s="23"/>
    </row>
    <row r="231" spans="2:25" x14ac:dyDescent="0.3">
      <c r="B231" s="254" t="s">
        <v>375</v>
      </c>
      <c r="C231" s="1"/>
      <c r="D231" s="1"/>
      <c r="E231" s="40"/>
      <c r="F231" s="40"/>
      <c r="G231" s="40"/>
      <c r="H231" s="211">
        <v>1734.66</v>
      </c>
      <c r="I231" s="10"/>
      <c r="J231" s="14" t="s">
        <v>292</v>
      </c>
      <c r="K231" s="10"/>
      <c r="L231" s="40"/>
      <c r="M231" s="10"/>
      <c r="N231" s="31"/>
      <c r="O231" s="10"/>
      <c r="P231" s="39"/>
      <c r="Q231" s="20"/>
      <c r="U231" s="40"/>
      <c r="W231" s="69"/>
      <c r="X231" s="10"/>
      <c r="Y231" s="23"/>
    </row>
    <row r="232" spans="2:25" ht="19.5" thickBot="1" x14ac:dyDescent="0.35">
      <c r="B232" s="240" t="s">
        <v>130</v>
      </c>
      <c r="C232" s="1"/>
      <c r="D232" s="1"/>
      <c r="E232" s="40"/>
      <c r="F232" s="40"/>
      <c r="G232" s="40"/>
      <c r="H232" s="188">
        <v>5021.6000000000004</v>
      </c>
      <c r="I232" s="15"/>
      <c r="J232" s="16" t="s">
        <v>292</v>
      </c>
      <c r="K232" s="10"/>
      <c r="L232" s="40"/>
      <c r="M232" s="10"/>
      <c r="N232" s="31"/>
      <c r="O232" s="10"/>
      <c r="P232" s="37"/>
      <c r="Q232" s="10"/>
      <c r="U232" s="41"/>
      <c r="W232" s="68"/>
      <c r="X232" s="31"/>
      <c r="Y232" s="23"/>
    </row>
    <row r="233" spans="2:25" x14ac:dyDescent="0.3">
      <c r="B233" s="1" t="s">
        <v>286</v>
      </c>
      <c r="C233" s="1"/>
      <c r="D233" s="1"/>
      <c r="E233" s="40"/>
      <c r="F233" s="40"/>
      <c r="G233" s="40"/>
      <c r="H233" s="115"/>
      <c r="I233" s="12"/>
      <c r="J233" s="13">
        <v>1420</v>
      </c>
      <c r="K233" s="10"/>
      <c r="L233" s="40">
        <f>SUM(H233:J239)</f>
        <v>9005</v>
      </c>
      <c r="M233" s="10"/>
      <c r="N233" s="31">
        <v>8800</v>
      </c>
      <c r="O233" s="10"/>
      <c r="P233" s="37"/>
      <c r="Q233" s="10"/>
      <c r="R233" s="40">
        <f t="shared" ref="R233" si="58">L233-P233</f>
        <v>9005</v>
      </c>
      <c r="S233" s="51" t="str">
        <f t="shared" ref="S233" si="59">IF(P233&gt;L233,"Over Budget","In Budget")</f>
        <v>In Budget</v>
      </c>
      <c r="T233" s="79">
        <f>X233</f>
        <v>7104.01</v>
      </c>
      <c r="U233" s="41"/>
      <c r="W233" s="77">
        <v>0.1</v>
      </c>
      <c r="X233" s="60">
        <v>7104.01</v>
      </c>
      <c r="Y233" s="85" t="s">
        <v>269</v>
      </c>
    </row>
    <row r="234" spans="2:25" x14ac:dyDescent="0.3">
      <c r="B234" s="1" t="s">
        <v>202</v>
      </c>
      <c r="C234" s="1"/>
      <c r="D234" s="1"/>
      <c r="E234" s="40"/>
      <c r="F234" s="40"/>
      <c r="G234" s="40"/>
      <c r="H234" s="120"/>
      <c r="I234" s="10"/>
      <c r="J234" s="14">
        <v>1560</v>
      </c>
      <c r="K234" s="10"/>
      <c r="L234" s="40"/>
      <c r="M234" s="10"/>
      <c r="N234" s="31"/>
      <c r="O234" s="10"/>
      <c r="P234" s="37"/>
      <c r="Q234" s="10"/>
      <c r="U234" s="41"/>
      <c r="W234" s="68"/>
      <c r="X234" s="60">
        <v>6765</v>
      </c>
      <c r="Y234" s="85" t="s">
        <v>294</v>
      </c>
    </row>
    <row r="235" spans="2:25" x14ac:dyDescent="0.3">
      <c r="B235" s="1" t="s">
        <v>282</v>
      </c>
      <c r="C235" s="1"/>
      <c r="D235" s="1"/>
      <c r="E235" s="40"/>
      <c r="F235" s="40"/>
      <c r="G235" s="40"/>
      <c r="H235" s="120"/>
      <c r="I235" s="10"/>
      <c r="J235" s="14">
        <v>2500</v>
      </c>
      <c r="K235" s="10"/>
      <c r="L235" s="40"/>
      <c r="M235" s="10"/>
      <c r="N235" s="31"/>
      <c r="O235" s="10"/>
      <c r="P235" s="37"/>
      <c r="Q235" s="10"/>
      <c r="U235" s="11"/>
      <c r="W235" s="37"/>
      <c r="X235" s="10"/>
      <c r="Y235" s="23"/>
    </row>
    <row r="236" spans="2:25" x14ac:dyDescent="0.3">
      <c r="B236" s="1" t="s">
        <v>285</v>
      </c>
      <c r="C236" s="1"/>
      <c r="D236" s="1"/>
      <c r="E236" s="40"/>
      <c r="F236" s="40"/>
      <c r="G236" s="40"/>
      <c r="H236" s="46"/>
      <c r="I236" s="10"/>
      <c r="J236" s="14">
        <v>2000</v>
      </c>
      <c r="K236" s="10"/>
      <c r="L236" s="40"/>
      <c r="M236" s="10"/>
      <c r="N236" s="31"/>
      <c r="O236" s="10"/>
      <c r="P236" s="37"/>
      <c r="Q236" s="10"/>
      <c r="U236" s="11"/>
      <c r="W236" s="37"/>
      <c r="X236" s="10"/>
      <c r="Y236" s="23"/>
    </row>
    <row r="237" spans="2:25" x14ac:dyDescent="0.3">
      <c r="B237" s="1" t="s">
        <v>281</v>
      </c>
      <c r="C237" s="1"/>
      <c r="D237" s="1"/>
      <c r="E237" s="40"/>
      <c r="F237" s="40"/>
      <c r="G237" s="40"/>
      <c r="H237" s="46"/>
      <c r="I237" s="10"/>
      <c r="J237" s="14">
        <v>925</v>
      </c>
      <c r="K237" s="10"/>
      <c r="L237" s="40"/>
      <c r="M237" s="10"/>
      <c r="N237" s="31"/>
      <c r="O237" s="10"/>
      <c r="P237" s="37"/>
      <c r="Q237" s="10"/>
      <c r="U237" s="11"/>
      <c r="W237" s="37"/>
      <c r="X237" s="10"/>
      <c r="Y237" s="23"/>
    </row>
    <row r="238" spans="2:25" x14ac:dyDescent="0.3">
      <c r="B238" s="1" t="s">
        <v>284</v>
      </c>
      <c r="C238" s="1"/>
      <c r="D238" s="1"/>
      <c r="E238" s="40"/>
      <c r="F238" s="40"/>
      <c r="G238" s="40"/>
      <c r="H238" s="260">
        <f>F40</f>
        <v>-1500</v>
      </c>
      <c r="I238" s="10"/>
      <c r="J238" s="14">
        <v>1500</v>
      </c>
      <c r="K238" s="10"/>
      <c r="L238" s="40"/>
      <c r="M238" s="10"/>
      <c r="N238" s="31"/>
      <c r="O238" s="10"/>
      <c r="P238" s="37"/>
      <c r="Q238" s="10"/>
      <c r="U238" s="11"/>
      <c r="W238" s="37"/>
      <c r="X238" s="10"/>
      <c r="Y238" s="23"/>
    </row>
    <row r="239" spans="2:25" ht="19.5" thickBot="1" x14ac:dyDescent="0.35">
      <c r="B239" s="1" t="s">
        <v>283</v>
      </c>
      <c r="C239" s="1"/>
      <c r="D239" s="1"/>
      <c r="E239" s="40"/>
      <c r="F239" s="40"/>
      <c r="G239" s="40"/>
      <c r="H239" s="48"/>
      <c r="I239" s="15"/>
      <c r="J239" s="16">
        <v>600</v>
      </c>
      <c r="K239" s="10"/>
      <c r="L239" s="40"/>
      <c r="M239" s="10"/>
      <c r="N239" s="31"/>
      <c r="O239" s="10"/>
      <c r="P239" s="37"/>
      <c r="Q239" s="10"/>
      <c r="U239" s="40"/>
      <c r="W239" s="69"/>
      <c r="X239" s="10"/>
      <c r="Y239" s="23"/>
    </row>
    <row r="240" spans="2:25" x14ac:dyDescent="0.3">
      <c r="B240" s="134" t="s">
        <v>396</v>
      </c>
      <c r="C240" s="1"/>
      <c r="D240" s="1"/>
      <c r="E240" s="40"/>
      <c r="F240" s="40"/>
      <c r="G240" s="40"/>
      <c r="H240" s="134">
        <f>F17</f>
        <v>5203.9000000000005</v>
      </c>
      <c r="I240" s="10"/>
      <c r="J240" s="10">
        <v>0</v>
      </c>
      <c r="K240" s="10"/>
      <c r="L240" s="40">
        <f t="shared" ref="L240:L245" si="60">SUM(H240:J240)</f>
        <v>5203.9000000000005</v>
      </c>
      <c r="M240" s="10"/>
      <c r="N240" s="31"/>
      <c r="O240" s="10"/>
      <c r="P240" s="36">
        <f>2957</f>
        <v>2957</v>
      </c>
      <c r="Q240" s="10"/>
      <c r="U240" s="40"/>
      <c r="W240" s="69"/>
      <c r="X240" s="10"/>
      <c r="Y240" s="23"/>
    </row>
    <row r="241" spans="1:25" x14ac:dyDescent="0.3">
      <c r="B241" s="254" t="s">
        <v>376</v>
      </c>
      <c r="C241" s="1"/>
      <c r="D241" s="1"/>
      <c r="E241" s="40"/>
      <c r="F241" s="40"/>
      <c r="G241" s="40"/>
      <c r="H241" s="140">
        <v>259.83999999999997</v>
      </c>
      <c r="I241" s="10"/>
      <c r="J241" s="10">
        <v>0</v>
      </c>
      <c r="K241" s="10"/>
      <c r="L241" s="40">
        <f t="shared" si="60"/>
        <v>259.83999999999997</v>
      </c>
      <c r="M241" s="10"/>
      <c r="N241" s="31"/>
      <c r="O241" s="10"/>
      <c r="P241" s="37"/>
      <c r="Q241" s="10"/>
      <c r="U241" s="40"/>
      <c r="W241" s="69"/>
      <c r="X241" s="10"/>
      <c r="Y241" s="23"/>
    </row>
    <row r="242" spans="1:25" x14ac:dyDescent="0.3">
      <c r="B242" s="1" t="s">
        <v>31</v>
      </c>
      <c r="C242" s="1"/>
      <c r="D242" s="1"/>
      <c r="E242" s="40"/>
      <c r="F242" s="40"/>
      <c r="G242" s="40"/>
      <c r="H242" s="40"/>
      <c r="I242" s="10"/>
      <c r="J242" s="10">
        <v>0</v>
      </c>
      <c r="K242" s="10"/>
      <c r="L242" s="40">
        <f t="shared" si="60"/>
        <v>0</v>
      </c>
      <c r="M242" s="10"/>
      <c r="N242" s="31"/>
      <c r="O242" s="10"/>
      <c r="P242" s="37"/>
      <c r="Q242" s="10"/>
      <c r="U242" s="41"/>
      <c r="W242" s="68"/>
      <c r="X242" s="10"/>
      <c r="Y242" s="23"/>
    </row>
    <row r="243" spans="1:25" x14ac:dyDescent="0.3">
      <c r="A243" s="64">
        <v>79</v>
      </c>
      <c r="B243" s="1" t="s">
        <v>131</v>
      </c>
      <c r="C243" s="1"/>
      <c r="D243" s="1"/>
      <c r="E243" s="40"/>
      <c r="F243" s="40"/>
      <c r="G243" s="40"/>
      <c r="H243" s="40"/>
      <c r="I243" s="10"/>
      <c r="J243" s="10">
        <f>SUM(C3*0.75)+550</f>
        <v>2770.75</v>
      </c>
      <c r="K243" s="10"/>
      <c r="L243" s="40">
        <f t="shared" si="60"/>
        <v>2770.75</v>
      </c>
      <c r="M243" s="10"/>
      <c r="N243" s="31">
        <v>2700</v>
      </c>
      <c r="O243" s="10"/>
      <c r="P243" s="37"/>
      <c r="Q243" s="10"/>
      <c r="R243" s="40">
        <f t="shared" ref="R243" si="61">L243-P243</f>
        <v>2770.75</v>
      </c>
      <c r="S243" s="51" t="str">
        <f t="shared" ref="S243" si="62">IF(P243&gt;L243,"Over Budget","In Budget")</f>
        <v>In Budget</v>
      </c>
      <c r="T243" s="79">
        <f>X243</f>
        <v>2220.75</v>
      </c>
      <c r="U243" s="41"/>
      <c r="W243" s="68"/>
      <c r="X243" s="60">
        <f>C3*0.75</f>
        <v>2220.75</v>
      </c>
      <c r="Y243" s="85" t="s">
        <v>299</v>
      </c>
    </row>
    <row r="244" spans="1:25" s="2" customFormat="1" x14ac:dyDescent="0.3">
      <c r="A244" s="27"/>
      <c r="B244" s="1" t="s">
        <v>132</v>
      </c>
      <c r="C244" s="1"/>
      <c r="D244" s="1"/>
      <c r="E244" s="40"/>
      <c r="F244" s="40"/>
      <c r="G244" s="40"/>
      <c r="H244" s="40"/>
      <c r="I244" s="10"/>
      <c r="J244" s="10">
        <v>0</v>
      </c>
      <c r="K244" s="10"/>
      <c r="L244" s="40">
        <f t="shared" si="60"/>
        <v>0</v>
      </c>
      <c r="M244" s="10"/>
      <c r="N244" s="31">
        <v>500</v>
      </c>
      <c r="O244" s="10"/>
      <c r="P244" s="36">
        <f>200+200</f>
        <v>400</v>
      </c>
      <c r="Q244" s="10"/>
      <c r="R244" s="40">
        <f>N244-P244</f>
        <v>100</v>
      </c>
      <c r="S244" s="51" t="str">
        <f>IF(P244&gt;N244,"Over Budget","In Budget")</f>
        <v>In Budget</v>
      </c>
      <c r="U244" s="41">
        <v>100000</v>
      </c>
      <c r="W244" s="68" t="s">
        <v>186</v>
      </c>
      <c r="X244" s="60">
        <v>105960</v>
      </c>
      <c r="Y244" s="85" t="s">
        <v>296</v>
      </c>
    </row>
    <row r="245" spans="1:25" s="2" customFormat="1" thickBot="1" x14ac:dyDescent="0.3">
      <c r="A245" s="27"/>
      <c r="B245" s="1" t="s">
        <v>295</v>
      </c>
      <c r="C245" s="1"/>
      <c r="D245" s="1"/>
      <c r="E245" s="40"/>
      <c r="F245" s="40"/>
      <c r="G245" s="40"/>
      <c r="H245" s="129">
        <f>F10</f>
        <v>130000</v>
      </c>
      <c r="I245" s="10"/>
      <c r="J245" s="10"/>
      <c r="K245" s="10"/>
      <c r="L245" s="40">
        <f t="shared" si="60"/>
        <v>130000</v>
      </c>
      <c r="M245" s="10"/>
      <c r="N245" s="31"/>
      <c r="O245" s="10"/>
      <c r="P245" s="36">
        <f>42384+24370.8+26490</f>
        <v>93244.800000000003</v>
      </c>
      <c r="Q245" s="10"/>
      <c r="U245" s="11"/>
      <c r="W245" s="70"/>
      <c r="X245" s="10"/>
    </row>
    <row r="246" spans="1:25" s="2" customFormat="1" ht="18" x14ac:dyDescent="0.25">
      <c r="A246" s="27"/>
      <c r="B246" s="1"/>
      <c r="C246" s="1"/>
      <c r="D246" s="1"/>
      <c r="E246" s="40"/>
      <c r="F246" s="40"/>
      <c r="G246" s="40"/>
      <c r="H246" s="40"/>
      <c r="I246" s="10"/>
      <c r="J246" s="10"/>
      <c r="K246" s="10"/>
      <c r="L246" s="40"/>
      <c r="M246" s="10"/>
      <c r="N246" s="31"/>
      <c r="O246" s="10"/>
      <c r="P246" s="37"/>
      <c r="Q246" s="10"/>
      <c r="U246" s="11"/>
      <c r="W246" s="20"/>
      <c r="X246" s="10"/>
    </row>
    <row r="247" spans="1:25" s="2" customFormat="1" ht="18" x14ac:dyDescent="0.25">
      <c r="A247" s="27"/>
      <c r="B247" s="1"/>
      <c r="C247" s="1"/>
      <c r="D247" s="1"/>
      <c r="F247" s="10"/>
      <c r="G247" s="10"/>
      <c r="H247" s="20">
        <f>SUM(H9:H246)</f>
        <v>296048.40000000002</v>
      </c>
      <c r="I247" s="20"/>
      <c r="J247" s="20">
        <f>SUM(J9:J246)</f>
        <v>619663.52499999991</v>
      </c>
      <c r="K247" s="20"/>
      <c r="L247" s="20">
        <f>SUM(L9:L246)</f>
        <v>915711.92499999993</v>
      </c>
      <c r="M247" s="10"/>
      <c r="N247" s="31"/>
      <c r="O247" s="10"/>
      <c r="P247" s="39"/>
      <c r="Q247" s="20"/>
      <c r="U247" s="11"/>
      <c r="W247" s="20"/>
      <c r="X247" s="10"/>
    </row>
    <row r="248" spans="1:25" s="2" customFormat="1" ht="18" x14ac:dyDescent="0.25">
      <c r="A248" s="27"/>
      <c r="B248" s="1"/>
      <c r="C248" s="1"/>
      <c r="D248" s="1"/>
      <c r="E248" s="40"/>
      <c r="F248" s="40"/>
      <c r="G248" s="40"/>
      <c r="H248" s="128"/>
      <c r="I248" s="20"/>
      <c r="J248" s="20"/>
      <c r="K248" s="20"/>
      <c r="L248" s="128">
        <f>SUM(F247:J247)</f>
        <v>915711.92499999993</v>
      </c>
      <c r="M248" s="10"/>
      <c r="N248" s="31"/>
      <c r="O248" s="10"/>
      <c r="P248" s="39"/>
      <c r="Q248" s="20"/>
      <c r="U248" s="11"/>
      <c r="W248" s="20"/>
      <c r="X248" s="10"/>
    </row>
    <row r="249" spans="1:25" s="2" customFormat="1" ht="18" x14ac:dyDescent="0.25">
      <c r="A249" s="27"/>
      <c r="B249" s="1"/>
      <c r="C249" s="1"/>
      <c r="D249" s="1"/>
      <c r="E249" s="40"/>
      <c r="F249" s="40"/>
      <c r="G249" s="40"/>
      <c r="H249" s="40"/>
      <c r="I249" s="10"/>
      <c r="J249" s="10"/>
      <c r="K249" s="10"/>
      <c r="L249" s="49">
        <f>L247-L248</f>
        <v>0</v>
      </c>
      <c r="M249" s="10"/>
      <c r="N249" s="31"/>
      <c r="O249" s="10"/>
      <c r="P249" s="39"/>
      <c r="Q249" s="20"/>
      <c r="U249" s="11"/>
      <c r="W249" s="20"/>
      <c r="X249" s="10"/>
    </row>
    <row r="250" spans="1:25" s="2" customFormat="1" ht="18" x14ac:dyDescent="0.25">
      <c r="A250" s="27"/>
      <c r="B250" s="1"/>
      <c r="C250" s="1"/>
      <c r="D250" s="1"/>
      <c r="E250" s="40"/>
      <c r="F250" s="40"/>
      <c r="G250" s="40"/>
      <c r="H250" s="40"/>
      <c r="I250" s="10"/>
      <c r="J250" s="10"/>
      <c r="K250" s="10"/>
      <c r="L250" s="40"/>
      <c r="M250" s="10"/>
      <c r="N250" s="31"/>
      <c r="O250" s="10"/>
      <c r="P250" s="39"/>
      <c r="Q250" s="20"/>
      <c r="W250" s="20"/>
      <c r="X250" s="10"/>
    </row>
    <row r="251" spans="1:25" s="2" customFormat="1" ht="18" x14ac:dyDescent="0.25">
      <c r="A251" s="27"/>
      <c r="B251" s="1"/>
      <c r="C251" s="1"/>
      <c r="D251" s="1"/>
      <c r="E251" s="40"/>
      <c r="F251" s="40"/>
      <c r="G251" s="40"/>
      <c r="H251" s="40"/>
      <c r="I251" s="10"/>
      <c r="J251" s="10"/>
      <c r="K251" s="10"/>
      <c r="L251" s="40"/>
      <c r="M251" s="10"/>
      <c r="N251" s="31"/>
      <c r="O251" s="10"/>
      <c r="P251" s="37"/>
      <c r="Q251" s="10"/>
      <c r="R251" s="11"/>
      <c r="S251" s="10"/>
      <c r="T251" s="11"/>
      <c r="W251" s="10"/>
      <c r="X251" s="10"/>
    </row>
    <row r="252" spans="1:25" s="2" customFormat="1" ht="18" x14ac:dyDescent="0.25">
      <c r="A252" s="27"/>
      <c r="B252" s="1"/>
      <c r="C252" s="1"/>
      <c r="D252" s="1"/>
      <c r="E252" s="40"/>
      <c r="F252" s="40"/>
      <c r="G252" s="40"/>
      <c r="H252" s="40"/>
      <c r="I252" s="10"/>
      <c r="J252" s="10"/>
      <c r="K252" s="10"/>
      <c r="L252" s="40"/>
      <c r="M252" s="10"/>
      <c r="N252" s="31"/>
      <c r="O252" s="10"/>
      <c r="P252" s="37"/>
      <c r="Q252" s="10"/>
      <c r="R252" s="11"/>
      <c r="S252" s="10"/>
      <c r="T252" s="11"/>
      <c r="W252" s="10"/>
      <c r="X252" s="10"/>
    </row>
    <row r="253" spans="1:25" s="2" customFormat="1" ht="18" x14ac:dyDescent="0.25">
      <c r="A253" s="27"/>
      <c r="B253" s="1" t="s">
        <v>171</v>
      </c>
      <c r="C253" s="1"/>
      <c r="D253" s="1"/>
      <c r="E253" s="40"/>
      <c r="F253" s="40"/>
      <c r="G253" s="40"/>
      <c r="H253" s="40"/>
      <c r="I253" s="10"/>
      <c r="J253" s="10"/>
      <c r="K253" s="10"/>
      <c r="L253" s="40"/>
      <c r="M253" s="10"/>
      <c r="N253" s="31"/>
      <c r="O253" s="10"/>
      <c r="P253" s="37"/>
      <c r="Q253" s="10"/>
      <c r="R253" s="11"/>
      <c r="S253" s="10"/>
      <c r="T253" s="11"/>
      <c r="W253" s="10"/>
      <c r="X253" s="10"/>
    </row>
    <row r="254" spans="1:25" s="2" customFormat="1" ht="18" x14ac:dyDescent="0.25">
      <c r="A254" s="27"/>
      <c r="B254" s="1" t="s">
        <v>133</v>
      </c>
      <c r="C254" s="1"/>
      <c r="D254" s="1"/>
      <c r="E254" s="40"/>
      <c r="F254" s="40"/>
      <c r="G254" s="40"/>
      <c r="H254" s="40"/>
      <c r="I254" s="10"/>
      <c r="J254" s="10">
        <f>SUM(C264*0.003)</f>
        <v>2925</v>
      </c>
      <c r="K254" s="10"/>
      <c r="L254" s="40"/>
      <c r="M254" s="10"/>
      <c r="N254" s="31">
        <v>1920</v>
      </c>
      <c r="O254" s="10"/>
      <c r="P254" s="98">
        <v>2880</v>
      </c>
      <c r="Q254" s="10"/>
      <c r="R254" s="11"/>
      <c r="S254" s="10"/>
      <c r="T254" s="11"/>
      <c r="W254" s="10"/>
      <c r="X254" s="10"/>
    </row>
    <row r="255" spans="1:25" s="2" customFormat="1" ht="18" x14ac:dyDescent="0.25">
      <c r="A255" s="27"/>
      <c r="B255" s="1" t="s">
        <v>134</v>
      </c>
      <c r="C255" s="1"/>
      <c r="D255" s="1"/>
      <c r="E255" s="40"/>
      <c r="F255" s="40"/>
      <c r="G255" s="40"/>
      <c r="H255" s="40"/>
      <c r="I255" s="10"/>
      <c r="J255" s="10">
        <f>SUM(C264*0.002)</f>
        <v>1950</v>
      </c>
      <c r="K255" s="10"/>
      <c r="L255" s="40"/>
      <c r="M255" s="10"/>
      <c r="N255" s="31"/>
      <c r="O255" s="10"/>
      <c r="P255" s="39"/>
      <c r="Q255" s="20"/>
      <c r="R255" s="11"/>
      <c r="S255" s="20"/>
      <c r="T255" s="11"/>
      <c r="W255" s="20"/>
      <c r="X255" s="10"/>
    </row>
    <row r="256" spans="1:25" s="2" customFormat="1" ht="18" x14ac:dyDescent="0.25">
      <c r="A256" s="27"/>
      <c r="B256" s="1" t="s">
        <v>135</v>
      </c>
      <c r="C256" s="1"/>
      <c r="D256" s="1"/>
      <c r="E256" s="40"/>
      <c r="F256" s="40"/>
      <c r="G256" s="40"/>
      <c r="H256" s="40"/>
      <c r="I256" s="10"/>
      <c r="J256" s="10">
        <v>650</v>
      </c>
      <c r="K256" s="10"/>
      <c r="L256" s="40"/>
      <c r="M256" s="10"/>
      <c r="N256" s="31">
        <v>450</v>
      </c>
      <c r="O256" s="10"/>
      <c r="P256" s="36">
        <f>74.5+66.71+93.71+72.76</f>
        <v>307.67999999999995</v>
      </c>
      <c r="Q256" s="20"/>
      <c r="R256" s="11"/>
      <c r="S256" s="20"/>
      <c r="T256" s="11"/>
      <c r="W256" s="20"/>
      <c r="X256" s="10"/>
    </row>
    <row r="257" spans="1:25" s="2" customFormat="1" ht="18" x14ac:dyDescent="0.25">
      <c r="A257" s="27"/>
      <c r="B257" s="1" t="s">
        <v>136</v>
      </c>
      <c r="C257" s="1"/>
      <c r="D257" s="1"/>
      <c r="E257" s="40"/>
      <c r="F257" s="40"/>
      <c r="G257" s="40"/>
      <c r="H257" s="40"/>
      <c r="I257" s="10"/>
      <c r="J257" s="10"/>
      <c r="K257" s="10"/>
      <c r="L257" s="31"/>
      <c r="M257" s="10"/>
      <c r="N257" s="31"/>
      <c r="O257" s="10"/>
      <c r="P257" s="39"/>
      <c r="Q257" s="20"/>
      <c r="R257" s="11"/>
      <c r="S257" s="20"/>
      <c r="T257" s="11"/>
      <c r="W257" s="20"/>
      <c r="X257" s="10"/>
    </row>
    <row r="258" spans="1:25" s="2" customFormat="1" ht="18" x14ac:dyDescent="0.25">
      <c r="A258" s="27"/>
      <c r="B258" s="1" t="s">
        <v>137</v>
      </c>
      <c r="C258" s="1"/>
      <c r="D258" s="1"/>
      <c r="E258" s="40"/>
      <c r="F258" s="40"/>
      <c r="G258" s="40"/>
      <c r="H258" s="40"/>
      <c r="I258" s="10"/>
      <c r="J258" s="10">
        <v>650</v>
      </c>
      <c r="K258" s="10"/>
      <c r="L258" s="31"/>
      <c r="M258" s="10"/>
      <c r="N258" s="31">
        <v>100</v>
      </c>
      <c r="O258" s="10"/>
      <c r="P258" s="36">
        <f>39.88+91.99</f>
        <v>131.87</v>
      </c>
      <c r="Q258" s="20"/>
      <c r="R258" s="11"/>
      <c r="S258" s="20"/>
      <c r="T258" s="11"/>
      <c r="W258" s="20"/>
      <c r="X258" s="10"/>
    </row>
    <row r="259" spans="1:25" s="2" customFormat="1" thickBot="1" x14ac:dyDescent="0.3">
      <c r="A259" s="27"/>
      <c r="B259" s="1"/>
      <c r="C259" s="1"/>
      <c r="D259" s="1"/>
      <c r="E259" s="40"/>
      <c r="F259" s="40"/>
      <c r="G259" s="40"/>
      <c r="H259" s="40"/>
      <c r="I259" s="10"/>
      <c r="J259" s="10"/>
      <c r="K259" s="10"/>
      <c r="L259" s="31"/>
      <c r="M259" s="10"/>
      <c r="N259" s="31"/>
      <c r="O259" s="10"/>
      <c r="P259" s="53"/>
      <c r="Q259" s="20"/>
      <c r="R259" s="11"/>
      <c r="S259" s="20"/>
      <c r="T259" s="11"/>
      <c r="W259" s="20"/>
      <c r="X259" s="10"/>
    </row>
    <row r="260" spans="1:25" s="2" customFormat="1" ht="18" x14ac:dyDescent="0.25">
      <c r="A260" s="27"/>
      <c r="B260" s="1" t="s">
        <v>138</v>
      </c>
      <c r="E260" s="40"/>
      <c r="F260" s="40"/>
      <c r="G260" s="40"/>
      <c r="H260" s="40"/>
      <c r="I260" s="10"/>
      <c r="J260" s="2">
        <v>500</v>
      </c>
      <c r="K260" s="10"/>
      <c r="L260" s="11"/>
      <c r="M260" s="10"/>
      <c r="N260" s="11"/>
      <c r="O260" s="10"/>
      <c r="P260" s="10"/>
      <c r="Q260" s="10"/>
      <c r="R260" s="11"/>
      <c r="S260" s="10"/>
      <c r="T260" s="11"/>
      <c r="W260" s="10"/>
      <c r="X260" s="10"/>
    </row>
    <row r="261" spans="1:25" s="2" customFormat="1" ht="18" x14ac:dyDescent="0.25">
      <c r="A261" s="27"/>
      <c r="B261" s="1"/>
      <c r="E261" s="40"/>
      <c r="F261" s="40"/>
      <c r="G261" s="40"/>
      <c r="H261" s="40"/>
      <c r="I261" s="10"/>
      <c r="K261" s="10"/>
      <c r="L261" s="11"/>
      <c r="M261" s="10"/>
      <c r="N261" s="11"/>
      <c r="O261" s="10"/>
      <c r="P261" s="10"/>
      <c r="Q261" s="10"/>
      <c r="R261" s="20"/>
      <c r="S261" s="54"/>
      <c r="T261" s="54"/>
      <c r="W261" s="10"/>
      <c r="X261" s="10"/>
    </row>
    <row r="262" spans="1:25" s="2" customFormat="1" ht="18" x14ac:dyDescent="0.25">
      <c r="A262" s="27"/>
      <c r="B262" s="1"/>
      <c r="C262" s="1"/>
      <c r="D262" s="1"/>
      <c r="E262" s="40"/>
      <c r="F262" s="40"/>
      <c r="G262" s="40"/>
      <c r="H262" s="40"/>
      <c r="I262" s="10"/>
      <c r="J262" s="1"/>
      <c r="K262" s="10"/>
      <c r="L262" s="11"/>
      <c r="M262" s="10"/>
      <c r="N262" s="31">
        <f>SUM(N10:N261)</f>
        <v>696249.67999999993</v>
      </c>
      <c r="O262" s="10"/>
      <c r="P262" s="10"/>
      <c r="Q262" s="10"/>
      <c r="R262" s="11"/>
      <c r="S262" s="10"/>
      <c r="T262" s="11"/>
      <c r="W262" s="10"/>
      <c r="X262" s="10"/>
    </row>
    <row r="263" spans="1:25" s="2" customFormat="1" ht="18" x14ac:dyDescent="0.25">
      <c r="A263" s="27"/>
      <c r="B263" s="1"/>
      <c r="C263" s="1"/>
      <c r="D263" s="1"/>
      <c r="E263" s="44"/>
      <c r="F263" s="44"/>
      <c r="G263" s="44"/>
      <c r="H263" s="44"/>
      <c r="I263" s="10"/>
      <c r="J263" s="1"/>
      <c r="K263" s="10"/>
      <c r="L263" s="11"/>
      <c r="M263" s="10"/>
      <c r="N263" s="11"/>
      <c r="O263" s="10"/>
      <c r="P263" s="10"/>
      <c r="Q263" s="10"/>
      <c r="R263" s="11"/>
      <c r="S263" s="10"/>
      <c r="T263" s="11"/>
      <c r="W263" s="10"/>
      <c r="X263" s="10"/>
    </row>
    <row r="264" spans="1:25" s="2" customFormat="1" ht="18" x14ac:dyDescent="0.25">
      <c r="A264" s="27"/>
      <c r="B264" s="1" t="s">
        <v>203</v>
      </c>
      <c r="C264" s="1">
        <v>975000</v>
      </c>
      <c r="D264" s="1"/>
      <c r="E264" s="44"/>
      <c r="F264" s="44"/>
      <c r="G264" s="44"/>
      <c r="H264" s="44"/>
      <c r="I264" s="10"/>
      <c r="J264" s="1"/>
      <c r="K264" s="10"/>
      <c r="L264" s="11"/>
      <c r="M264" s="10"/>
      <c r="N264" s="11"/>
      <c r="O264" s="10"/>
      <c r="P264" s="11"/>
      <c r="Q264" s="10"/>
      <c r="R264" s="11"/>
      <c r="S264" s="10"/>
      <c r="T264" s="11"/>
      <c r="W264" s="10"/>
      <c r="X264" s="20"/>
      <c r="Y264" s="11"/>
    </row>
    <row r="265" spans="1:25" s="2" customFormat="1" ht="18" x14ac:dyDescent="0.25">
      <c r="A265" s="27"/>
      <c r="B265" s="1"/>
      <c r="C265" s="1"/>
      <c r="D265" s="1"/>
      <c r="E265" s="10" t="s">
        <v>139</v>
      </c>
      <c r="F265" s="10"/>
      <c r="G265" s="10"/>
      <c r="H265" s="10"/>
      <c r="I265" s="20"/>
      <c r="J265" s="20">
        <f>SUM(J247:J263)</f>
        <v>626338.52499999991</v>
      </c>
      <c r="K265" s="20"/>
      <c r="L265" s="11"/>
      <c r="M265" s="20"/>
      <c r="O265" s="20"/>
      <c r="P265" s="11" t="s">
        <v>141</v>
      </c>
      <c r="Q265" s="20"/>
      <c r="R265" s="3"/>
      <c r="X265" s="10"/>
      <c r="Y265" s="11"/>
    </row>
    <row r="266" spans="1:25" s="2" customFormat="1" ht="18" x14ac:dyDescent="0.25">
      <c r="A266" s="27"/>
      <c r="B266" s="1"/>
      <c r="C266" s="1"/>
      <c r="D266" s="1"/>
      <c r="E266" s="10" t="s">
        <v>140</v>
      </c>
      <c r="F266" s="10"/>
      <c r="G266" s="10"/>
      <c r="H266" s="10"/>
      <c r="I266" s="10"/>
      <c r="J266" s="20">
        <f>SUM(J265/0.75)</f>
        <v>835118.03333333321</v>
      </c>
      <c r="K266" s="10"/>
      <c r="L266" s="11"/>
      <c r="M266" s="10"/>
      <c r="O266" s="10"/>
      <c r="P266" s="10">
        <v>680000</v>
      </c>
      <c r="Q266" s="10"/>
      <c r="R266" s="3"/>
      <c r="X266" s="10"/>
      <c r="Y266" s="11"/>
    </row>
    <row r="267" spans="1:25" s="2" customFormat="1" ht="18" x14ac:dyDescent="0.25">
      <c r="A267" s="27"/>
      <c r="B267" s="1"/>
      <c r="C267" s="1"/>
      <c r="D267" s="1"/>
      <c r="E267" s="10" t="s">
        <v>142</v>
      </c>
      <c r="F267" s="10"/>
      <c r="G267" s="10"/>
      <c r="H267" s="10"/>
      <c r="I267" s="10"/>
      <c r="J267" s="20">
        <f>SUM(J266*0.085)</f>
        <v>70985.032833333331</v>
      </c>
      <c r="K267" s="10"/>
      <c r="L267" s="11"/>
      <c r="M267" s="10"/>
      <c r="O267" s="10"/>
      <c r="P267" s="11">
        <v>57900</v>
      </c>
      <c r="Q267" s="10"/>
      <c r="R267" s="3"/>
      <c r="X267" s="10"/>
      <c r="Y267" s="11"/>
    </row>
    <row r="268" spans="1:25" s="2" customFormat="1" ht="18" x14ac:dyDescent="0.25">
      <c r="A268" s="27"/>
      <c r="B268" s="1"/>
      <c r="C268" s="1"/>
      <c r="D268" s="1"/>
      <c r="E268" s="10" t="s">
        <v>140</v>
      </c>
      <c r="F268" s="10"/>
      <c r="G268" s="10"/>
      <c r="H268" s="10"/>
      <c r="I268" s="10"/>
      <c r="J268" s="20">
        <f>SUM(J266:J267)</f>
        <v>906103.06616666657</v>
      </c>
      <c r="K268" s="10"/>
      <c r="L268" s="11" t="s">
        <v>204</v>
      </c>
      <c r="M268" s="10"/>
      <c r="O268" s="10"/>
      <c r="P268" s="11">
        <v>965000</v>
      </c>
      <c r="Q268" s="10"/>
      <c r="R268" s="3"/>
      <c r="X268" s="10"/>
      <c r="Y268" s="11"/>
    </row>
    <row r="269" spans="1:25" s="2" customFormat="1" ht="18" x14ac:dyDescent="0.25">
      <c r="A269" s="27"/>
      <c r="B269" s="1"/>
      <c r="C269" s="1"/>
      <c r="D269" s="1"/>
      <c r="E269" s="10"/>
      <c r="F269" s="10"/>
      <c r="G269" s="10"/>
      <c r="H269" s="10"/>
      <c r="I269" s="10"/>
      <c r="J269" s="1"/>
      <c r="K269" s="10"/>
      <c r="L269" s="11"/>
      <c r="M269" s="10"/>
      <c r="O269" s="10"/>
      <c r="P269" s="11"/>
      <c r="Q269" s="10"/>
      <c r="R269" s="3"/>
      <c r="X269" s="10"/>
      <c r="Y269" s="11"/>
    </row>
    <row r="270" spans="1:25" s="2" customFormat="1" ht="18" x14ac:dyDescent="0.25">
      <c r="A270" s="27"/>
      <c r="B270" s="1"/>
      <c r="C270" s="1"/>
      <c r="D270" s="1"/>
      <c r="E270" s="10" t="s">
        <v>143</v>
      </c>
      <c r="F270" s="10"/>
      <c r="G270" s="10"/>
      <c r="H270" s="10"/>
      <c r="I270" s="10"/>
      <c r="J270" s="20">
        <f>SUM(J268-J267-J265)</f>
        <v>208779.5083333333</v>
      </c>
      <c r="K270" s="10"/>
      <c r="L270" s="11"/>
      <c r="M270" s="10"/>
      <c r="O270" s="10"/>
      <c r="P270" s="11">
        <f>P268-P267-P266</f>
        <v>227100</v>
      </c>
      <c r="Q270" s="10"/>
      <c r="R270" s="62">
        <f>P270/P268</f>
        <v>0.23533678756476684</v>
      </c>
      <c r="X270" s="10"/>
      <c r="Y270" s="11"/>
    </row>
    <row r="271" spans="1:25" s="2" customFormat="1" ht="18" x14ac:dyDescent="0.25">
      <c r="A271" s="27"/>
      <c r="B271" s="1"/>
      <c r="C271" s="1"/>
      <c r="D271" s="1"/>
      <c r="E271" s="10"/>
      <c r="F271" s="10"/>
      <c r="G271" s="10"/>
      <c r="H271" s="10"/>
      <c r="I271" s="10"/>
      <c r="J271" s="1"/>
      <c r="K271" s="10"/>
      <c r="L271" s="11"/>
      <c r="M271" s="10"/>
      <c r="O271" s="10"/>
      <c r="P271" s="11"/>
      <c r="Q271" s="10"/>
      <c r="R271" s="3"/>
      <c r="X271" s="10"/>
      <c r="Y271" s="11"/>
    </row>
    <row r="272" spans="1:25" s="2" customFormat="1" ht="18" x14ac:dyDescent="0.25">
      <c r="A272" s="27"/>
      <c r="B272" s="1"/>
      <c r="C272" s="1"/>
      <c r="D272" s="1"/>
      <c r="E272" s="10" t="s">
        <v>144</v>
      </c>
      <c r="F272" s="10"/>
      <c r="G272" s="10"/>
      <c r="H272" s="10"/>
      <c r="I272" s="10"/>
      <c r="J272" s="20">
        <f>SUM(J268/C3)</f>
        <v>306.01251812450744</v>
      </c>
      <c r="K272" s="10"/>
      <c r="L272" s="11"/>
      <c r="M272" s="10"/>
      <c r="O272" s="10"/>
      <c r="P272" s="11"/>
      <c r="Q272" s="10"/>
      <c r="R272" s="3"/>
      <c r="X272" s="10"/>
      <c r="Y272" s="11"/>
    </row>
    <row r="273" spans="1:25" s="2" customFormat="1" ht="18" x14ac:dyDescent="0.25">
      <c r="A273" s="27"/>
      <c r="B273" s="1"/>
      <c r="C273" s="1"/>
      <c r="D273" s="1"/>
      <c r="E273" s="10" t="s">
        <v>145</v>
      </c>
      <c r="F273" s="10"/>
      <c r="G273" s="10"/>
      <c r="H273" s="10"/>
      <c r="I273" s="10"/>
      <c r="J273" s="20">
        <f>SUM(J268/J4)</f>
        <v>192.86995874130832</v>
      </c>
      <c r="K273" s="10"/>
      <c r="L273" s="11"/>
      <c r="M273" s="10"/>
      <c r="O273" s="10"/>
      <c r="P273" s="11"/>
      <c r="Q273" s="10"/>
      <c r="R273" s="3"/>
      <c r="W273" s="11"/>
      <c r="X273" s="10"/>
      <c r="Y273" s="11"/>
    </row>
    <row r="274" spans="1:25" s="2" customFormat="1" ht="18" x14ac:dyDescent="0.25">
      <c r="A274" s="27"/>
      <c r="B274" s="1"/>
      <c r="C274" s="1"/>
      <c r="D274" s="1"/>
      <c r="E274" s="44"/>
      <c r="F274" s="44"/>
      <c r="G274" s="44"/>
      <c r="H274" s="44"/>
      <c r="I274" s="10"/>
      <c r="J274" s="1"/>
      <c r="K274" s="10"/>
      <c r="L274" s="11"/>
      <c r="M274" s="10"/>
      <c r="N274" s="11"/>
      <c r="O274" s="10"/>
      <c r="P274" s="11"/>
      <c r="Q274" s="10"/>
      <c r="R274" s="10"/>
      <c r="S274" s="10"/>
      <c r="T274" s="11"/>
      <c r="V274" s="10"/>
      <c r="W274" s="11"/>
      <c r="X274" s="10"/>
      <c r="Y274" s="11"/>
    </row>
    <row r="275" spans="1:25" s="2" customFormat="1" ht="18" x14ac:dyDescent="0.25">
      <c r="A275" s="27"/>
      <c r="B275" s="1"/>
      <c r="C275" s="1"/>
      <c r="D275" s="1"/>
      <c r="E275" s="44"/>
      <c r="F275" s="44"/>
      <c r="G275" s="44"/>
      <c r="H275" s="44"/>
      <c r="I275" s="10"/>
      <c r="J275" s="1"/>
      <c r="K275" s="10"/>
      <c r="L275" s="11"/>
      <c r="M275" s="10"/>
      <c r="N275" s="11"/>
      <c r="O275" s="10"/>
      <c r="P275" s="11"/>
      <c r="Q275" s="10"/>
      <c r="R275" s="10"/>
      <c r="S275" s="10"/>
      <c r="T275" s="11"/>
      <c r="V275" s="10"/>
      <c r="W275" s="11"/>
      <c r="X275" s="10"/>
      <c r="Y275" s="11"/>
    </row>
    <row r="276" spans="1:25" s="2" customFormat="1" ht="18" x14ac:dyDescent="0.25">
      <c r="A276" s="27"/>
      <c r="B276" s="1"/>
      <c r="C276" s="1"/>
      <c r="D276" s="1"/>
      <c r="E276" s="44"/>
      <c r="F276" s="44"/>
      <c r="G276" s="44"/>
      <c r="H276" s="44"/>
      <c r="I276" s="10"/>
      <c r="J276" s="1"/>
      <c r="K276" s="10"/>
      <c r="L276" s="11"/>
      <c r="M276" s="10"/>
      <c r="N276" s="11"/>
      <c r="O276" s="10"/>
      <c r="P276" s="11"/>
      <c r="Q276" s="10"/>
      <c r="R276" s="10"/>
      <c r="S276" s="10"/>
      <c r="T276" s="11"/>
      <c r="V276" s="10"/>
      <c r="W276" s="11"/>
      <c r="X276" s="10"/>
      <c r="Y276" s="11"/>
    </row>
    <row r="277" spans="1:25" s="2" customFormat="1" ht="18" x14ac:dyDescent="0.25">
      <c r="A277" s="27"/>
      <c r="B277" s="1"/>
      <c r="C277" s="1"/>
      <c r="D277" s="1"/>
      <c r="E277" s="44"/>
      <c r="F277" s="44"/>
      <c r="G277" s="44"/>
      <c r="H277" s="44"/>
      <c r="I277" s="10"/>
      <c r="J277" s="1"/>
      <c r="K277" s="10"/>
      <c r="L277" s="11"/>
      <c r="M277" s="10"/>
      <c r="N277" s="11"/>
      <c r="O277" s="10"/>
      <c r="P277" s="11"/>
      <c r="Q277" s="10"/>
      <c r="R277" s="10"/>
      <c r="S277" s="10"/>
      <c r="T277" s="11"/>
      <c r="V277" s="10"/>
      <c r="W277" s="11"/>
      <c r="X277" s="10"/>
      <c r="Y277" s="11"/>
    </row>
    <row r="278" spans="1:25" s="2" customFormat="1" ht="18" x14ac:dyDescent="0.25">
      <c r="A278" s="27"/>
      <c r="B278" s="1"/>
      <c r="C278" s="1"/>
      <c r="D278" s="1"/>
      <c r="E278" s="44"/>
      <c r="F278" s="44"/>
      <c r="G278" s="44"/>
      <c r="H278" s="44"/>
      <c r="I278" s="10"/>
      <c r="J278" s="1"/>
      <c r="K278" s="10"/>
      <c r="L278" s="11"/>
      <c r="M278" s="10"/>
      <c r="N278" s="11"/>
      <c r="O278" s="10"/>
      <c r="P278" s="11"/>
      <c r="Q278" s="10"/>
      <c r="R278" s="10"/>
      <c r="S278" s="10"/>
      <c r="T278" s="11"/>
      <c r="V278" s="10"/>
      <c r="X278" s="10"/>
    </row>
    <row r="279" spans="1:25" s="2" customFormat="1" ht="18" x14ac:dyDescent="0.25">
      <c r="A279" s="27"/>
      <c r="B279" s="1"/>
      <c r="C279" s="1"/>
      <c r="D279" s="1"/>
      <c r="E279" s="44"/>
      <c r="F279" s="44"/>
      <c r="G279" s="44"/>
      <c r="H279" s="44"/>
      <c r="I279" s="10"/>
      <c r="J279" s="1"/>
      <c r="K279" s="10"/>
      <c r="L279" s="11"/>
      <c r="M279" s="10"/>
      <c r="N279" s="11"/>
      <c r="O279" s="10"/>
      <c r="P279" s="11"/>
      <c r="Q279" s="10"/>
      <c r="R279" s="10"/>
      <c r="S279" s="10"/>
      <c r="T279" s="11"/>
      <c r="U279" s="11"/>
      <c r="V279" s="10"/>
      <c r="X279" s="31"/>
    </row>
    <row r="280" spans="1:25" s="2" customFormat="1" ht="33.75" customHeight="1" x14ac:dyDescent="0.25">
      <c r="A280" s="27"/>
      <c r="B280" s="1"/>
      <c r="C280" s="1"/>
      <c r="D280" s="1"/>
      <c r="E280" s="44"/>
      <c r="F280" s="44"/>
      <c r="G280" s="44"/>
      <c r="H280" s="44"/>
      <c r="I280" s="10"/>
      <c r="J280" s="1"/>
      <c r="K280" s="10"/>
      <c r="L280" s="11"/>
      <c r="M280" s="10"/>
      <c r="N280" s="11"/>
      <c r="O280" s="10"/>
      <c r="P280" s="11"/>
      <c r="Q280" s="10"/>
      <c r="R280" s="10"/>
      <c r="S280" s="10"/>
      <c r="T280" s="11"/>
      <c r="U280" s="11"/>
      <c r="V280" s="10"/>
      <c r="X280" s="31"/>
    </row>
    <row r="281" spans="1:25" s="2" customFormat="1" ht="18" x14ac:dyDescent="0.25">
      <c r="A281" s="27"/>
      <c r="B281" s="1"/>
      <c r="C281" s="1"/>
      <c r="D281" s="1"/>
      <c r="E281" s="44"/>
      <c r="F281" s="44"/>
      <c r="G281" s="44"/>
      <c r="H281" s="44"/>
      <c r="I281" s="25"/>
      <c r="J281" s="1"/>
      <c r="K281" s="25"/>
      <c r="L281" s="11"/>
      <c r="M281" s="25"/>
      <c r="N281" s="11"/>
      <c r="O281" s="25"/>
      <c r="P281" s="11"/>
      <c r="Q281" s="25"/>
      <c r="R281" s="25"/>
      <c r="S281" s="25"/>
      <c r="T281" s="11"/>
      <c r="U281" s="11"/>
      <c r="V281" s="25"/>
      <c r="X281" s="31"/>
    </row>
  </sheetData>
  <mergeCells count="1">
    <mergeCell ref="R8:S8"/>
  </mergeCells>
  <phoneticPr fontId="12" type="noConversion"/>
  <conditionalFormatting sqref="R9:R259">
    <cfRule type="cellIs" dxfId="3" priority="3" operator="lessThan">
      <formula>0</formula>
    </cfRule>
    <cfRule type="cellIs" priority="4" operator="lessThan">
      <formula>0</formula>
    </cfRule>
    <cfRule type="cellIs" dxfId="2" priority="5" operator="greaterThanOrEqual">
      <formula>0</formula>
    </cfRule>
  </conditionalFormatting>
  <conditionalFormatting sqref="S9:S259">
    <cfRule type="containsText" dxfId="1" priority="1" operator="containsText" text="In Budget">
      <formula>NOT(ISERROR(SEARCH("In Budget",S9)))</formula>
    </cfRule>
    <cfRule type="containsText" dxfId="0" priority="2" operator="containsText" text="Over Budget">
      <formula>NOT(ISERROR(SEARCH("Over Budget",S9)))</formula>
    </cfRule>
  </conditionalFormatting>
  <pageMargins left="0.7" right="0.7" top="0.75" bottom="0.75" header="0.3" footer="0.3"/>
  <pageSetup scale="21" orientation="portrait" r:id="rId1"/>
  <colBreaks count="1" manualBreakCount="1">
    <brk id="28" max="229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4848AE-B6B3-41E2-9197-B11F07FDB76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Parade Pricing</vt:lpstr>
      <vt:lpstr>'Parade Pricing'!Print_Area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Estimates</cp:lastModifiedBy>
  <dcterms:created xsi:type="dcterms:W3CDTF">2022-12-19T13:04:48Z</dcterms:created>
  <dcterms:modified xsi:type="dcterms:W3CDTF">2026-08-26T17:30:21Z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{7E4848AE-B6B3-41E2-9197-B11F07FDB760}</vt:lpwstr>
  </property>
</Properties>
</file>